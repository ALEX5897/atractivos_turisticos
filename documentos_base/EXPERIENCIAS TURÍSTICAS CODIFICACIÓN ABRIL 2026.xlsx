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atractivos_turisticos/documentos_base/"/>
    </mc:Choice>
  </mc:AlternateContent>
  <xr:revisionPtr revIDLastSave="8" documentId="11_DB94BC705D8AB54A5A50FFF4CC4DB47F0D6BD481" xr6:coauthVersionLast="47" xr6:coauthVersionMax="47" xr10:uidLastSave="{CBAB310F-1BA5-4337-9925-313D807B4562}"/>
  <bookViews>
    <workbookView minimized="1" xWindow="0" yWindow="15" windowWidth="38370" windowHeight="22890" xr2:uid="{00000000-000D-0000-FFFF-FFFF00000000}"/>
  </bookViews>
  <sheets>
    <sheet name="CODIFICACIÓN_DPA" sheetId="1" r:id="rId1"/>
    <sheet name="ESTRUCTURA CÓDIGO" sheetId="2" r:id="rId2"/>
    <sheet name="EXPERIENCIAS" sheetId="3" r:id="rId3"/>
  </sheets>
  <definedNames>
    <definedName name="_xlnm._FilterDatabase" localSheetId="2" hidden="1">EXPERIENCIAS!$A$1:$R$181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1" i="3" l="1"/>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sharedStrings.xml><?xml version="1.0" encoding="utf-8"?>
<sst xmlns="http://schemas.openxmlformats.org/spreadsheetml/2006/main" count="2667" uniqueCount="1488">
  <si>
    <t>DPA_DESCRI</t>
  </si>
  <si>
    <t>COD_DPA</t>
  </si>
  <si>
    <t>MODALIDAD_DESCRIP</t>
  </si>
  <si>
    <t>COD_MODALIDAD</t>
  </si>
  <si>
    <t>NODO_DESCRP</t>
  </si>
  <si>
    <t>NODO_LOCALIDAD</t>
  </si>
  <si>
    <t>CENTRALIDAD_DESCRIP</t>
  </si>
  <si>
    <t>COD_CENTRALIDAD</t>
  </si>
  <si>
    <t>BELISARIO QUEVEDO</t>
  </si>
  <si>
    <t>170101</t>
  </si>
  <si>
    <t>NATURAL</t>
  </si>
  <si>
    <t>NA</t>
  </si>
  <si>
    <t>URBANO</t>
  </si>
  <si>
    <t>01</t>
  </si>
  <si>
    <t>Centro Histórico</t>
  </si>
  <si>
    <t>CARCELÉN</t>
  </si>
  <si>
    <t>170102</t>
  </si>
  <si>
    <t>GASTRONÓMICO</t>
  </si>
  <si>
    <t>GA</t>
  </si>
  <si>
    <t>RURAL</t>
  </si>
  <si>
    <t>02</t>
  </si>
  <si>
    <t>La Mariscal</t>
  </si>
  <si>
    <t>CENTRO HISTÓRICO</t>
  </si>
  <si>
    <t>170103</t>
  </si>
  <si>
    <t>CULTURAL</t>
  </si>
  <si>
    <t>CU</t>
  </si>
  <si>
    <t>Centro Norte</t>
  </si>
  <si>
    <t>03</t>
  </si>
  <si>
    <t>COCHAPAMBA</t>
  </si>
  <si>
    <t>170104</t>
  </si>
  <si>
    <t>AVENTURA</t>
  </si>
  <si>
    <t>AV</t>
  </si>
  <si>
    <t>Parroquias Equinocciales</t>
  </si>
  <si>
    <t>04</t>
  </si>
  <si>
    <t>COMITÉ DEL PUEBLO</t>
  </si>
  <si>
    <t>170105</t>
  </si>
  <si>
    <t>COMUNITARIO</t>
  </si>
  <si>
    <t>CO</t>
  </si>
  <si>
    <t>Chocó Andino</t>
  </si>
  <si>
    <t>05</t>
  </si>
  <si>
    <t>COTOCOLLAO</t>
  </si>
  <si>
    <t>170106</t>
  </si>
  <si>
    <t>Ruta Escondida</t>
  </si>
  <si>
    <t>06</t>
  </si>
  <si>
    <t>CHILIBULO</t>
  </si>
  <si>
    <t>170107</t>
  </si>
  <si>
    <t>Valle de los Chillos</t>
  </si>
  <si>
    <t>07</t>
  </si>
  <si>
    <t>CHILLOGALLO</t>
  </si>
  <si>
    <t>170108</t>
  </si>
  <si>
    <t>Valle de Tumbaco</t>
  </si>
  <si>
    <t>08</t>
  </si>
  <si>
    <t>CHIMBACALLE</t>
  </si>
  <si>
    <t>170109</t>
  </si>
  <si>
    <t>Calderón</t>
  </si>
  <si>
    <t>09</t>
  </si>
  <si>
    <t>EL CONDADO</t>
  </si>
  <si>
    <t>170110</t>
  </si>
  <si>
    <t>GUAMANÍ</t>
  </si>
  <si>
    <t>170111</t>
  </si>
  <si>
    <t>IÑAQUITO</t>
  </si>
  <si>
    <t>170112</t>
  </si>
  <si>
    <t>ITCHIMBIA</t>
  </si>
  <si>
    <t>170113</t>
  </si>
  <si>
    <t>JIPIJAPA</t>
  </si>
  <si>
    <t>170114</t>
  </si>
  <si>
    <t>KENNEDY</t>
  </si>
  <si>
    <t>170115</t>
  </si>
  <si>
    <t>LA ARGELIA</t>
  </si>
  <si>
    <t>170116</t>
  </si>
  <si>
    <t>LA CONCEPCIÓN</t>
  </si>
  <si>
    <t>170117</t>
  </si>
  <si>
    <t>LA ECUATORIANA</t>
  </si>
  <si>
    <t>170118</t>
  </si>
  <si>
    <t>LA FERROVIARIA</t>
  </si>
  <si>
    <t>170119</t>
  </si>
  <si>
    <t>LA LIBERTAD</t>
  </si>
  <si>
    <t>170120</t>
  </si>
  <si>
    <t>CÓDIGO QT</t>
  </si>
  <si>
    <t>LA MAGDALENA</t>
  </si>
  <si>
    <t>170121</t>
  </si>
  <si>
    <t>170112GA0103001</t>
  </si>
  <si>
    <t>LA MENA</t>
  </si>
  <si>
    <t>170122</t>
  </si>
  <si>
    <t>MARISCAL SUCRE</t>
  </si>
  <si>
    <t>170123</t>
  </si>
  <si>
    <t>PONCEANO</t>
  </si>
  <si>
    <t>170124</t>
  </si>
  <si>
    <t>PARROQUIA</t>
  </si>
  <si>
    <t>MODALIDAD</t>
  </si>
  <si>
    <t>NODO</t>
  </si>
  <si>
    <t>CENTRALIDAD</t>
  </si>
  <si>
    <t>ORDEN EN LISTADO</t>
  </si>
  <si>
    <t>PUENGASÍ</t>
  </si>
  <si>
    <t>170125</t>
  </si>
  <si>
    <t>001</t>
  </si>
  <si>
    <t>QUITUMBE</t>
  </si>
  <si>
    <t>170126</t>
  </si>
  <si>
    <t>RUMIPAMBA</t>
  </si>
  <si>
    <t>170127</t>
  </si>
  <si>
    <t>SAN BARTOLO</t>
  </si>
  <si>
    <t>170128</t>
  </si>
  <si>
    <t>SAN ISIDRO DEL INCA</t>
  </si>
  <si>
    <t>170129</t>
  </si>
  <si>
    <t>SAN JUAN</t>
  </si>
  <si>
    <t>170130</t>
  </si>
  <si>
    <t>SOLANDA</t>
  </si>
  <si>
    <t>170131</t>
  </si>
  <si>
    <t>TURUBAMBA</t>
  </si>
  <si>
    <t>170132</t>
  </si>
  <si>
    <t>ALANGASÍ</t>
  </si>
  <si>
    <t>170151</t>
  </si>
  <si>
    <t>AMAGUAÑA</t>
  </si>
  <si>
    <t>170152</t>
  </si>
  <si>
    <t>ATAHUALPA</t>
  </si>
  <si>
    <t>170153</t>
  </si>
  <si>
    <t>CALACALÍ</t>
  </si>
  <si>
    <t>170154</t>
  </si>
  <si>
    <t>CALDERÓN</t>
  </si>
  <si>
    <t>170155</t>
  </si>
  <si>
    <t>CONOCOTO</t>
  </si>
  <si>
    <t>170156</t>
  </si>
  <si>
    <t>CUMBAYÁ</t>
  </si>
  <si>
    <t>170157</t>
  </si>
  <si>
    <t>CHAVEZPAMBA</t>
  </si>
  <si>
    <t>170158</t>
  </si>
  <si>
    <t>CHECA</t>
  </si>
  <si>
    <t>170159</t>
  </si>
  <si>
    <t>EL QUINCHE</t>
  </si>
  <si>
    <t>170160</t>
  </si>
  <si>
    <t>GUALEA</t>
  </si>
  <si>
    <t>170161</t>
  </si>
  <si>
    <t>GUANGOPOLO</t>
  </si>
  <si>
    <t>170162</t>
  </si>
  <si>
    <t>GUAYLLABAMBA</t>
  </si>
  <si>
    <t>170163</t>
  </si>
  <si>
    <t>LA MERCED</t>
  </si>
  <si>
    <t>170164</t>
  </si>
  <si>
    <t>LLANO CHICO</t>
  </si>
  <si>
    <t>170165</t>
  </si>
  <si>
    <t>LLOA</t>
  </si>
  <si>
    <t>170166</t>
  </si>
  <si>
    <t>NANEGAL</t>
  </si>
  <si>
    <t>170168</t>
  </si>
  <si>
    <t>NANEGALITO</t>
  </si>
  <si>
    <t>170169</t>
  </si>
  <si>
    <t>NAYÓN</t>
  </si>
  <si>
    <t>170170</t>
  </si>
  <si>
    <t>NONO</t>
  </si>
  <si>
    <t>170171</t>
  </si>
  <si>
    <t>PACTO</t>
  </si>
  <si>
    <t>170172</t>
  </si>
  <si>
    <t>PERUCHO</t>
  </si>
  <si>
    <t>170174</t>
  </si>
  <si>
    <t>PIFO</t>
  </si>
  <si>
    <t>170175</t>
  </si>
  <si>
    <t>PÍNTAG</t>
  </si>
  <si>
    <t>170176</t>
  </si>
  <si>
    <t>POMASQUI</t>
  </si>
  <si>
    <t>170177</t>
  </si>
  <si>
    <t>PUÉLLARO</t>
  </si>
  <si>
    <t>170178</t>
  </si>
  <si>
    <t>PUEMBO</t>
  </si>
  <si>
    <t>170179</t>
  </si>
  <si>
    <t>SAN ANTONIO</t>
  </si>
  <si>
    <t>170180</t>
  </si>
  <si>
    <t>SAN JOSÉ DE MINAS</t>
  </si>
  <si>
    <t>170181</t>
  </si>
  <si>
    <t>TABABELA</t>
  </si>
  <si>
    <t>170183</t>
  </si>
  <si>
    <t>TUMBACO</t>
  </si>
  <si>
    <t>170184</t>
  </si>
  <si>
    <t>YARUQUÍ</t>
  </si>
  <si>
    <t>170185</t>
  </si>
  <si>
    <t>ZÁMBIZA</t>
  </si>
  <si>
    <t>170186</t>
  </si>
  <si>
    <t>01-32</t>
  </si>
  <si>
    <t>51-86 EXCEPTO 73</t>
  </si>
  <si>
    <t>FICHA PARA EL LEVANTAMIENTO DE EXPERIENCIAS TURÍSTICAS</t>
  </si>
  <si>
    <t>CÓDIGO DE LA EXPERIENCIA</t>
  </si>
  <si>
    <t>El código, está compuesto por 15 dígitos (caracteres alfanuméricos), únicos e irrepetibles, mismo que aparecerá al inicio de la ficha para su identificación.</t>
  </si>
  <si>
    <r>
      <rPr>
        <sz val="11"/>
        <color rgb="FF000000"/>
        <rFont val="Calibri"/>
      </rPr>
      <t>1.</t>
    </r>
    <r>
      <rPr>
        <sz val="7"/>
        <color rgb="FF000000"/>
        <rFont val="Times New Roman"/>
      </rPr>
      <t xml:space="preserve">       </t>
    </r>
    <r>
      <rPr>
        <sz val="11"/>
        <color rgb="FF000000"/>
        <rFont val="Calibri"/>
      </rPr>
      <t>División Política Administrativa (DPA) obtenida del Clasificador Geográfico 2023 del Instituto Nacional de Estadística y Censos - INEC, (códigos provincial, cantonal y parroquial).</t>
    </r>
  </si>
  <si>
    <t>2.    Se colocará las letras iniciales de la modalidad de la experiencia ejemplo: Gastronómica "GA"</t>
  </si>
  <si>
    <r>
      <rPr>
        <sz val="11"/>
        <color rgb="FF000000"/>
        <rFont val="Calibri"/>
      </rPr>
      <t>3.</t>
    </r>
    <r>
      <rPr>
        <sz val="7"/>
        <color rgb="FF000000"/>
        <rFont val="Times New Roman"/>
      </rPr>
      <t xml:space="preserve">       </t>
    </r>
    <r>
      <rPr>
        <sz val="11"/>
        <color rgb="FF000000"/>
        <rFont val="Calibri"/>
      </rPr>
      <t>Clasificación de experiencia turística (Nodo), (ver documento Centralidades - Nodos Turísticos Complementarios Urbanos y Rurales, 2024).</t>
    </r>
  </si>
  <si>
    <r>
      <rPr>
        <sz val="11"/>
        <color rgb="FF000000"/>
        <rFont val="Calibri"/>
      </rPr>
      <t>4.</t>
    </r>
    <r>
      <rPr>
        <sz val="7"/>
        <color rgb="FF000000"/>
        <rFont val="Times New Roman"/>
      </rPr>
      <t xml:space="preserve">       </t>
    </r>
    <r>
      <rPr>
        <sz val="11"/>
        <color rgb="FF000000"/>
        <rFont val="Calibri"/>
      </rPr>
      <t>Clasificación de experiencia turística (Centralidad), (ver documento Centralidades - Nodos Turísticos Complementarios Urbanos y Rurales, 2024).</t>
    </r>
  </si>
  <si>
    <r>
      <rPr>
        <sz val="11"/>
        <color rgb="FF000000"/>
        <rFont val="Calibri"/>
      </rPr>
      <t>5.</t>
    </r>
    <r>
      <rPr>
        <sz val="7"/>
        <color rgb="FF000000"/>
        <rFont val="Times New Roman"/>
      </rPr>
      <t xml:space="preserve">       </t>
    </r>
    <r>
      <rPr>
        <sz val="11"/>
        <color rgb="FF000000"/>
        <rFont val="Calibri"/>
      </rPr>
      <t>FInalmente; los tres dígitos finales corresponden al orden en que se levante la información de las experiencias turísticas que iniciará desde 001.</t>
    </r>
  </si>
  <si>
    <r>
      <rPr>
        <b/>
        <sz val="11"/>
        <color rgb="FF000000"/>
        <rFont val="Calibri"/>
      </rPr>
      <t>FUENTE:</t>
    </r>
    <r>
      <rPr>
        <sz val="11"/>
        <color rgb="FF000000"/>
        <rFont val="Calibri"/>
      </rPr>
      <t xml:space="preserve"> Manual Metodología para Jerarquización de Atractivos y Generación de Espacios Turísticos, MINTUR 2017.</t>
    </r>
  </si>
  <si>
    <t>Centralidades - Nodos Turísticos Complementarios Urbanos y Rurales, QUITO TURISMO 2024.</t>
  </si>
  <si>
    <t>N°</t>
  </si>
  <si>
    <t>ESTADO EXPERIENCIA</t>
  </si>
  <si>
    <t>CÓDIGO EXPERIENCIA QT</t>
  </si>
  <si>
    <t>NOMBRE DE LA EXPERIENCIA</t>
  </si>
  <si>
    <t>BREVE DESCRIPCIÓN Y ACTIVIDADES A REALIZAR</t>
  </si>
  <si>
    <t>DIRECCIÓN</t>
  </si>
  <si>
    <t>LATITUD</t>
  </si>
  <si>
    <t>LONGITUD</t>
  </si>
  <si>
    <t xml:space="preserve">TIEMPO DE DURACIÓN </t>
  </si>
  <si>
    <t>HORARIO DE ATENCIÓN</t>
  </si>
  <si>
    <t>COSTO</t>
  </si>
  <si>
    <t>CAPACIDAD</t>
  </si>
  <si>
    <t>RESTRICCIONES</t>
  </si>
  <si>
    <t>CONTACTOS</t>
  </si>
  <si>
    <t>ACTIVO</t>
  </si>
  <si>
    <t xml:space="preserve">Comunidad Yunguilla </t>
  </si>
  <si>
    <t xml:space="preserve">Sumérgete en el Chocó Andino y explorar su rica herencia cultural y natural, al tiempo que apoyas activamente a la comunidad local. La comunidad Yunguilla  ofrece a los visitantes una experiencia auténtica de la ruralidad, disfrutando de emocionantes recorridos guiados por antiguos caminos precolombinos, aventúrate en apasionantes trekkings por reservas naturales cercanas y conecta con la naturaleza a través de experiencias de camping bajo el cielo estrellado. ¡Descubre la autenticidad de su gente mientras contribuyes al desarrollo sostenible de la región!
</t>
  </si>
  <si>
    <t xml:space="preserve"> Parroquia Calacalí, km 12 vía al noroccidente de Quito, en el ACUS Yunguilla del Distrito Metropolitano de Quito.</t>
  </si>
  <si>
    <t>3 a 4 horas</t>
  </si>
  <si>
    <t>24 horas
Todos los días
Previa reserva</t>
  </si>
  <si>
    <t>Depende mucho del servicio que se solicite</t>
  </si>
  <si>
    <t xml:space="preserve"> - Alojamiento comunitario capaciadad 30 pax
- Restaurante capacidad 80 pax
- Salón de eventos capacida 80 personas
- Senderos establecidos: 4                                         - Miradores: 2                                                                      - Tours organizados: 6 alternativas
- Guías nativos
- Tiendas de artesanías y productos orgánicos
</t>
  </si>
  <si>
    <t>Prohibido el ingreso de mascotas debido a su estatus como Área de Conservación y Uso Sustentable (ACUS) y su modelo de turismo comunitario, que busca proteger la fauna silvestre (como el oso de anteojos y diversas aves endémicas) de posibles enfermedades o estrés causado por animales domésticos.</t>
  </si>
  <si>
    <r>
      <rPr>
        <sz val="9"/>
        <color rgb="FF000000"/>
        <rFont val="Calibri"/>
      </rPr>
      <t xml:space="preserve">(593) 98 021 5476
</t>
    </r>
    <r>
      <rPr>
        <u/>
        <sz val="9"/>
        <color rgb="FF000000"/>
        <rFont val="Calibri"/>
      </rPr>
      <t xml:space="preserve">https://www.yunguilla.org.ec/contact-us/
</t>
    </r>
    <r>
      <rPr>
        <sz val="9"/>
        <color rgb="FF000000"/>
        <rFont val="Calibri"/>
      </rPr>
      <t>info@yunguilla.org.ec
(593) 99 954 1537</t>
    </r>
  </si>
  <si>
    <t>002</t>
  </si>
  <si>
    <t>Chucchurillos Ñaupa Ayllu Manta</t>
  </si>
  <si>
    <t>Chucchurillos Ñaupa Ayllu Manta celebra la herencia Kitu Kara con danzas, rituales y relatos que honran a la Pachamama, en torno al tzáwar (agave andino), “planta de las mil maravillas”. La experiencia integra saberes intergeneracionales, festividades de siembra y cosecha del tzawarmishki, gastronomía ancestral, mieles y bebidas tradicionales, además de artesanías en cabuya que revelan usos sostenibles del territorio. Un encuentro cultural auténtico, inmersivo y emotivo, donde la memoria viva de los Andes se manifiesta en cada canto, aroma y textura.</t>
  </si>
  <si>
    <t>Quito-Pomasqui Barrio el Común</t>
  </si>
  <si>
    <t>Bajo reserva</t>
  </si>
  <si>
    <t>Depende del grupo y actividad</t>
  </si>
  <si>
    <t>Se adapta a la necesidad del grupo.</t>
  </si>
  <si>
    <t>(02) 235 8001   (+593) 98 765 6946
Email:
chucchurillos@hotmail.com
Whatsapp:
(+593) 97 905 4213</t>
  </si>
  <si>
    <t>003</t>
  </si>
  <si>
    <t>Ecoferia Allpa Maki</t>
  </si>
  <si>
    <t>Ecoferia Allpa Maki es la vitrina agroecológica de la Comuna Llano Grande: una asociación de huertos que impulsa el estilo de vida LOHAS (Vida Saludable y Sustentable) y la economía solidaria Kitu Kara, fusionando saberes ancestrales, soberanía alimentaria y empoderamiento comunitario. Entre agro-biodiversidad, productos frescos “de la mata a la olla”, cocina en vivo y manifestaciones culturales, la feria celebra el respeto a la Pachamama, la justicia alimentaria y la producción responsable, ofreciendo un mercado vivo donde salud, sabor y comunidad se encuentran en armonía con el planeta.</t>
  </si>
  <si>
    <t>Llano Grande, Quito</t>
  </si>
  <si>
    <t>1 hora</t>
  </si>
  <si>
    <t>Domingos de 07h00 a 12h00
Puede variar el horario</t>
  </si>
  <si>
    <t>Costo de los productos que se vayan a comprar</t>
  </si>
  <si>
    <t>allpamaki2021@gmail.com</t>
  </si>
  <si>
    <t>004</t>
  </si>
  <si>
    <t>Mercado Santa Clara</t>
  </si>
  <si>
    <t>Un ícono donde confluyen tradiciones ancestrales y vorágine urbana actual, el mercado Santa Clara seduce los sentidos. En sus pasillos, las caceras ofrecen especias, frutas, verduras y flores, mientras en el patio de comidas desborda gastronomía tradicional como hornado, yaguarlocro y seco de chivo con refrescantes jugos y batidos de huertos andinos. Afuera, artesanos exhiben trenzadas creaciones de mimbre, cabuya y alfarería. Las "yuyeras", mujeres que realizan "limpias", ritual curativo ancestral de purificación y florecimiento con flores y plantas andinas. Una cautivadora experiencia sensorial.</t>
  </si>
  <si>
    <t>Calle Antonio de Ulloa</t>
  </si>
  <si>
    <t>Lunes a Sábado
07h00 a 17h30
domingo
07h00 a 15h00</t>
  </si>
  <si>
    <t>Máximo 20 pax</t>
  </si>
  <si>
    <t xml:space="preserve">Se consulta al momento de la limpia, si desea que se le limpie con el licor </t>
  </si>
  <si>
    <t>(+593) 99 271 8696
(+593) 98 742 0863</t>
  </si>
  <si>
    <t>005</t>
  </si>
  <si>
    <t>Salsoteca Lavoe</t>
  </si>
  <si>
    <t>Salsoteca Lavoe es el punto de encuentro ideal para los amantes de la salsa y para quienes desean descubrir la magia de este apasionante ritmo latino. Su ambiente vibrante acoge tanto a locales como a visitantes extranjeros que buscan vivir la noche quiteña al compás de la música y el baile.
El lugar ofrece talleres de salsa y bachata para todos los niveles, invitando a disfrutar, aprender y dejarse llevar por la energía contagiosa del movimiento. Cada noche, la música en vivo y los DJ invitados transforman el espacio en una auténtica fiesta caribeña, donde la alegría, el sabor y la danza garantizan una experiencia inolvidable.</t>
  </si>
  <si>
    <t>"Iñaquito E2-17 y NNUU
(Junto a la gasolinera Primax)"</t>
  </si>
  <si>
    <t>Talleres de baile se realiza 20h00 durante una hora, en el horario de atención</t>
  </si>
  <si>
    <t>Miércoles a Sábado: 19h00 a 03h00
Domingos: 15h00 a 00h00</t>
  </si>
  <si>
    <t>$7.00 - $8.00</t>
  </si>
  <si>
    <t>Mayores de 18  años</t>
  </si>
  <si>
    <t>Julio Olmedo (+593) 96 400 4478 lavoe.quito@gmail.com</t>
  </si>
  <si>
    <t>006</t>
  </si>
  <si>
    <t xml:space="preserve">Quito Eterno
</t>
  </si>
  <si>
    <t>Quito Eterno convierte el Centro Histórico en un gran escenario donde la ciudad se cuenta a sí misma: recorridos teatralizados que enlazan iglesias, conventos, museos y barrios emblemáticos con una dramaturgia cuidada, protagonizada por personajes tradicionales que revelan leyendas, oficios antiguos y costumbres arraigadas. La arquitectura colonial y republicana dialoga con el patrimonio intangible en un hilo narrativo que emociona, mientras la música, la luz y la palabra ejecutada en vivo dibujan atmósferas íntimas en plazas, claustros y callejones. Es una experiencia estética y cultural de alta calidad, que rescata memoria y sentido de lugar, y hace brillar la riqueza histórica de Quito con sensibilidad contemporánea.</t>
  </si>
  <si>
    <t>Loma Grande. Fernández Madrid N 113 y Rocafuerte Capilla de los Milagros</t>
  </si>
  <si>
    <t>1 hora y 30 minutos</t>
  </si>
  <si>
    <t>Sábado 11h00 16h00,16h30 puede variar hasta las 19h00 Miércoles 19h00</t>
  </si>
  <si>
    <t xml:space="preserve">Miércoles $20.00 (2x1)
Sábados 11h00  ( $10.00 adultos)
($6.00 Tarifa diferenciada)
Sábados 16h00 a 19h00 ($20.00 adultos)
($10.00 tarifa diferenciada)
Pronto pago ($17.00 adultos)
($7.00 Tarifa diferenciada)
         </t>
  </si>
  <si>
    <t>Recorridos a pie, Si se requiere un guía que hable en otro idioma, comunicar con anticipación al contacto 098 488 1018. Se puede reservar hasta con 4 horas de anticipación</t>
  </si>
  <si>
    <t>http://quitoeterno.org/ 
(+593) 98 488 1018
info@quitoeterno.org
Adrián Gutiérrez</t>
  </si>
  <si>
    <t>007</t>
  </si>
  <si>
    <t>Mon Atelier Quito</t>
  </si>
  <si>
    <t>En Mon Atelier, tanto parejas como padres e hijos disfrutan de una experiencia creativa y divertida mientras aprenden técnicas de pintura bajo la guía de talleristas especializados. Además de sumergirse en el arte, tienen la oportunidad de degustar exquisitos quesos y vinos seleccionados cuidadosamente para estimular su creatividad. Durante aproximadamente 2 horas, los artistas los acompañan paso a paso, asegurando que al finalizar, cada participante haya creado una obra maestra única. Todo esto se desarrolla en un ambiente creativo y estimulante, ideal para compartir momentos inolvidables en compañía de seres queridos.</t>
  </si>
  <si>
    <t>José Tamayo N24-525 y Luis Cordero</t>
  </si>
  <si>
    <t>2 horas</t>
  </si>
  <si>
    <t>Depende de las actividades que promocionen. Sin embargo su horario para actividad libre es: Lunes a Sabado en  la mañana de 10:00-12:00 y en la tarde de 4:00 a 6:00</t>
  </si>
  <si>
    <t>Costo por persona: $35.00 Incluye todos los materiales y una copa de vino</t>
  </si>
  <si>
    <t>Se adapta a la necesidad</t>
  </si>
  <si>
    <r>
      <rPr>
        <u/>
        <sz val="9"/>
        <color rgb="FF1155CC"/>
        <rFont val="Calibri"/>
      </rPr>
      <t>https://www.monatelierecuador.com/</t>
    </r>
    <r>
      <rPr>
        <sz val="9"/>
        <color rgb="FF000000"/>
        <rFont val="Calibri"/>
      </rPr>
      <t xml:space="preserve">                               099 643 7788</t>
    </r>
  </si>
  <si>
    <t>008</t>
  </si>
  <si>
    <t>La Caponata</t>
  </si>
  <si>
    <t>La Caponata es un rincón encantador del Centro Histórico que conquista con el auténtico sabor de la cocina italiana y siciliana. En un ambiente colonial acogedor, con patio interior y detalles artísticos, se disfrutan pastas frescas, pizzas al estilo tradicional y opciones vegetarianas y veganas que sorprenden por su sabor. A esto se suma la magia de la música en vivo, que crea una atmósfera vibrante y especial, haciendo de cada velada un encuentro inolvidable. Además, la experiencia se enriquece con actividades culturales como el tour a pie “Pata Caliente” a través de talleres y tiendas especializadas.</t>
  </si>
  <si>
    <t>García Moreno y Manabí Centro Histórico</t>
  </si>
  <si>
    <t>1 hora 30 minutos</t>
  </si>
  <si>
    <t>- Lunes a Sábado: 12h00 a 00h00
- Domingo: 12h00 a 20h00</t>
  </si>
  <si>
    <r>
      <rPr>
        <b/>
        <sz val="9"/>
        <color rgb="FF000000"/>
        <rFont val="Calibri"/>
      </rPr>
      <t xml:space="preserve">Rango de precios
</t>
    </r>
    <r>
      <rPr>
        <sz val="9"/>
        <color rgb="FF000000"/>
        <rFont val="Calibri"/>
      </rPr>
      <t>$ 6.00  - $14.00</t>
    </r>
  </si>
  <si>
    <t>Mayores de 18 años
Recorridos a pie</t>
  </si>
  <si>
    <t xml:space="preserve">
Pablo Iturralde
(+593) 98 014 8251
info@lacaponata.com </t>
  </si>
  <si>
    <t>009</t>
  </si>
  <si>
    <t>Escuela Quiteña: Taller de Taracea</t>
  </si>
  <si>
    <t>La Escuela Quiteña: Taller de Taracea deslumbra con el arte de las incrustaciones finas—madera, concha, hueso, nácar y metales—que dan vida a piezas de autor, con los emblemáticos bargueños como sello distintivo. En este atelier, la maestría del tallado y el taraceado dialoga con la pintura y la escultura, integrando legado quiteño y diseño contemporáneo en obras de acabado exquisito. Un espacio donde el oficio alcanza categoría de arte, la historia se hace tangible en cada detalle y la elegancia artesanal conquista a primera vista.</t>
  </si>
  <si>
    <t>Calle Morales y Calle Venezuela , Casa 9-89 calle la “Ronda “ centro histórico de Quito , Quito, Ecuador</t>
  </si>
  <si>
    <t>2 horas diarias</t>
  </si>
  <si>
    <t xml:space="preserve">Lunes a Viernes 
9h00 a 18h00
</t>
  </si>
  <si>
    <t>$ 20 dólares por persona por hora</t>
  </si>
  <si>
    <t>mínimo 2 pax, máximo 15 pax</t>
  </si>
  <si>
    <t>(No incluye materiales)</t>
  </si>
  <si>
    <t>José Luis Jiménez (+593) 98 444 1999 jjimenezarteaga@gmail.com</t>
  </si>
  <si>
    <t>010</t>
  </si>
  <si>
    <t>Hojalatería Silva</t>
  </si>
  <si>
    <t>En el corazón de Quito, la Hojalatería Silva mantiene viva una de las tradiciones más emblemáticas del arte popular quiteño. Bajo la dedicación de Martha Silva, quien heredó este oficio de su padre, el taller invita a los visitantes a descubrir el fascinante mundo de la hojalata a través de talleres participativos donde se aprende, se crea y se valora el trabajo artesanal. Cada pieza, desde coloridos juguetes hasta delicados utensilios, refleja la historia, la destreza y la pasión de generaciones de artesanos. Al finalizar la experiencia, los visitantes pueden adquirir piezas únicas y llevar consigo un auténtico recuerdo del arte tradicional quiteño.</t>
  </si>
  <si>
    <t>Calle Morales - La Ronda casa 925</t>
  </si>
  <si>
    <t>45 minutos</t>
  </si>
  <si>
    <t xml:space="preserve">lunes a jueves 10h00 a 17h00
viernes y sábados 10h00 - 20h00  domingo 10h00 - 16h00
</t>
  </si>
  <si>
    <t>Elaboración de silbato: $3.00
Elaboración de repujado: $3.00
Taller de blindado: $5.00</t>
  </si>
  <si>
    <t>máximos 15 pax</t>
  </si>
  <si>
    <t>Marthita Silva 
(+593) 98 424 7622</t>
  </si>
  <si>
    <t>011</t>
  </si>
  <si>
    <t>Mercado De San Francisco</t>
  </si>
  <si>
    <t>Ubicado en el corazón del Centro Histórico, el Mercado de San Francisco es uno de los más antiguos y auténticos de Quito. Este espacio patrimonial conserva la esencia de la vida quiteña, donde los aromas, los colores y las tradiciones se entrelazan para ofrecer una experiencia única.
Reconocido por ser el epicentro de las “curas” o “limpias” realizadas por las tradicionales hierbateras, el mercado invita a descubrir la sabiduría ancestral de la medicina andina, un legado que ha perdurado por generaciones. Además, sus puestos gastronómicos ofrecen una deliciosa muestra de la cocina popular quiteña, con caldos, jugos y platos típicos preparados con el sabor de la tradición.
Visitar el Mercado de San Francisco es sumergirse en el corazón cultural de Quito, donde cada rincón cuenta una historia y cada aroma despierta la memoria de lo auténtico.</t>
  </si>
  <si>
    <t xml:space="preserve">Calle Rocafuerte. </t>
  </si>
  <si>
    <t>lunes a domingo
07h00 - 16h10</t>
  </si>
  <si>
    <t>012</t>
  </si>
  <si>
    <t>TO'AK Chocolate</t>
  </si>
  <si>
    <t>TO'AK ofrece una "Experiencia de Chocolate y Arte" donde los participantes disfrutarán de un recorrido privado por la casa del maestro Oswaldo Guayasamín, explorando todas sus estancias más íntimas de uno de los artistas más creativos de América Latina en el siglo pasado.
La experiencia sensorial continúa con una degustación completa de granos de cacao crudos y tostados, así como de cuatro ediciones diferentes de To'ak Chocolate. Durante esta experiencia, los participantes recibirán explicaciones sobre las diferentes variedades de cacao ecuatoriano, su lugar de origen, los métodos de fermentación y el envejecimiento en barricas. Se explorará cómo estas variables de producción influyen en el perfil de sabor y aroma de cada expresión del chocolate.</t>
  </si>
  <si>
    <t>Mariano Calvache E18-94 y, Quito 170135</t>
  </si>
  <si>
    <t xml:space="preserve">Lunes a Viernes 09h00 a 18h00 (EST)
</t>
  </si>
  <si>
    <t>$125.00 por persona, con un mínimo de dos personas y un máximo de ocho personas. Los niños hasta 12 años entran gratis si van acompañados de dos adultos.</t>
  </si>
  <si>
    <t>2 personas mínimo, 8 máximo</t>
  </si>
  <si>
    <t>Llamada/Texto: +1 (805) 600 8625
Ecuador: (+593) 2322 7520
https://toakchocolate.com/pages/chocolate-tour</t>
  </si>
  <si>
    <t>013</t>
  </si>
  <si>
    <t xml:space="preserve">Chez Tiff </t>
  </si>
  <si>
    <t>En el corazón de la ciudad, Chez Tiff invita a vivir una experiencia sensorial que celebra el cacao ecuatoriano en su máxima expresión. Esta chocolatería artesanal, pionera en el proceso “bean to bar”, transforma granos seleccionados de distintas regiones del país en auténticas obras de arte comestibles.
Los visitantes pueden disfrutar de catas guiadas, conocer el proceso de elaboración del chocolate y descubrir la historia y diversidad del cacao nacional, reconocido entre los mejores del mundo. Cada barra, bombón o trufa elaborada en Chez Tiff refleja la pasión por la calidad, la innovación y el compromiso con la producción sostenible.</t>
  </si>
  <si>
    <t>García Moreno N7-39 y, Quito 170401</t>
  </si>
  <si>
    <t>Capacitación 1: 30 minutos
Capacitación 2: 40 minutos
Capacitación 3: 90 minutos
Capacitación 4: 90 minutos
Capacitación 5: 60 minutos</t>
  </si>
  <si>
    <t>Lunes a Viernes de  10h00 a 18h30
Sabado y Domingo de  11h00 a 17h30</t>
  </si>
  <si>
    <t>Capacitación 1: De 1 pax a 5 pax: $20,00 + IVA (costo por grupo)
A partir de la 6ta persona: $3,50 + IVA (costo por persona)
Capacitación 2: 1 a 5 $39,50 + IVA (costo por grupo)
De 6 pax en adelante: $6,50 + IVA (costo por persona)
Capacitación 3: De 1 pax a 5 pax: $54 + IVA (costo por grupo)
De 6 pax en adelante: $ 10,50 + IVA (costo por persona)
Capacitación 4: COSTOS: 1 a 5 pax: $85 + IVA (costo por grupo) 
6 a 9 pax: $15 + IVA (costo por persona) 
Capacitación 5:  1 a 5 pax: $85 + IVA (costo por grupo) 
6 a 9 pax: $15 + IVA (costo por persona)</t>
  </si>
  <si>
    <t xml:space="preserve">30 personas maxino </t>
  </si>
  <si>
    <t xml:space="preserve">Cristina Báez-Montenegro WhatsApp: 
(+593) 99 625 8948. </t>
  </si>
  <si>
    <t>014</t>
  </si>
  <si>
    <t xml:space="preserve">Chocolate Pacari </t>
  </si>
  <si>
    <t>Chocolate Pacari ofrece experiencias de cata de chocolate y elaboración de trufas, durante las cuales los participantes pueden degustar una selección de bombones mientras se sumergen en la rica historia del cacao en Ecuador. Además, tienen la oportunidad de conocer la dedicada trayectoria y compromiso de sostenibilidad de Pacari con los productores de cacao. Estas catas representan una experiencia sensorial completa, invitando a los participantes a agudizar sus sentidos para apreciar las cualidades únicas de cada chocolate. Se explora su aspecto visual, aroma, sonido al partirlo y, por supuesto, su delicioso sabor. Esta experiencia no solo es placentera, sino también educativa, brindando la oportunidad de aprender sobre el proceso histórico del cacao ecuatoriano.</t>
  </si>
  <si>
    <t>Julio Zaldumbide N24-713 Y, Quito 170150</t>
  </si>
  <si>
    <t>Lunes a Jueves 8h00 a 20h00
Viernes a Sábado a domingo 8h00 a 10h00</t>
  </si>
  <si>
    <t>$10.00 por persona, el guía y personal gratis.</t>
  </si>
  <si>
    <t>1 persona - 50 personas</t>
  </si>
  <si>
    <t>Alérgicos a las almendras</t>
  </si>
  <si>
    <t>"https://www.facebook.com/PaccariChocolate
(02) 380 9230/ 0958749233 Alejandra Calderón."</t>
  </si>
  <si>
    <t>015</t>
  </si>
  <si>
    <t>Hotel Carlota</t>
  </si>
  <si>
    <t>Ubicado en una casa patrimonial del siglo XIX, el Hotel Carlota combina historia, diseño y sostenibilidad en pleno corazón del Centro Histórico de Quito. Su restauración ha preservado los detalles arquitectónicos originales, integrándolos con un estilo moderno que resalta la autenticidad de su entorno.
Cada habitación cuenta una historia distinta, inspirada en la ciudad y su cultura, mientras que los espacios comunes invitan al descanso y la contemplación. Su terraza ofrece una vista privilegiada de los tejados coloniales y las cúpulas quiteñas, creando un ambiente ideal para disfrutar de una bebida o una cena con encanto local.
El Hotel Carlota es más que un alojamiento: es una experiencia urbana y patrimonial que refleja la esencia de Quito con elegancia, calidez y compromiso ambiental.</t>
  </si>
  <si>
    <t>Benalcázar N 6-26 y Mejía. Quito, Ecuador</t>
  </si>
  <si>
    <t xml:space="preserve"> 2 horas
</t>
  </si>
  <si>
    <t>Arte en Carlota: Desayuno + clase: $65.00
Brunch + clase: $88.00
Menú Lounge + clase: $82.00
Clase:$55.00
Clase de cocina: $45.00
Cata de chocolate y gin: $45.00</t>
  </si>
  <si>
    <r>
      <rPr>
        <sz val="9"/>
        <color rgb="FF000000"/>
        <rFont val="Calibri"/>
      </rPr>
      <t xml:space="preserve"> </t>
    </r>
    <r>
      <rPr>
        <u/>
        <sz val="9"/>
        <color rgb="FF000000"/>
        <rFont val="Calibri"/>
      </rPr>
      <t>https://carlota.ec/</t>
    </r>
    <r>
      <rPr>
        <sz val="9"/>
        <color rgb="FF000000"/>
        <rFont val="Calibri"/>
      </rPr>
      <t xml:space="preserve"> 
(+593) 99 922 3336 / (+593) 98 495 2689</t>
    </r>
  </si>
  <si>
    <t>016</t>
  </si>
  <si>
    <t xml:space="preserve"> Páramo Brauhaus</t>
  </si>
  <si>
    <t>La Cervecería Páramo ofrece una experiencia única para los amantes de la cerveza artesanal. Los visitantes tienen la oportunidad de conocer de cerca el proceso de elaboración de la cerveza artesanal durante una visita a su fábrica. Además, pueden disfrutar de una emocionante cata de cerveza artesanal, donde pueden deleitarse con una variedad de sabores y estilos únicos. Esta experiencia brinda una mirada íntima al mundo de la cerveza artesanal y promete satisfacer los paladares más exigentes con sus deliciosas creaciones.</t>
  </si>
  <si>
    <t>Puembo- Santa Rosa y, Av. Oswaldo Guayasamín, Quito 170905</t>
  </si>
  <si>
    <t>Lunes a Viernes 08:00 – 17:00
Páramo Biergarten:
Viernes: 12:00 – 22:00
Sábado y domingo: 10:00 – 17:00</t>
  </si>
  <si>
    <t>$15.00 por persona</t>
  </si>
  <si>
    <t>20 a 50 personas</t>
  </si>
  <si>
    <t xml:space="preserve"> (02) 389 5435 
(+593) 99 271 5573 / (+593) 99 306 9654 
Judith Bauer.</t>
  </si>
  <si>
    <t>017</t>
  </si>
  <si>
    <t>Cervecería Quiteña Craft Beer Company</t>
  </si>
  <si>
    <t>Cervecería Quiteña Craft Beer Company ofrece una experiencia única de maridaje entre cerveza artesanal y embutidos también artesanales, elaborados en el lugar con dedicación y pasión. Los visitantes tienen la oportunidad de sumergirse en la historia y el proceso de producción de la cerveza, mediante un recorrido por las instalaciones de la planta cervecera, donde se revelan los secretos de la elaboración de esta bebida milenaria. Además, se ofrece una degustación completa de todos los tipos de cerveza producidos, permitiendo a los participantes explorar una amplia gama de sabores y estilos, mientras aprenden sobre las características únicas de cada una. Este encuentro con la artesanía cervecera y la tradición culinaria local promete deleitar los sentidos y brindar una experiencia memorable para los amantes de la buena comida y la cerveza de calidad.</t>
  </si>
  <si>
    <t>Av. Manuel Córdova Galarza S4-187 y Marcelina Nolivos. 300 m más al norte del Colegio Francés. Junto a Helados Avelina.</t>
  </si>
  <si>
    <t>$ 15.00 por persona</t>
  </si>
  <si>
    <t>Mínimo 6 pax (incluido guía) en un horario fuera de lo normal  Máximo 40 pax (incluido guía)</t>
  </si>
  <si>
    <t xml:space="preserve">andres.eraso@gmail.com
         https://www.facebook.com/CerveceriaQuiteña
(+593) 99 552 8651
</t>
  </si>
  <si>
    <t>018</t>
  </si>
  <si>
    <t>Santana Brewing Company</t>
  </si>
  <si>
    <t>Santana Brewing Company, establecida en 2012, es un destino imprescindible para los amantes de la cerveza artesanal. Ofrecen una experiencia única donde los visitantes pueden disfrutar de una cata de cervezas artesanales en armonía con una selección de platos nacionales contemporáneos. Cada plato está cuidadosamente elaborado para realzar y complementar los sabores de las cervezas, brindando así una experiencia gastronómica excepcional. En Santana Brewing Company, la pasión por la cerveza de calidad y la cocina local se fusionan para crear una experiencia memorable para los paladares más exigentes.</t>
  </si>
  <si>
    <t>Mitad del Mundo</t>
  </si>
  <si>
    <t>Miércoles a Domingo
12h00 a 17h00</t>
  </si>
  <si>
    <t>Máximo 10 pax</t>
  </si>
  <si>
    <t>(+593) 96 125 3653 info@santanabc.com</t>
  </si>
  <si>
    <t>019</t>
  </si>
  <si>
    <t xml:space="preserve">Heladería Dulce Jesús Mío </t>
  </si>
  <si>
    <t>La Heladería Dulce Jesús Mío ofrece una experiencia única para los amantes del helado, donde la degustación se transforma en un viaje por la tradición y la innovación. Reconocida por su impresionante variedad de helados artesanales, aquí se combina la creatividad contemporánea con la técnica ancestral del helado de paila, elaborado de forma tradicional y con ingredientes frescos.
Durante la visita, los anfitriones comparten la historia detrás de cada creación, invitando a probar propuestas exóticas como morocho, colada morada, canelazo o mojito, que sorprenden por su autenticidad y equilibrio. Más que un lugar para disfrutar un postre, Dulce Jesús Mío es una celebración del ingenio local y de la riqueza de la cultura gastronómica quiteña, donde cada cucharada evoca dulzura, identidad y alegría.</t>
  </si>
  <si>
    <t>Morales OE 325 170130 Quito, Ecuador</t>
  </si>
  <si>
    <t>Todos los días de 10h00 a 18h00</t>
  </si>
  <si>
    <t>Depende del recipiente para servirse. $1.00 - $3.50</t>
  </si>
  <si>
    <t>Hasta 32 personas</t>
  </si>
  <si>
    <t>(+593) 98 408 5720</t>
  </si>
  <si>
    <t>020</t>
  </si>
  <si>
    <t>Cherusker</t>
  </si>
  <si>
    <t>Cherusker, desde su fundación en 2011, se ha dedicado a elaborar cervezas artesanales que rinden homenaje a los estilos clásicos alemanes y europeos. Siguiendo la icónica ley de pureza alemana "Reinheitsgebot" de 1516, diversifican detalles y texturas para adaptarse al gusto nacional, logrando así una perfecta fusión entre la tradición cervecera y el encanto del Ecuador. En Cherusker, los visitantes tienen la oportunidad de vivir una experiencia única al degustar su variedad de cervezas artesanales, explorando los distintos matices y sabores que ofrecen.</t>
  </si>
  <si>
    <t>Joaquín Pinto E7-85 y Diego de Almagro</t>
  </si>
  <si>
    <t>Depende del grupo</t>
  </si>
  <si>
    <t xml:space="preserve">Lunes 16h00 a 00h00
Martes y miercoles 13h00 a 00h00
Jueves a sábado de 12h00 a 02h00 </t>
  </si>
  <si>
    <t>Variados</t>
  </si>
  <si>
    <t xml:space="preserve"> (02) 6012 142
reservaciones.uio@cherusker.com</t>
  </si>
  <si>
    <t>021</t>
  </si>
  <si>
    <t>Casa Agave Ecuador</t>
  </si>
  <si>
    <t>Casa Agave Ecuador ofrece una experiencia única que combina naturaleza, cultura y degustación. Los visitantes tienen la oportunidad de explorar su impresionante jardín botánico acompañados de un guía especializado, descubriendo la diversidad y belleza de las plantas de agave. Además, podrán sumergirse en la historia y el proceso de elaboración de los productos de agave en el museo de la casa. Para culminar la experiencia, los invitados pueden deleitarse con la degustación de "mishki", una bebida tradicional, y disfrutar de una cata de cócteles preparados con maestría por el equipo de la casa.</t>
  </si>
  <si>
    <t>Quishuar N3-29 y Casitagua - Pomasqui</t>
  </si>
  <si>
    <t xml:space="preserve">
Martes a domingo 
11h00 a 17h00
Recorridos
11h30
13h30
15h00
17h00
</t>
  </si>
  <si>
    <t>Entrada al museo, jardín botánico, cata de mishke Para público general $17.00 Para agencia; $15.00 Precio no incluye IVA</t>
  </si>
  <si>
    <t>Belén Simbaña
Llamar (+593) 99 831 6455
casaagaveoficial@gmail.com
m.me/agavemitaddelmundo
http://agavespiritecuador.com</t>
  </si>
  <si>
    <t>022</t>
  </si>
  <si>
    <t xml:space="preserve">Yumbos
Chocolate </t>
  </si>
  <si>
    <t>Chocolate Yumbo ofrece una experiencia auténtica y deliciosa para los amantes del chocolate. Su chocolate puro, producido a mano y sin conservantes ni saborizantes artificiales, proviene de lotes de cacao seleccionado de variedades aromáticas, como el Nacional Fino y de Aroma, característico de Ecuador. En este espacio, los visitantes pueden sumergirse en el proceso de tostado y elaboración del chocolate desde cero, aprendiendo sobre las técnicas tradicionales utilizadas antiguamente y degustando su exquisito chocolate caliente acompañado de un brownie elaborado con el más puro chocolate. Además, Chocolate Yumbo ofrece actividades como el "Festín de Chocolate", una experiencia de degustación donde los participantes pueden disfrutar de una selección de chocolates acompañados de una copa de vino, para una experiencia verdaderamente indulgente.</t>
  </si>
  <si>
    <r>
      <rPr>
        <b/>
        <sz val="9"/>
        <color rgb="FF000000"/>
        <rFont val="Calibri"/>
      </rPr>
      <t>Quito:</t>
    </r>
    <r>
      <rPr>
        <sz val="9"/>
        <color rgb="FF000000"/>
        <rFont val="Calibri"/>
      </rPr>
      <t xml:space="preserve">
Calle Sebastián de Benalcázar N 2-26
Segundo Piso
(Frente a la Iglesia San Francisco)
</t>
    </r>
    <r>
      <rPr>
        <b/>
        <sz val="9"/>
        <color rgb="FF000000"/>
        <rFont val="Calibri"/>
      </rPr>
      <t>Mindo:</t>
    </r>
    <r>
      <rPr>
        <sz val="9"/>
        <color rgb="FF000000"/>
        <rFont val="Calibri"/>
      </rPr>
      <t xml:space="preserve">
Avenida Quito
(a 1 cuadra de la plaza central de Mindo)
</t>
    </r>
  </si>
  <si>
    <t>QUITO: 09h30 a 19h00 MINDO: Tours disponibles a partir de las 10h00 a 22h00 todos los días de la semana.</t>
  </si>
  <si>
    <r>
      <rPr>
        <sz val="9"/>
        <color rgb="FF000000"/>
        <rFont val="Calibri"/>
      </rPr>
      <t xml:space="preserve">- Mindo: Tour Chocolate Experiencia Tradicional : $10.00
Tour Chocolate Experiencia Ancestral: $15.00
- Quito: Tour Chocolate Experiencia Tradicional : $10.00
           Tour Chocolate Experiencia Ancestral: $15.00
- Quito: Degustación chocolate caliente 4 oz: $4.00
Degustación chocolate caliente 6 oz: $6.00
 Cata  de vino: $12.00
Cata de Cerveza: $12.00
</t>
    </r>
    <r>
      <rPr>
        <b/>
        <sz val="9"/>
        <color rgb="FF000000"/>
        <rFont val="Calibri"/>
      </rPr>
      <t xml:space="preserve">Productos:
</t>
    </r>
    <r>
      <rPr>
        <sz val="9"/>
        <color rgb="FF000000"/>
        <rFont val="Calibri"/>
      </rPr>
      <t>-Barras chocolate: $6.50
-Polvo de cacao: $12.00
-Syrup de cacao: $8.00
-Salsa BBQ de chocolate: $8.00
-Jarabe de jengibre: $7.00
-Té de cacao: $6.50
-Pastillas de chocolate al 100%: $15.00
-Almendra de cacao la (oz) bajo pedido : $1.00
-Mini barras: $1.50
Los precios incluyen IVA</t>
    </r>
  </si>
  <si>
    <t xml:space="preserve">
Claudia Ponce
(+593) 98 000 4417
 Facebook: @YumbosChocolate
 www.yumboschocolate.com
 contact@yumboschocolate.com
instagram: yumboschocolate.ec</t>
  </si>
  <si>
    <t>023</t>
  </si>
  <si>
    <t>República del Cacao</t>
  </si>
  <si>
    <t>Se puede encontrar los productos del Chocolate Boutique en donde se ofrece todas las presentaciones de barras y regalos de República del Cacao. Por otro lado está el Rincón del Emprendedor, proyecto que apoya a emprendedores que realizan productos con chocolate o productos inspirados en el cacao. También está el Taller del Cacao ejecutado por el chef Santiago Cueva, en donde se ofrecen bombones únicos realizados con chocolate de cacao fino y repostería de muy alta calidad; todos estos productos se realizan en el nuevo Laboratorio de República del Cacao que también se encuentra en el local del Centro Histórico. Finalmente los clientes pueden visitar el Museo del Cacao en donde pueden aprender sobre él la historia del cacao en el Ecuador, y el proceso del mismo.</t>
  </si>
  <si>
    <t xml:space="preserve"> Venezuela N5-45 y Chile, a 15 metros de la Plaza Grande.</t>
  </si>
  <si>
    <t>1hora 30 minutos</t>
  </si>
  <si>
    <t>08h30 a 19h30</t>
  </si>
  <si>
    <t>$15.00 por personas.
Previa reserva de 24 horas</t>
  </si>
  <si>
    <t>Personas alérgicas al chocolate</t>
  </si>
  <si>
    <t>(+593) 98 346 3290
https://republicadelcacao.com/pages/stores</t>
  </si>
  <si>
    <t>024</t>
  </si>
  <si>
    <t>Mercado Iñaquito (Mercado La Carolina)</t>
  </si>
  <si>
    <t xml:space="preserve">
La experiencia gastronómica en el Mercado Iñaquito, también conocido como Mercado La Carolina, es verdaderamente diversa y vibrante. A pesar de mantener su enfoque en la venta de productos de primera necesidad a precios accesibles, el mercado ofrece una amplia variedad de opciones culinarias que reflejan la riqueza y la autenticidad de la cocina local. Con locales adyacentes que ofrecen desde platos típicos ecuatorianos hasta opciones internacionales, los visitantes pueden deleitarse con una verdadera aventura gastronómica mientras exploran los pasillos del mercado. Desde sabores tradicionales hasta innovadoras propuestas culinarias, el Mercado Iñaquito es un destino imprescindible para los amantes de la comida que buscan una experiencia auténtica y satisfactoria.</t>
  </si>
  <si>
    <t>Calle Iñaquito y  Pereira</t>
  </si>
  <si>
    <t xml:space="preserve">Lunes a Domingo
07h00 a 18h00 </t>
  </si>
  <si>
    <t>(+593) 99 468 1378</t>
  </si>
  <si>
    <t>025</t>
  </si>
  <si>
    <t>Mercado Central</t>
  </si>
  <si>
    <t>La experiencia gastronómica en el Mercado Central es una inmersión en las tradiciones culinarias de la capital. Con el 60% de los comerciantes dedicados a ofrecer platos que son emblemáticos de la cultura local, los visitantes pueden disfrutar de una variedad de delicias que incluyen la auténtica colada de churos, el reconfortante caldo bille, el sabroso caldo de guagrasinga y las deliciosas corvinas preparadas de diversas maneras. Esta diversidad de sabores y platos refleja la riqueza gastronómica de la región y ofrece a los comensales una experiencia auténtica y memorable en el corazón del Mercado Central.</t>
  </si>
  <si>
    <t>Av. Pichincha entre Manabí y Esmeraldas</t>
  </si>
  <si>
    <t>lunes a domingo 
07h00 - 15h00</t>
  </si>
  <si>
    <t>Se consulta sobre el plato a degustar dado que son platos poco comunes.
Anticipar alergías al maní, mariscos, intolerantes a la lactosa.</t>
  </si>
  <si>
    <t>(+593) 99 891 0022</t>
  </si>
  <si>
    <t>026</t>
  </si>
  <si>
    <t>Hacienda Jimenita
Naturhotel &amp; Reserva de Vida Silvestre</t>
  </si>
  <si>
    <t>La Hacienda Jimenita Naturhotel &amp; Reserva de Vida Silvestre ofrece una experiencia única donde la tranquilidad se fusiona con la exuberante naturaleza. Los huéspedes pueden sumergirse en un entorno de serenidad y descubrir la magia de la vida silvestre mientras participan en una variedad de actividades emocionantes y educativas. Desde la observación de aves en la reserva natural hasta la exploración de senderos históricos y la participación en actividades de siembra y cosecha de alimentos orgánicos, cada momento en la hacienda ofrece la oportunidad de conectarse con la tierra y aprender sobre la rica cultura ecológica de la región. Con opciones como clases de cocina, paseos a caballo por los Andes y tours hacia Papallacta y el Parque Nacional Antisana, la Hacienda Jimenita brinda una experiencia inolvidable para los amantes de la naturaleza y la aventura.</t>
  </si>
  <si>
    <t>Barrio Andrango
Pasaje 2, Casa 19,
Parroquia Pifo</t>
  </si>
  <si>
    <t>Observación de aves: 2 horas 
Sendero Histórico: sin restricción
Alimenta a las llamas: sin restricción
Siembre y Cosecha: 06h00 a 17h00
Clases de cocina: 1 a 2 horas 
Paseo a Caballo en los Andes: 5 horas
Tour de la Rosa Gigante: 2 horas
Tour del Cóndor: 5 horas</t>
  </si>
  <si>
    <t>Observación de aves:  07h00 a 10h00 y de 14:00 a 18:00
Sendero Histórico: Cualquier hora
Alimenta a las llamas: 06h00 a 20h00
Siembre y Cosecha: 06h00 a 17h00
Clases de cocina: 06h00 a 20h00 
Paseo a Caballo en los Andes: parte desde la hacienda a las 08h00 y 09h00
Tour de la Rosa Gigante: parte desde la hacienda a las 08h00 y 09h00
Tour del Cóndor: parte desde la hacienda a las 06h00 a 07h00</t>
  </si>
  <si>
    <t>Observación de aves: $60.00
Sendero Histórico: No tiene costo, debe estar hospedado
Alimenta a las llamas: Canasta de alimentos $5.00, debe estar hospedado
Siembre y Cosecha: No tiene costo, debe estar hospedado
Clases de cocina: $50.00 a $80.00 inlcuye todos los utensillos e insumos 
Paseo a Caballo en los Andes: $140.00
Tour de la Rosa Gigante: $60.00
Tour del Cóndor: $180.00
Precios no incluyen IVA</t>
  </si>
  <si>
    <t>Entre 10 a 12 participantes, en las actividades que son necesarios guías o chef</t>
  </si>
  <si>
    <t>Karina Morejón
(+593) 95 860 4606 
(+593) 99 923 8048
info@jimenita.com
ventas@jimenita.com</t>
  </si>
  <si>
    <t>027</t>
  </si>
  <si>
    <t xml:space="preserve">Sacha Rose
</t>
  </si>
  <si>
    <t xml:space="preserve">
Se caracterizan por tener las rosas más grandes del mundo es la marca registrada de esta florícola. 
Se caracterizan por constantes en la calidad, el compromiso con la comunidad, la productividad sostenible y el compromiso con el medio ambiente. Brinda la experiencia de  Tour guiados para turistas nacionales y extranjeros y la visita al invernadero donde están las rosas, explicación de la productividad, tipo de cultivo, post cosecha, café con galletas de cortesía.</t>
  </si>
  <si>
    <t>Vía Pifo-Papallacta Km 8</t>
  </si>
  <si>
    <t>07h00 a 15h00</t>
  </si>
  <si>
    <t>Tours guiados 
$10.00 + IVA</t>
  </si>
  <si>
    <t>Mínimo 5 turistas</t>
  </si>
  <si>
    <t>Los días sábado y domingo; para brindar la experiencia, debe haber mínimo 5 turistas, de lunes a viernes no es inconveniente la cantidad de turistas. 
Siempre hacer reserva con 3 días de anticipación, al correo auxiliar@sacharose.com o al número +593 99 833 8944.
Los guías hablan español, en caso de necesitar un guía que hable inglés, el dueño podría ayudar con la experiencia</t>
  </si>
  <si>
    <r>
      <rPr>
        <sz val="9"/>
        <color rgb="FF000000"/>
        <rFont val="Calibri"/>
      </rPr>
      <t xml:space="preserve">
Ing. Guillermo Bustamante
Teléfono: (02) 450 8929
Celular: (+593) 99 833 8944
</t>
    </r>
    <r>
      <rPr>
        <b/>
        <sz val="9"/>
        <color rgb="FF000000"/>
        <rFont val="Calibri"/>
      </rPr>
      <t xml:space="preserve">VENTAS: </t>
    </r>
    <r>
      <rPr>
        <sz val="9"/>
        <color rgb="FF000000"/>
        <rFont val="Calibri"/>
      </rPr>
      <t xml:space="preserve">
Hemerson Salazar
Correo: Skype sales_sacha
Instagram: @sacharoseec
Mail: gerencia@sacharose.com
Ana Cajamarca
auxiliar@sacharose.com
</t>
    </r>
  </si>
  <si>
    <t>028</t>
  </si>
  <si>
    <t>Pambiliño Bosque escuela.</t>
  </si>
  <si>
    <t xml:space="preserve">
Pambiliño Bosque Escuela ofrece una experiencia inmersiva en el exuberante bosque lluvioso del Chocó Andino, situado a 550 metros sobre el nivel del mar, en las afueras de Quito. Este espacio único presenta una biodiversidad impresionante que está bajo amenaza, brindando la oportunidad de participar en el turismo vivencial. Los visitantes pueden explorar el bosque con una variedad de actividades flexibles, que incluyen cursos y talleres sobre agricultura sostenible, descubrimiento sensorial en el bosque, laboratorios de alimentos, así como también opciones de turismo vivencial como gastronomía y senderismo guiado. Con opciones de hospedaje y alimentación disponibles dentro de la finca Pambiliño, los visitantes pueden diseñar una experiencia a medida que se adapte a sus intereses y preferencias.</t>
  </si>
  <si>
    <t>Vía a Mashpi. 53 JR+Q45, Quito</t>
  </si>
  <si>
    <t xml:space="preserve">Sendero Regeneración Natural:  2 horas
Gastronomía del Bosque: 4 horas
Sendero Eco Restauración: 3 horas
Aves, fauna y flora: 2 horas
Baño en el río: tiempo libre
</t>
  </si>
  <si>
    <t xml:space="preserve">Bajo reserva </t>
  </si>
  <si>
    <t xml:space="preserve">Sendero Regeneración Natural: $10.00
Gastronomía del Bosque:$20.00
Sendero Eco Restauración:$15.00
Aves, fauna y flora: $10.00
Baño en el río: aporte voluntario
</t>
  </si>
  <si>
    <t>https://www.pambilino.org/turismo-vivencial</t>
  </si>
  <si>
    <t>029</t>
  </si>
  <si>
    <t>INACTIVO</t>
  </si>
  <si>
    <t>Convento de San Agustín</t>
  </si>
  <si>
    <t>En pleno Centro Histórico, el Convento de San Agustín resguarda siglos de historia, arte y espiritualidad. Este majestuoso conjunto arquitectónico, construido entre los siglos XVI y XVII, alberga una de las iglesias más bellas de Quito y el Museo Miguel de Santiago, donde se conservan lienzos y esculturas de la Escuela Quiteña.
Habitualmente abierto para recorridos por la  iglesia principal, los claustros y las salas que guardan verdaderas joyas del arte barroco. En ocasiones especiales, se habilitan visitas ampliadas que incluyen patios, torres o espacios internos, ofreciendo una mirada exclusiva a este tesoro patrimonial.
Más que un monumento religioso, el Convento de San Agustín es un encuentro con la esencia de Quito: un lugar donde el silencio, la belleza y la historia se funden para inspirar a quienes lo recorren.
No se olvide de probar sus productos como licor canario, galletas, pasteles frescos, o  agua de rosas.</t>
  </si>
  <si>
    <t>Guayaquil N5-59 y Chile</t>
  </si>
  <si>
    <t>Depende del recorrido</t>
  </si>
  <si>
    <t>030</t>
  </si>
  <si>
    <t>LA CUCHARA ORGÁNICA</t>
  </si>
  <si>
    <t>La Cuchara Orgánica es mucho más que un restaurante, es un espacio comprometido con la revalorización de saberes ancestrales, el comercio justo y la cocina saludable y consciente. Ofrecen una variedad de experiencias gastronómicas únicas que van desde talleres especializados de cocina saludable con Mamita Pastora, donde se enseñan platos tradicionales ecuatorianos y recetas con plantas no convencionales del Chocó Andino, hasta experiencias de aprendizaje y degustación de productos como la savia del agave andino y productos derivados. También ofrecen catas y elaboración de infusiones, bebidas, barras de chocolate y bombones con café y cacao del Chocó Andino. Los domingos, brindan actividades educativas y divertidas para niños con clases de cocina y juegos tradicionales. Además, ofrecen tours educativos por su pequeña huerta andina y por la localidad de Calacalí, donde se visitan monumentos, se degustan dulces tradicionales y se participa en rituales andinos de agradecimiento. Estas experiencias proporcionan una conexión profunda con la cultura, la naturaleza y la gastronomía de la región.</t>
  </si>
  <si>
    <t>Juan José Flores E536 y pasaje Luis Calderón, Calacalí, Ecuador</t>
  </si>
  <si>
    <t>Miercoles a domingo
10h00 a 17h00</t>
  </si>
  <si>
    <t>Experiencia cocinando con Mamita Pastora: depende de la activida que se elija si especializada o express.
Experiencia Tzawar: USD 7
Experiencia Café y Cacao del Chocó Andino: USD 7
Experiencia Wawas en La Cuchara: actividad gratuita con aporte voluntario.</t>
  </si>
  <si>
    <t>Mínimo 10 personas, máximo 20.</t>
  </si>
  <si>
    <t>031</t>
  </si>
  <si>
    <t>Laguna de secas</t>
  </si>
  <si>
    <t>La Laguna de Secas ofrece una experiencia natural única, ideal para disfrutar en familia y sumergirse en la belleza del entorno. Este espacio natural permite realizar una variedad de actividades recreativas, como camping, pesca deportiva y excursiones, que brindan la oportunidad de conectar con la naturaleza y crear recuerdos inolvidables. Ya sea relajándose junto a la laguna o explorando los senderos circundantes, los visitantes pueden disfrutar de momentos de tranquilidad y aventura en este hermoso entorno natural.</t>
  </si>
  <si>
    <t>Se toma la vía pavimentada que sube desde Pintag a la Reserva Ecológica Antisana, unos 12 kilómetros y se podrá observar a la izquierda La Laguna de Secas.</t>
  </si>
  <si>
    <t>Pintag - Mirador Lagunas de Secas 30 min                                                                                                                       
Vía al Antisana - Lagunas de Secas 1 hora y 20 minutos</t>
  </si>
  <si>
    <t>Lunes a Domingo                                                                                                                                                                Hora de Ingreso 07h00 a 15h00                                                                                                                                      Hora de Salida 18h00</t>
  </si>
  <si>
    <t>Gratuito</t>
  </si>
  <si>
    <t>No cazar
No mascotas</t>
  </si>
  <si>
    <t>032</t>
  </si>
  <si>
    <t>Laguna de Loreto</t>
  </si>
  <si>
    <t>La Laguna de Loreto, ubicada dentro del Parque Nacional Cayambe-Coca, ofrece una experiencia incomparable para los amantes de la naturaleza y los aventureros. Este impresionante paisaje es un lugar ideal para acampar y realizar excursiones, permitiendo a los visitantes sumergirse en la belleza natural de la región. Con su entorno pintoresco y su atmósfera serena, la Laguna de Loreto invita a los viajeros a desconectarse del bullicio de la vida cotidiana y conectarse con la tranquilidad y la majestuosidad de la naturaleza.</t>
  </si>
  <si>
    <t>Se empieza desde la población de Papallacta, se toma el desvío hacia las termas de Papallacta y luego al Parque Nacional Cayambe Coca. Ahí se deja el vehículo y se debe ir caminando o en bicicleta hasta la laguna.</t>
  </si>
  <si>
    <t xml:space="preserve">Termas de Papallacta - Contol de la Reserva 17 minutos                                                                                     Control de la Reserva - Laguna de Loreto 15 minutos </t>
  </si>
  <si>
    <t>Martes a Domingo                                                                                                                                                          
Horario de Ingreso 08h00 a 14h00                                                                                                                                 
Hora de Salida 17h00</t>
  </si>
  <si>
    <t>Por día 400 personas</t>
  </si>
  <si>
    <t>No botar basura
No mascotas</t>
  </si>
  <si>
    <t>033</t>
  </si>
  <si>
    <t>Laguna de Tipo Pugro</t>
  </si>
  <si>
    <t>La Laguna de Tipo Pugro es un destino turístico de fácil acceso que cautiva con su belleza natural y su historia geológica. Formada principalmente por erupciones secundarias del volcán Antisana y alimentada por el represamiento del río Chacauco, esta laguna ofrece un paisaje impresionante y una atmósfera tranquila. Los visitantes pueden disfrutar de actividades como la pesca deportiva, emocionantes excursiones y la oportunidad de acampar en sus alrededores, brindando una experiencia inolvidable en contacto directo con la naturaleza.</t>
  </si>
  <si>
    <t>Laguna Tipopugro, Via Antisana, Quito</t>
  </si>
  <si>
    <t>Miércoles a Domingo                                                                                                                                                                Hora de Ingreso 07h00 a 15h00                                                                                                                                      Hora de Salida 18h00</t>
  </si>
  <si>
    <t>Costo de Entrada por Persona: $3</t>
  </si>
  <si>
    <t>034</t>
  </si>
  <si>
    <t>Reserva Geobotánica El Pululahua</t>
  </si>
  <si>
    <t>La Reserva Geobotánica El Pululahua es una joya natural única, siendo la única área protegida con esta designación en Ecuador. Este lugar ofrece una experiencia excepcional para los amantes de la naturaleza, donde pueden sumergirse en la biodiversidad y la belleza escénica de la región. Además de ser un refugio para una gran variedad de flora y fauna, la reserva proporciona un entorno ideal para actividades al aire libre, como el camping y las emocionantes excursiones, permitiendo a los visitantes conectarse íntimamente con este paisaje volcánico impresionante.</t>
  </si>
  <si>
    <t>Ingreso por Ventanillas. Por la carretera Quito – Calacalí. A 6 kilómetros del Monumento a la Mitad del Mundo, en el sector de Caspigasí (hay una gasolinera en el sector), se desvía hacia la derecha y se sigue 1,2 kilómetros hasta el mirador. Ingreso por Moraspungo. Por la vía Quito – Calacalí se continúa 8 kilómetros después del sector de Caspigasí, hasta llegar a una segunda gasolinera. A 500 metros se encuentra una vía de tierra a mano derecha. Tras 3 kilómetros se llega al control de Moraspungo. Desde este sector toma 30 minutos llegar a la caldera por una vía con muchas curvas y de fuerte pendiente que cubre una extensión de 12 kilómetros.</t>
  </si>
  <si>
    <t>Trekking y senderismo: 2 a 5 horas                                                                                                                                                 Caminata de 1 día: 6 horas                                                                                                                                                     Recorrido Completo: 5 horas</t>
  </si>
  <si>
    <t>Todos los días de 08h00 a 17h00</t>
  </si>
  <si>
    <t>(02) 239-6543</t>
  </si>
  <si>
    <t>035</t>
  </si>
  <si>
    <t>San José de Mashpi</t>
  </si>
  <si>
    <t>San José de Mashpi ofrece una experiencia auténtica en un entorno natural espectacular. Esta pequeña comunidad es un destino ideal para los amantes de la aventura y la naturaleza. Rodeada de exuberante vegetación y ubicada junto al río que lleva el mismo nombre, San José de Mashpi brinda la oportunidad de realizar emocionantes excursiones, explorar la zona en bicicleta y disfrutar del campismo en un ambiente sereno y tranquilo. Con su belleza natural y su ambiente acogedor, esta comunidad es el lugar perfecto para desconectar y disfrutar de la vida al aire libre.</t>
  </si>
  <si>
    <t>Desde Quito tomar un autobús desde el Terminal Terrestre de Carcelén hacia Pedro Vicente Maldonado, allí tomar la línea rural Mashpi – Pachijal.</t>
  </si>
  <si>
    <t>2 horas 30 minutos hasta 3 horas</t>
  </si>
  <si>
    <t>Todos los días</t>
  </si>
  <si>
    <t>No basura
No mascotas</t>
  </si>
  <si>
    <t>036</t>
  </si>
  <si>
    <t>Laguna de Parcacocha</t>
  </si>
  <si>
    <t xml:space="preserve">La Laguna de Parcacocha, situada dentro del impresionante Parque Nacional Cayambe Coca, ofrece una experiencia única para los amantes de la naturaleza y la aventura. Este pintoresco lugar es perfecto para actividades al aire libre como el campismo, la pesca deportiva y emocionantes excursiones. Rodeada de majestuosas montañas y una exuberante vegetación, la Laguna de Parcacocha brinda un escenario tranquilo y sereno para disfrutar de la belleza natural de la región. Con su ambiente relajante y sus actividades emocionantes, esta laguna es un destino imperdible para aquellos que buscan conectarse con la naturaleza y explorar nuevas experiencias al aire libre.
</t>
  </si>
  <si>
    <t>vía a Lago Agrio, el ingreso es por la Virgen de Papallacta</t>
  </si>
  <si>
    <t>1 hora de caminata</t>
  </si>
  <si>
    <t>Todos los dias                                                                                                                                                           
06h00 a 18h00</t>
  </si>
  <si>
    <t>(02) 211-0370.
 (06) 232-9743</t>
  </si>
  <si>
    <t>037</t>
  </si>
  <si>
    <t>Laguna de Micacocha</t>
  </si>
  <si>
    <t>La Laguna de Micacocha, ubicada en la Reserva Ecológica Antisana, ofrece una experiencia inolvidable en medio de un entorno natural impresionante. Esta laguna es el escenario perfecto para una variedad de actividades al aire libre, como emocionantes excursiones, campismo bajo las estrellas y pesca deportiva en aguas cristalinas. Además, los visitantes tienen la oportunidad de deleitarse con el avistamiento de la rica fauna y flora nativa que habita en los alrededores de la laguna, lo que añade un toque de aventura y belleza a esta experiencia única en la naturaleza.</t>
  </si>
  <si>
    <t>Quito–Píntag–Laguna Micacocha o la carretera Quito–Av. rumiñahui-Colibrí- vía Píntag. Otra vía alterna es la carretera Quito–Tumbaco–Pifo–vía Píntag.</t>
  </si>
  <si>
    <t>50 minutos</t>
  </si>
  <si>
    <t>Todos los dias                                                                                                                                                           
08h00 a 17h00</t>
  </si>
  <si>
    <t>038</t>
  </si>
  <si>
    <t>Laguna de Loreto, Parcacocha y anteojos</t>
  </si>
  <si>
    <t>La Laguna de Loreto, la Laguna de Parcacocha y los Anteojos son destinos fascinantes dentro del Parque Nacional Cayambe-Coca, donde los visitantes pueden disfrutar de una variedad de actividades al aire libre. Desde el camping hasta las emocionantes excursiones, estas áreas ofrecen la oportunidad de sumergirse en la belleza natural de la región. Rodeadas de majestuosas montañas y una exuberante vegetación, estas lagunas son lugares ideales para relajarse y disfrutar de la tranquilidad de la naturaleza.</t>
  </si>
  <si>
    <t>039</t>
  </si>
  <si>
    <t>Mirador La Amagusa</t>
  </si>
  <si>
    <t>El Mirador La Amagusa es un destino excepcional para los amantes de las aves y la naturaleza. Esta reserva ofrece una experiencia enriquecedora de avistamiento de aves, con la posibilidad de presenciar una variedad de especies en su hábitat natural. Además, cuenta con paquetes de excursión diseñados específicamente para la observación y fotografía de aves, brindando a los visitantes la oportunidad de capturar momentos únicos en imágenes. Para aquellos que desean sumergirse completamente en esta experiencia, la reserva también ofrece la opción de alojamiento en el espacio, lo que permite una inmersión completa en el entorno natural y la tranquilidad que lo rodea. Con su ambiente sereno y su abundante vida silvestre, el Mirador La Amagusa es el destino perfecto para aquellos que buscan conectarse con la naturaleza y disfrutar de la belleza de las aves en su hábitat natural.</t>
  </si>
  <si>
    <t xml:space="preserve"> Por la vía a Pactoloma, pasando el recinto La Delicia, hasta el mirador de Mashpi, apenas 13 kilómetros conducen a la reserva Amagusa.</t>
  </si>
  <si>
    <t>info@mashpi-amagusa.com
+593-98-321-7713.</t>
  </si>
  <si>
    <t>040</t>
  </si>
  <si>
    <t>Heladería San Agustin</t>
  </si>
  <si>
    <t>Demostración gratuita del oficio artesanal de elaborar Helado de Paila bajo reserva
Servicio a domicilio con plataforma de motorizados Fénix costo km de distancia $0.50
Helado con humo si eres cumpleañero (válido por 10 días antes o después del cumpleaños
History Time con la Abuelita Encarnación, de viernes a domingo de 13:00 a 14:30. Desde el purgatorio viene la segunda propietaria de Heladería San Agustín para contarte las leyendas de Quito</t>
  </si>
  <si>
    <t>Guayaquil N5-59 y, Quito</t>
  </si>
  <si>
    <t>De Lunes  a Domingo de 9:30am hasta 16:00pm</t>
  </si>
  <si>
    <t>De Lunes  a Domingo de 9:30am hasta 16:00pm. Reserva de Mesa con 72 horas de anticipación si deseas para el mismo día solicitar información vía WhatsApp</t>
  </si>
  <si>
    <t>Demostracion del  oficio artesanal de elaborar helado de paila: De lunes a jueves no tiene costo alguno la demostracion en el horario de 10:30am a 11:45am y debe reservas con 1 dia de antelacion. Fines de semana tiene un costo de $10 por grupo</t>
  </si>
  <si>
    <t>Reserva de Mesa con 72 horas de anticipación si deseas para el mismo día solicitar información vía WhatsApp</t>
  </si>
  <si>
    <t>041</t>
  </si>
  <si>
    <t>Reserva Orquideológica Pahuma</t>
  </si>
  <si>
    <t>Sumergirse en la Reserva Orquideológica Pahuma es adentrarse en un mundo de misterio y belleza en el corazón del bosque nublado. Aquí, los visitantes pueden explorar una variedad de actividades que van desde emocionantes excursiones hasta cautivadoras sesiones de fotografía. La reserva no solo ofrece una experiencia de conexión con la naturaleza, sino también oportunidades de educación ambiental, avistamiento de aves y la posibilidad de sumergirse en la investigación de especies nativas. Además, la aventura se intensifica con la visita a cascadas majestuosas y la emocionante práctica de rapel, haciendo de cada momento en Pahuma una experiencia inolvidable y enriquecedora.</t>
  </si>
  <si>
    <t>Vía Calacalí - La Independencia.</t>
  </si>
  <si>
    <t>De 10 minutos a 4 horas.</t>
  </si>
  <si>
    <t>Todos los días de 8h00 a 17h00</t>
  </si>
  <si>
    <t>USD 2.50</t>
  </si>
  <si>
    <t>969612807 
pahuma@gmail.com</t>
  </si>
  <si>
    <t>042</t>
  </si>
  <si>
    <t>Bellavista Cloud Forest</t>
  </si>
  <si>
    <t>Explorar la Bellavista Cloud Forest es sumergirse en un mundo de maravillas naturales donde cada paquete ofrece una experiencia única y envolvente. Desde el vibrante Paraíso de los Colibríes hasta la inmersión completa en el misterioso Bosque Nublado, los visitantes son recibidos con transporte desde Quito, deliciosas comidas y la guía experta para cada excursión. Con opciones de hospedaje para todas las duraciones, desde una noche hasta tres días, los exploradores tienen la oportunidad de sumergirse en el avistamiento de aves y descubrir la fascinante vida silvestre, incluyendo el emblemático gallito de la peña. Cada paquete promete una experiencia inolvidable en este paraíso natural.</t>
  </si>
  <si>
    <t>Nanegalito, km 62 vía antigua Nono – Tandayapa – Los Bancos.</t>
  </si>
  <si>
    <t xml:space="preserve">1. Full day
2. 2 días y 1 noche..
3. 3 días y 2 noches
</t>
  </si>
  <si>
    <t xml:space="preserve">Todos los días de 09h00 a 20h00 (Check-In) y (Check-Out) 11h00                                     </t>
  </si>
  <si>
    <t>"Ofece paquetes de:
1.El Paraíso de los Colibríes: Transporte desde Quito, desayuno, almuerzo, guida para recorrido.
2. Descubra El Bosque Nublado: Transporte desde Quito, hospedaje, todas las comidas,  guia pra las excursiones, avistamiento de aves. 
3. Paquete 2 días y una noche:  Transporte desde Quito, hospedaje, todas las comidas,  guia pra las excursiones, avistamiento de aves + el gallito de la peña.
4. Descubrimiento de Bellavista: Transporte desde Quito, hospedaje, todas las comidas,  guia pra las excursiones, avistamiento de aves 
5. Paquete 3 días y 2 noches: Transporte desde Quito, hospedaje, todas las comidas,  guia pra las excursiones, avistamiento de aves + gallito de la peña."
1. 1 personas USD 129, + de 5 personas USD 95
2. más de 2 personas USD 211 + niños de 5 -11 USD 117 
3. más de 2 personas USD270 + niños de 5  - 11 USD 164</t>
  </si>
  <si>
    <t>No mascotas</t>
  </si>
  <si>
    <t>0 994165868 /
       0999490891 
info@bellavistacloudforest.com</t>
  </si>
  <si>
    <t>043</t>
  </si>
  <si>
    <t>Reserva Yanacocha</t>
  </si>
  <si>
    <t>Explorar la naturaleza con Jocotours es una experiencia enriquecedora y emocionante que te sumerge en la belleza y diversidad de los Andes. Con guías especializados, los visitantes pueden recorrer los senderos, avistar aves exóticas, como los impresionantes colibríes, y tener la posibilidad única de avistar osos andinos en su hábitat natural. Además de esta emocionante aventura, Jocotours ofrece una variedad de comodidades, desde zonas de camping hasta áreas de picnic, perfectas para disfrutar de la serenidad del entorno. Con un centro de interpretación para aprender sobre la rica flora nativa y ocho senderos de diferentes niveles de dificultad, cada visita promete una conexión profunda con la naturaleza y momentos inolvidables en este paraíso andino.</t>
  </si>
  <si>
    <t>Vía Nono, 2 kilómetros pasando la EPMAPS</t>
  </si>
  <si>
    <t>Depende el recorrido</t>
  </si>
  <si>
    <t>Lunes a viernes 
7h00 a 15h00
Último ingreso a las 11h30</t>
  </si>
  <si>
    <t>USD 15 extranjeros
USD 5 nacionales</t>
  </si>
  <si>
    <t xml:space="preserve">No se permite el ingreso con mascotas
No se permite el ingreso con bicicletas (contamos con parqueadero para bicis)
No tocar ni alimentar a los animales silvestres. No botar basura
</t>
  </si>
  <si>
    <t>0997101535 | 0992440038</t>
  </si>
  <si>
    <t>044</t>
  </si>
  <si>
    <t>Chakana</t>
  </si>
  <si>
    <t>La experiencia en Chakana es una inmersión fascinante en la belleza natural de los Andes, donde cada momento ofrece la oportunidad de conectar con la majestuosidad de la vida silvestre. Desde el impresionante Mirador del Isco, los visitantes pueden deleitarse con el espectáculo del avistamiento de cóndores, las majestuosas aves que surcan los cielos andinos. Además, el mini centro de interpretación proporciona una ventana al rico ecosistema de la región, mientras que los humedales de páramo ofrecen un santuario para la observación de aves migratorias durante los meses de octubre a marzo. Cada experiencia en Chakana promete una conexión íntima con la naturaleza y momentos de asombro y admiración frente a la grandiosidad de los Andes.</t>
  </si>
  <si>
    <t>Vía Píntag, 40 minutos camino a la Reserva Chakana</t>
  </si>
  <si>
    <t xml:space="preserve">Bajo reserva 
</t>
  </si>
  <si>
    <t xml:space="preserve">No se permite el ingreso con mascotas
No se permite el ingreso con bicicletas (contamos con parqueadero para bicis)
No tocar ni alimentar a los animales silvestres.
</t>
  </si>
  <si>
    <t>045</t>
  </si>
  <si>
    <t>Reserva Maquipucuna</t>
  </si>
  <si>
    <t>Explorar la Reserva Maquipucuna es adentrarse en un paraíso natural lleno de fascinantes descubrimientos y experiencias enriquecedoras. Con un extenso sendero de 40 kilómetros, los senderistas tienen la oportunidad de sumergirse en la exuberante selva tropical y descubrir la rica variedad de fauna que habita en la reserva. Los amantes de las aves quedan maravillados por las más de 400 especies que llaman hogar a este santuario, mientras que los entusiastas de la vida silvestre pueden emocionarse con el avistamiento de osos, una experiencia única dada la congregación de estos majestuosos animales. Además, tras una jornada de exploración, los visitantes pueden refrescarse en las cristalinas aguas de la cascada, ubicada a tan solo 10 minutos a pie, completando así una experiencia inolvidable en la Reserva Maquipucuna.</t>
  </si>
  <si>
    <t xml:space="preserve">vía Santa Marianita </t>
  </si>
  <si>
    <t>Lunes a viernes
8h00 a 17h00</t>
  </si>
  <si>
    <t>Visita por Día                                                                                                                                                                                 Adultos: $25                                                                                                                                                                        Niños (4 a 11 años): $16</t>
  </si>
  <si>
    <t>099 421 8033</t>
  </si>
  <si>
    <t>046</t>
  </si>
  <si>
    <t>Papallacta - Oyacachi Parte Alta</t>
  </si>
  <si>
    <t>Explorar Papallacta - Oyacachi Parte Alta es sumergirse en un oasis de aventura dentro del majestuoso Parque Nacional Cayambe - Coca. Con senderos para excursiones que serpentean a través de paisajes impresionantes, paseos en bicicleta que ofrecen una perspectiva única de la naturaleza circundante y emocionantes sesiones de escalada de montaña para los más intrépidos, cada rincón de este espacio promete una experiencia inolvidable. Los amantes de la naturaleza pueden acampar bajo el cielo estrellado o embarcarse en emocionantes cabalgatas a través del paisaje montañoso. Además, la posibilidad de avistar osos en su hábitat natural agrega un toque de emoción y asombro a esta aventura en Papallacta - Oyacachi Parte Alta.</t>
  </si>
  <si>
    <t>Vía Cangahua.</t>
  </si>
  <si>
    <t>No mascotas
No botar basura</t>
  </si>
  <si>
    <t>Zona alta. (02) 211-0370.
Zona baja. (06) 232-9743 / (06) 232-0184.</t>
  </si>
  <si>
    <t>047</t>
  </si>
  <si>
    <t>Aldea Turística Puma Sacha - Cayoning</t>
  </si>
  <si>
    <t>Explorar la Aldea Turística Puma Sacha - Cayoning es sumergirse en una experiencia emocionante y llena de aventuras en medio de la exuberante naturaleza. Con senderos de trekking que atraviesan paisajes impresionantes, los visitantes tienen la oportunidad de deleitarse con la rica flora y fauna de la zona. La verdadera emoción llega con el cayoning en las impresionantes cascadas, una actividad realizada junto a profesionales que garantizan seguridad y diversión. Para los amantes de la vida al aire libre, la opción de camping ofrece la oportunidad de dormir bajo el cielo estrellado, mientras que el avistamiento de aves añade un toque de serenidad y belleza a la experiencia. En la Aldea Turística Puma Sacha - Cayoning, cada momento promete una aventura inolvidable en armonía con la naturaleza.</t>
  </si>
  <si>
    <t>Km 43 vía Calacalí la Independencia</t>
  </si>
  <si>
    <t>Martes a domingo
8h00 a 18h00</t>
  </si>
  <si>
    <t>Depende de la actividad</t>
  </si>
  <si>
    <t>depende del grupo</t>
  </si>
  <si>
    <t>048</t>
  </si>
  <si>
    <t>Reserva Intillacta
Tucanopy - canopy - puentes de altura</t>
  </si>
  <si>
    <t>Explorar la Reserva Intillacta es sumergirse en un mundo de emocionantes aventuras en medio de la exuberante naturaleza. Con actividades diseñadas para todos los amantes del aire libre, la reserva ofrece una experiencia única de Tucanopy, donde se desliza por la selva en un emocionante recorrido de canopy, siempre bajo la supervisión de personal capacitado. Los entusiastas del trekking pueden adentrarse en los senderos de la reserva para descubrir la fascinante flora y fauna que la habita, mientras que aquellos en busca de adrenalina pueden disfrutar del Canoping junto a profesionales que garantizan seguridad y diversión en cada momento. En la Reserva Intillacta, cada experiencia promete una conexión profunda con la naturaleza y momentos de emoción inolvidables.</t>
  </si>
  <si>
    <t>km 63,5 via Calacali, Quito</t>
  </si>
  <si>
    <t>Aforo 25 personas</t>
  </si>
  <si>
    <r>
      <rPr>
        <sz val="9"/>
        <color rgb="FF000000"/>
        <rFont val="Calibri"/>
      </rPr>
      <t xml:space="preserve">995311625                                                                             </t>
    </r>
    <r>
      <rPr>
        <u/>
        <sz val="9"/>
        <color rgb="FF1155CC"/>
        <rFont val="Calibri"/>
      </rPr>
      <t>https://tucanopy.com</t>
    </r>
  </si>
  <si>
    <t>049</t>
  </si>
  <si>
    <t>Nayón Xtrem Valley
Parque de aventura</t>
  </si>
  <si>
    <t>Explorar Nayón Xtrem Valley es sumergirse en un paraíso de aventuras y emoción en medio de un entorno natural impresionante. Desde emocionantes partidas de paintball hasta la adrenalina de la caída en péndulo, donde los pasajeros se elevan a grandes alturas en un columpio extremo, cada momento promete una experiencia llena de acción. El puente colgante más grande de Latinoamérica ofrece una oportunidad única para los aventureros audaces de cruzar sus 250 metros de longitud y luego regresar en un emocionante recorrido de canopy a velocidades de hasta 50 km por hora. Además de estas emocionantes actividades, el parque ofrece áreas recreativas, como piscinas y restaurantes, donde los visitantes pueden relajarse y recargar energías después de una jornada llena de emociones fuertes. En Nayón Xtrem Valley, la diversión nunca termina.</t>
  </si>
  <si>
    <t>Paltapamba S2-72, Quito 170170</t>
  </si>
  <si>
    <t>Depende el recorrido y el servicio que necesite</t>
  </si>
  <si>
    <t xml:space="preserve">Lunes a domingo
9h00 a 17h00.                                </t>
  </si>
  <si>
    <t>No basura
No recolectar flora y fauna
Personas con vértigo es preferible que se avisen.        El servicio de hospedaje necesita reserva</t>
  </si>
  <si>
    <t>099 995 8305 / 098 455 5970</t>
  </si>
  <si>
    <t>050</t>
  </si>
  <si>
    <t>Cascada La Piragua</t>
  </si>
  <si>
    <t xml:space="preserve">
Explorar la Cascada La Piragua es sumergirse en un paraíso natural de belleza sin igual. Aquí, los visitantes pueden maravillarse con la imponente cascada y sumergirse en la exuberante flora y fauna que habita en sus alrededores. Además de ser testigos de la majestuosidad de la naturaleza, los aventureros tienen la oportunidad de disfrutar de áreas de recreación para relajarse y recargar energías, así como de emocionantes caminatas por los senderos cercanos. En la Cascada La Piragua, cada momento ofrece una experiencia enriquecedora y memorables encuentros con la naturaleza.</t>
  </si>
  <si>
    <t>Nanegal</t>
  </si>
  <si>
    <t>USD 2 por persona</t>
  </si>
  <si>
    <t>No basura
No acampar</t>
  </si>
  <si>
    <t>051</t>
  </si>
  <si>
    <t>Cascada de Guagrapamba</t>
  </si>
  <si>
    <t>Explorar la Cascada de Guagrapamba es adentrarse en un mundo de belleza natural y aventura. Este proyecto turístico ofrece la oportunidad de realizar emocionantes caminatas por el bosque primario, permitiendo a los visitantes sumergirse en la exuberante flora y fauna de la región. Además, cuenta con áreas sociales donde los visitantes pueden relajarse y disfrutar de momentos de descanso. Para completar la experiencia, el servicio de restaurante está disponible, ofreciendo deliciosas opciones gastronómicas para satisfacer los antojos después de una jornada de exploración. En la Cascada de Guagrapamba, cada visita promete una conexión profunda con la naturaleza y momentos inolvidables en un entorno de ensueño.</t>
  </si>
  <si>
    <t>Nono</t>
  </si>
  <si>
    <t>Sábados y domingos
9h00 a 16h00
Entres semana
Bajo reserva</t>
  </si>
  <si>
    <t>Adultos USD 3
Niños USD 2.50
Adultos Mayores USD 2.50</t>
  </si>
  <si>
    <t>052</t>
  </si>
  <si>
    <t>Ruta Nono - Alaspungo</t>
  </si>
  <si>
    <t>Explorar la Ruta Nono - Alaspungo es sumergirse en un viaje lleno de emocionantes aventuras y vistas impresionantes. Esta ruta ofrece la experiencia única de recorrerla en bicicleta, permitiendo a los visitantes disfrutar de vistas panorámicas mientras pedalean a lo largo del camino. Además de la emoción del ciclismo, los aventureros tienen la oportunidad de avistar aves terrestres, agregando un toque de naturaleza y serenidad al recorrido. Con un nivel técnico bajo requerido, esta ruta es ideal para ciclistas de todos los niveles de experiencia, prometiendo una experiencia gratificante y memorable en medio de la belleza natural de la región.</t>
  </si>
  <si>
    <t xml:space="preserve">La ruta empieza en la Plaza Central de Nono y termina el trayecto en ALaspungo, cancha de voley. La ruta tiene un trayecto de 13 Km </t>
  </si>
  <si>
    <t xml:space="preserve">Entre 1 hora 10 minutos a 1 hora 45 minutos </t>
  </si>
  <si>
    <t>La experiencia ciclistica se puede hacer a cualquier hora del día debido a su corta duración, se recomienda hacerla en la mañana ya que en la mayoría de las tardes se nubla el sector</t>
  </si>
  <si>
    <t>Prohibida la caza 
No botar basura</t>
  </si>
  <si>
    <t>Libre Acceso</t>
  </si>
  <si>
    <t>053</t>
  </si>
  <si>
    <t>Ruta Pacto - Mashpi</t>
  </si>
  <si>
    <t>Explorar esta ruta ofrece una emocionante experiencia de ciclismo en un entorno protegido. A lo largo del recorrido, los visitantes pueden deleitarse con impresionantes vistas panorámicas, sumergiéndose en la belleza natural de la región. Con un nivel técnico medio-alto requerido, los ciclistas pueden desafiarse a sí mismos mientras exploran este paisaje único. Ya sea disfrutando de la adrenalina de los descensos o simplemente absorbiendo la serenidad del entorno, esta ruta promete momentos inolvidables para los amantes del ciclismo y la naturaleza.</t>
  </si>
  <si>
    <t xml:space="preserve">La ruta empieza en la Iglesia de Pacto y termina el trayecto en La comunidad de Mashpi. La ruta tiene un trayecto de 39 Km </t>
  </si>
  <si>
    <t>Entre 2 horas 20 minutos a más de 5 horas</t>
  </si>
  <si>
    <t xml:space="preserve">La experiencia ciclistica se puede hacer a cualquier hora, se recomienda hacerla en la mañana </t>
  </si>
  <si>
    <t>054</t>
  </si>
  <si>
    <t>Ruta Pacto - Santa Rosa</t>
  </si>
  <si>
    <t>Explorar la Ruta Pacto - Santa Rosa ofrece una emocionante experiencia de ciclismo en un entorno protegido. A lo largo del recorrido, los visitantes pueden maravillarse con impresionantes vistas panorámicas, sumergiéndose en la belleza natural de la región. Es importante destacar que esta área está protegida, lo que garantiza la conservación de su entorno único. Se recomienda un nivel técnico medio-alto para abordar los desafíos que ofrece este terreno, lo que brinda a los ciclistas la oportunidad de poner a prueba sus habilidades mientras disfrutan de una aventura inolvidable en medio de la naturaleza.</t>
  </si>
  <si>
    <t>La ruta empieza en la Iglesia de Pacto y culmina en el cruce del río Chalpi, no existe puente. La ruta tiene un trayecto de 37 km</t>
  </si>
  <si>
    <t>Entre 2 horas 24 minutos a más de 4 horas</t>
  </si>
  <si>
    <t>055</t>
  </si>
  <si>
    <t>Ruta El Chaquiñan - Puembo</t>
  </si>
  <si>
    <t>Explorar la Ruta El Chaquiñan - Puembo ofrece una enriquecedora experiencia de ciclismo en un entorno natural excepcional. A lo largo del recorrido, los visitantes pueden deleitarse con vistas panorámicas impresionantes y sumergirse en la serenidad del paisaje circundante. Además de disfrutar del ciclismo, también tienen la oportunidad de explorar los senderos que serpentean a través de este entorno pintoresco. Con un nivel técnico bajo requerido, esta ruta es ideal tanto para ciclistas principiantes como experimentados, garantizando una experiencia gratificante para todos los amantes de la bicicleta y la naturaleza.</t>
  </si>
  <si>
    <t>La ruta Inicia en Cumbayá (Portal de Cumbayá)  y culmina en Puembo (Portal La Lomita). La ruta tiene un trayecto de 22 km</t>
  </si>
  <si>
    <t>Entre 1 a  2 horas</t>
  </si>
  <si>
    <t xml:space="preserve">Lunes a Domingo
06h00 a 18h00 </t>
  </si>
  <si>
    <t>No fogata
No botar basura</t>
  </si>
  <si>
    <t>056</t>
  </si>
  <si>
    <t>Volcán Rucu Pichincha</t>
  </si>
  <si>
    <t>Explorar el Volcán Rucu Pichincha ofrece una experiencia emocionante y única para los amantes del senderismo y la naturaleza. Con un espectacular sendero que parte desde el teleférico, los visitantes se embarcan en un fascinante viaje hacia la cima del volcán, donde son recibidos por vistas panorámicas impresionantes y únicas. A lo largo del camino, podrán maravillarse con la belleza de la naturaleza circundante y disfrutar de la serenidad del paisaje montañoso. Aunque el grado de dificultad es considerado bajo a medio, esta aventura ofrece una oportunidad para desafiarse a sí mismos y disfrutar de una experiencia gratificante en uno de los paisajes más impresionantes de la región.</t>
  </si>
  <si>
    <t>Vía Al Teleférico, Quito</t>
  </si>
  <si>
    <t>Entre 5 horas a 6 Horas</t>
  </si>
  <si>
    <t>Lunes a Jueves
10H00 a 18H00
Viernes
08h00 a 18h00
Sábados, Domingos y Feriados
08h00 a 19h00</t>
  </si>
  <si>
    <t>El sendero no tiene costo 
Subir al Telérico
TARIFAS PROMOCIONALES 
*Presentando la cédula ecuatoriana
Menores de 18 años: $3.25
Adultos: $5.25
Tercera Edad: $2.50
Personas con discapacidad: $2.50
TARIFAS ÚNICAS
Menores de 18 años: $7.00
Adultos: $9.00
Tercera Edad: $6.50
Personas con discapacidad: $6.50
Alquiler de Locker: $2.00
*Los niños ingresan a partir de 18 meses de edad*</t>
  </si>
  <si>
    <t>-</t>
  </si>
  <si>
    <t>Se puede acampar, pero debes informar en las boleterias y en la estacion de llegada.  No se puede prender fogatas. No se permite mascotas en algunos espacios</t>
  </si>
  <si>
    <t>Pamel Vargas 
(+593) 98 406 6226
Teléfono: (+593) 2222 996
E-Mail: info@teleferico.com.ec</t>
  </si>
  <si>
    <t>057</t>
  </si>
  <si>
    <t>Refugio de vida silvestre Pasochoa</t>
  </si>
  <si>
    <t>Explorar el Refugio de Vida Silvestre Pasochoa es adentrarse en un mundo de biodiversidad y belleza natural. El sendero ofrece al visitante la oportunidad de sumergirse en una variedad de microclimas y descubrir una gran diversidad de especies silvestres. Sin embargo, es importante tener en cuenta que el sendero presenta pendientes pronunciadas, por lo que se recomienda el uso de palos o bastones de trekking para facilitar el ascenso. Con un grado de dificultad medio, esta experiencia brinda la oportunidad de desafiarse a sí mismo mientras se disfruta de la serenidad y la majestuosidad de la naturaleza en su estado más puro.</t>
  </si>
  <si>
    <t>Vía Pasochoa, por 6 km, se pasa la Comunidad de San Pedro de Pilopata, hasta llegar al estacionamiento del área protegida</t>
  </si>
  <si>
    <t xml:space="preserve">
Lunes a Domingo
08h00 a 16h00</t>
  </si>
  <si>
    <t>Adultos nacionales: $1.00
Niños nacionales menores de 12 años: $0.50 
Extranjeros (excluyendo los pertenecientes a Hispanoamérica): $7.00</t>
  </si>
  <si>
    <t>No mascotas
No botar basura
Equipos de sonido de cualquier tamaño</t>
  </si>
  <si>
    <r>
      <rPr>
        <sz val="9"/>
        <color rgb="FF000000"/>
        <rFont val="Calibri"/>
      </rPr>
      <t xml:space="preserve">Ministerio de Ambiente
</t>
    </r>
    <r>
      <rPr>
        <u/>
        <sz val="9"/>
        <color rgb="FF000000"/>
        <rFont val="Calibri"/>
      </rPr>
      <t xml:space="preserve">www.ambiente.gob.ec
</t>
    </r>
    <r>
      <rPr>
        <sz val="9"/>
        <color rgb="FF000000"/>
        <rFont val="Calibri"/>
      </rPr>
      <t>Oficinas dentro del Refugio de Vida Silvestre Pasochoa
(+593) 99 894 5704</t>
    </r>
  </si>
  <si>
    <t>058</t>
  </si>
  <si>
    <t>Sendero Agua y Vida</t>
  </si>
  <si>
    <t>Explorar el Sendero Agua y Vida es sumergirse en un viaje lleno de asombro y serenidad a través de los páramos ecuatorianos. Esta caminata ofrece a los excursionistas la oportunidad de contemplar paisajes espectaculares, incluyendo numerosas lagunas andinas y las majestuosas montañas del callejón oriental del Ecuador. Más allá de la inigualable belleza natural, los visitantes también pueden disfrutar de la actividad de pesca en la zona, añadiendo un toque de aventura a la experiencia. Con un grado de dificultad bajo a medio, esta travesía promete momentos de conexión con la naturaleza y recuerdos inolvidables en medio de los paisajes más impresionantes del país.</t>
  </si>
  <si>
    <t>Se toma la autopista Pifo – Papallacta (E20) hacia el oriente hasta llegar a la parte más alta del páramo a 4000 metros de altura, sector conocido como “La Virgen”; allí hay un desvío a mano izquierda que sube a las antenas de Papallacta</t>
  </si>
  <si>
    <t>Se recomienda visitar este sector en los meses de Diciembre a Febrero que suele estar más seco</t>
  </si>
  <si>
    <r>
      <rPr>
        <sz val="9"/>
        <color rgb="FF000000"/>
        <rFont val="Calibri"/>
      </rPr>
      <t xml:space="preserve">Ministerio de Ambiente
</t>
    </r>
    <r>
      <rPr>
        <u/>
        <sz val="9"/>
        <color rgb="FF000000"/>
        <rFont val="Calibri"/>
      </rPr>
      <t>www.ambiente.gob.ec</t>
    </r>
  </si>
  <si>
    <t>059</t>
  </si>
  <si>
    <t>Sendero Micaloma - Patourco</t>
  </si>
  <si>
    <t>Explorar el Sendero Micaloma - Patourco ofrece a los senderistas una experiencia enriquecedora en medio de la naturaleza. Aquí, pueden apreciar la rica flora y fauna típica del sitio, mientras disfrutan de vistas impresionantes del nevado Antisana, Cotopaxi y Sincholagua. Además, una panorámica de la laguna La Mica agrega un toque de serenidad a la aventura. Con un grado de dificultad bajo, este sendero es ideal para todos los niveles de habilidad, garantizando una experiencia gratificante y memorable en uno de los entornos más bellos del Ecuador.</t>
  </si>
  <si>
    <t xml:space="preserve">Vía Pintag y Vía Antisana se intersectan se convierte en Vía principal, luego tomar Vía hacia Laguna Muerte Pungo, luego tomar via a Laguna La Mica  </t>
  </si>
  <si>
    <t xml:space="preserve">Se recomienda hacerlo en la mañana </t>
  </si>
  <si>
    <r>
      <rPr>
        <sz val="9"/>
        <color rgb="FF000000"/>
        <rFont val="Calibri"/>
      </rPr>
      <t xml:space="preserve">Ministerio de Ambiente
</t>
    </r>
    <r>
      <rPr>
        <u/>
        <sz val="9"/>
        <color rgb="FF000000"/>
        <rFont val="Calibri"/>
      </rPr>
      <t>www.ambiente.gob.ec</t>
    </r>
  </si>
  <si>
    <t>060</t>
  </si>
  <si>
    <t>Culunco Guantopungo - Pelagallo</t>
  </si>
  <si>
    <t>Explorar Culunco Guantopungo - Pelagallo es sumergirse en una experiencia única en medio del bosque nublado. Este trayecto ofrece senderos que atraviesan el paisaje semisubterráneo, con profundidades que alcanzan hasta los 5 metros. Los visitantes tienen la oportunidad de adentrarse en la misteriosa belleza del bosque mientras caminan por senderos que serpentean entre la densa vegetación. Con un grado de dificultad bajo, este recorrido es accesible para todos los niveles de habilidad, brindando una aventura emocionante y memorable en un entorno natural impresionante.</t>
  </si>
  <si>
    <t>Vía Yunguilla al llegar a Huayraloma girar mano izquierda</t>
  </si>
  <si>
    <t>Rolando Collaguazo
(+593) 99 797 2109</t>
  </si>
  <si>
    <t>061</t>
  </si>
  <si>
    <t>Trail del Oso, Trail del Inca Reserva Yanacocha</t>
  </si>
  <si>
    <t>Explorar el Trail del Oso y el Trail del Inca en la Reserva Yanacocha es una experiencia fascinante que permite a los turistas sumergirse en la biodiversidad única de la zona. Con cuatro senderos disponibles, los visitantes tienen la oportunidad de admirar la rica variedad de flora y fauna que caracteriza a esta reserva. Además, la presencia de cuatro túneles de aproximadamente 30 metros de longitud añade un toque de emoción al recorrido, transportando al público de un escenario a otro en pocos minutos y proporcionando una experiencia inolvidable. Con un grado de dificultad bajo a medio, esta aventura es accesible para la mayoría de los excursionistas, garantizando momentos de asombro y conexión con la naturaleza en un entorno impresionante.</t>
  </si>
  <si>
    <t>Desde la Av. Occidental se debe tomar el paso a desnivel de la Av. Machala ingresando al barrio "Mena del Hierro", vía a Nono. A 9 km del recorrido y después de pasar la iglesia Rundupamba, hay un letrero la reserva Yanacocha y un camino de piedra que inicia al lado izquierdo de la carretera. Seguir 8 kilómetros hasta llegar a las instalaciones de la Empresa de Agua Potable de Quito (EPMAPS), continuar 2 kilómetros más hasta el ingreso de la Reserva.</t>
  </si>
  <si>
    <t>3 horas</t>
  </si>
  <si>
    <t>Lunes a Viernes 
09:00 a 17:30 
Sábado, Domingo y Feriados
07:00 a 15:00 (último ingreso 11:30)</t>
  </si>
  <si>
    <t xml:space="preserve">$15.00 Extranjeros
$5.00 Nacionales </t>
  </si>
  <si>
    <t>Reservar con Anticipación 
No mascotas
No botar basura
No tocar ni alimentar a los animales silvestres</t>
  </si>
  <si>
    <r>
      <rPr>
        <sz val="9"/>
        <color rgb="FF000000"/>
        <rFont val="Calibri"/>
      </rPr>
      <t xml:space="preserve">Fundación Jocotoco
</t>
    </r>
    <r>
      <rPr>
        <u/>
        <sz val="9"/>
        <color rgb="FF000000"/>
        <rFont val="Calibri"/>
      </rPr>
      <t xml:space="preserve">www.jocotourecuador.com
</t>
    </r>
    <r>
      <rPr>
        <sz val="9"/>
        <color rgb="FF000000"/>
        <rFont val="Calibri"/>
      </rPr>
      <t>(+593) 997101535 / (+593) 99 244 0038</t>
    </r>
  </si>
  <si>
    <t>062</t>
  </si>
  <si>
    <t>Santhorno Empanadas</t>
  </si>
  <si>
    <t>Santhorno Empanadas, fundado por Francisco Larco Villalva, ofrece una experiencia gastronómica única en forma de un "bar de empanadas", reconocido con el premio a la Innovación en el Turismo por el Municipio de Quito. Aquí, los visitantes tienen la oportunidad de disfrutar de una amplia variedad de rellenos en sus empanadas, que van desde opciones clásicas hasta combinaciones creativas y únicas. Además de las empanadas, Santhorno Empanadas ofrece una selección de café, cócteles, vinos y malteadas de malta, machica, así como refrescantes limonadas de guayusa. Esta experiencia gastronómica promete deleitar a los paladares más exigentes con sabores auténticos y deliciosos en un ambiente acogedor y vibrante.</t>
  </si>
  <si>
    <t>Wilson e5-29 y Juán León Mera</t>
  </si>
  <si>
    <t xml:space="preserve">Miércoles a domingo
11:00 a 19:00 </t>
  </si>
  <si>
    <t>Depende del plato
Reservar con anticiapación</t>
  </si>
  <si>
    <t>Francisco Larco
0979044795
chef@galeriaecuador.com</t>
  </si>
  <si>
    <t>063</t>
  </si>
  <si>
    <t>Mindalae 
Museo Etnohistórico De Artesanías Del Ecuador</t>
  </si>
  <si>
    <t>Dentro del Mindalae, el Museo Etnohistórico de Artesanías del Ecuador, los visitantes tienen la oportunidad de sumergirse en una experiencia cultural única. A lo largo de los 5 espacios del museo, se presentan diversas exposiciones temporales que abordan temas como los ecosistemas forestales, textiles, cerámicas y la cosmovisión indígena. Este espacio ofrece una visión cercana de las ritualidades de los pueblos andinos, mientras colabora estrechamente con las comunidades locales para exhibir sus trabajos artesanales. Además, los visitantes pueden disfrutar de la degustación de productos locales, como catas de café, que complementan la experiencia cultural del museo. En Mindalae, los visitantes pueden sumergirse en la rica historia y tradiciones del Ecuador, mientras aprecian el talento artesanal de sus comunidades indígenas.</t>
  </si>
  <si>
    <t xml:space="preserve">Reina Victoria N26-166 y La Niña, esquina. </t>
  </si>
  <si>
    <t>Lunes a sábado
9:00 a 17:00
Domingo
10:00 a 17:00</t>
  </si>
  <si>
    <t>Nacionales USD 3
Extranjeros  USD 5</t>
  </si>
  <si>
    <t>0999803841 – 0999040484
mindalaequito@gmail.com
cstianguez1@gmail.com</t>
  </si>
  <si>
    <t>064</t>
  </si>
  <si>
    <t>Chawar Shop</t>
  </si>
  <si>
    <t>Chawar Shop ofrece una experiencia gastronómica única que refleja el espíritu de las montañas del Ecuador. Aquí, mujeres trabajan con el agave para elaborar una bebida propia de los Andes llamada Mishkita. Esta bebida tradicional, elaborada mediante un proceso ancestral e industrializado, es el corazón de la experiencia culinaria en Chawar. Los visitantes tienen la oportunidad de disfrutar de una cata de Mishkita, sumergiéndose en los sabores auténticos de esta bebida que encapsula la esencia de la región. En Chawar Shop, los comensales pueden deleitarse con una experiencia gastronómica que celebra las tradiciones y la cultura de las montañas ecuatorianas.</t>
  </si>
  <si>
    <t>Madrid E16-81 y Coruña</t>
  </si>
  <si>
    <t>Martes - Sábado
12:00pm a 8:00pm</t>
  </si>
  <si>
    <t>Depende de la bebida</t>
  </si>
  <si>
    <t>065</t>
  </si>
  <si>
    <t>Joint Ec</t>
  </si>
  <si>
    <t>Joint Ec ofrece una experiencia gastronómica única al fusionar delicias culinarias con un toque de CBD. Los comensales pueden deleitarse con platos como el exquisito lomo fino, la pizza de la casa y una variedad de deliciosos postres, todo ello acompañado de bebidas cuidadosamente elaboradas. Lo distintivo de Joint Ec radica en la incorporación de CBD, que agrega un elemento adicional a la experiencia culinaria, brindando un toque de relajación y bienestar. Esta combinación de sabores y beneficios hace que la experiencia gastronómica en Joint Ec sea verdaderamente única y memorable.</t>
  </si>
  <si>
    <t>González Suárez y Jacinto Bejarano</t>
  </si>
  <si>
    <t>Lunes a sábado
10:00 a 23:00</t>
  </si>
  <si>
    <t>066</t>
  </si>
  <si>
    <t>Rumisitana</t>
  </si>
  <si>
    <t>Rumisitana ofrece una experiencia gastronómica excepcional al invitar a los visitantes a recorrer su Tour de Café con Leche. En este recorrido, los participantes tienen la oportunidad de adentrarse en el corazón del bosque nublado mientras disfrutan de una deliciosa taza de café. Casa Rumisitana abre sus puertas para brindar una experiencia única, donde la fusión de la belleza natural del entorno con el aroma y el sabor del café crea un ambiente verdaderamente encantador. Este tour promete deleitar todos los sentidos y ofrece a los visitantes la oportunidad de disfrutar de una experiencia inolvidable en medio de la exuberante vegetación de la zona.</t>
  </si>
  <si>
    <t>Calle Guayaquil. Km 1.1 vía a Nanegal, Nanegalito,</t>
  </si>
  <si>
    <t>067</t>
  </si>
  <si>
    <t>Rumipamba</t>
  </si>
  <si>
    <t>El Parque Arqueológico y Ecológico de Rumipamba ofrece una experiencia inmersiva y educativa sobre la historia de Quito Prehispánico. A través de diversos espacios interpretativos, los visitantes pueden sumergirse en la vida de los antiguos pobladores de Rumipamba y el valle de Quito. Una de las atracciones principales es el espacio de arenero, donde los niños pueden excavar réplicas de vasijas, artefactos, semillas y huesos de animales. Una vez encontrados, los objetos pueden llevarse al laboratorio para su limpieza, medición, dibujo y clasificación. Además, los visitantes pueden experimentar la emoción de la excavación de una tumba con entierro primario, utilizando brochas para descubrir un esqueleto enterrado. Esta experiencia lúdico-científica ofrece una mirada fascinante al pasado y permite a los visitantes participar activamente en la exploración arqueológica.</t>
  </si>
  <si>
    <t>Nuño de Valderrama s/n, Quito 170147</t>
  </si>
  <si>
    <t>Miercoles a Domingo
6:00 a 16:00</t>
  </si>
  <si>
    <t>068</t>
  </si>
  <si>
    <t>Malali Arte</t>
  </si>
  <si>
    <t>Malali Arte ofrece una experiencia única que fusiona la naturaleza, la convivencia y el arte. Este espacio es un santuario para la creatividad, donde los visitantes pueden sumergirse en talleres de modelado en arcilla café o terracota, utilizando sellos para dar forma a sus creaciones. Los talleres brindan la oportunidad de explorar la expresión artística mientras se conectan con la tierra y se inspiran en el entorno natural que rodea a Malali Arte. Esta experiencia promueve la creatividad, la relajación y la conexión con uno mismo a través del arte y la naturaleza.</t>
  </si>
  <si>
    <t>Coruña y Vizcaya,</t>
  </si>
  <si>
    <t>Denpende de el taller</t>
  </si>
  <si>
    <t>Martes a sábado
10:00 a 19:00</t>
  </si>
  <si>
    <t>USD 30
USD 90</t>
  </si>
  <si>
    <t>5 cupos por taller</t>
  </si>
  <si>
    <t>098 321 2924</t>
  </si>
  <si>
    <t>069</t>
  </si>
  <si>
    <t>Mi Chá</t>
  </si>
  <si>
    <t xml:space="preserve">Este restaurante te permite vivir de cerca la cultura china, con sus platillos y ambiente  permite vivir la experiencia de la ceremonia del té junto con música tradicional y baile propios de esta cultura. </t>
  </si>
  <si>
    <t>Portete E10-305 y Av.6 de diciembre</t>
  </si>
  <si>
    <t>Lunes a jueves
11:00 a 19:00
Viernes a domingo
10:00 019:00</t>
  </si>
  <si>
    <t>La experiencia se da los días viernes</t>
  </si>
  <si>
    <t>070</t>
  </si>
  <si>
    <t>Les Sens</t>
  </si>
  <si>
    <t>Le Sens va más allá de la comida. Su ambiente medieval está meticulosamente decorado con detalles que evocan la opulencia y el misterio de la Edad Media. Desde platos de carne asada hasta guisos aromáticos y postres decadentes, cada creación está cuidadosamente elaborada para transportarte a la mesa de un noble medieval.</t>
  </si>
  <si>
    <t>Av. de los Shyris N43-209 y, Quito 170513</t>
  </si>
  <si>
    <t>Depende de el grupo</t>
  </si>
  <si>
    <t>Luneas a sábado 
12:00 a 21:00
Domingo
12:00 a 17:00</t>
  </si>
  <si>
    <r>
      <rPr>
        <sz val="9"/>
        <color rgb="FF000000"/>
        <rFont val="Calibri"/>
      </rPr>
      <t xml:space="preserve">099 581 1088
</t>
    </r>
    <r>
      <rPr>
        <u/>
        <sz val="9"/>
        <color rgb="FF000000"/>
        <rFont val="Calibri"/>
      </rPr>
      <t>https://wa.link/qqf1bg</t>
    </r>
  </si>
  <si>
    <t>071</t>
  </si>
  <si>
    <t>Casa de Experiencias Pacari  (Cumbayá)</t>
  </si>
  <si>
    <t>Descubre una amplia variedad de chocolates Pacari, cada uno con su propia historia y carácter distintivo. Desde el chocolate negro intenso hasta las combinaciones de sabores más innovadoras, cada muestra te llevará en un viaje sensorial único que estimulará tus sentidos y despertará tu paladar.
Además de degustar el chocolate, aprenderás sobre su origen, los métodos de producción sostenible utilizados por Pacari y la importancia de apoyar a los productores de cacao locales. Es una experiencia educativa y deliciosa que te dejará con una apreciación renovada por este manjar celestial.</t>
  </si>
  <si>
    <t>Coehlo Plaza - Calle Francisco de Orellana</t>
  </si>
  <si>
    <t>Lunes a viernes
10:00 a 19:00
Sábado y domingo
9:00 a 19:00</t>
  </si>
  <si>
    <t>Personas alérgicas a los frutos secos o chocolate</t>
  </si>
  <si>
    <t>072</t>
  </si>
  <si>
    <t>Mercedes Benz´s Gourmet Experience</t>
  </si>
  <si>
    <t xml:space="preserve">El Mercedes Benz's Gourmet Experience es mucho más que una simple cena; es una experiencia culinaria que fusiona la elegancia y el lujo con la excelencia gastronómica. Ubicado en un entorno sofisticado y exclusivo, este evento gastronómico ofrece a los comensales la oportunidad de deleitarse con platos exquisitos preparados por reconocidos chefs de renombre internacional. Pero la experiencia gastronómica en el Mercedes Benz's Gourmet Experience va más allá de la comida. Los comensales tienen la oportunidad de interactuar con los chefs, aprender sobre las técnicas culinarias utilizadas y descubrir los secretos detrás de cada plato. </t>
  </si>
  <si>
    <t>Rubio de Arevalo &amp;, Quito 170109</t>
  </si>
  <si>
    <t>Lunes a sábado
13:00 a 24:00
Domingo 
13:00 a 17:00</t>
  </si>
  <si>
    <t>Le tour du monde al revés USD 69.   + maridaje de vinos  USD 29.90</t>
  </si>
  <si>
    <t>Cupos limitados</t>
  </si>
  <si>
    <t>Avisar si se tiene alergías a algun alimento</t>
  </si>
  <si>
    <t>098-583-5555 o al 099-255-6242.</t>
  </si>
  <si>
    <t>073</t>
  </si>
  <si>
    <t>La Celosa Gastropub</t>
  </si>
  <si>
    <t>La Celosa Gastropub ofrece una experiencia culinaria auténtica y vibrante, sumergiéndote en los sabores y la cultura de Colombia. Desde la música hasta la decoración, cada detalle te transporta a las calles de Bogotá . Los platos, comoel chicharrón colombiano, son auténticos y deliciosos, mientras que la variedad de cócteles ofrece un toque moderno a la tradición colombiana. El ambiente acogedor y el servicio amable hacen de La Celosa un destino imprescindible para los amantes de la comida colombiana y los exploradores gastronómicos por igual.</t>
  </si>
  <si>
    <t>Pradera, y, Quito 170517</t>
  </si>
  <si>
    <t xml:space="preserve">Domingo a martes
12:00 a 20:00
Miércoles a sábado
12:00 a 4:00 </t>
  </si>
  <si>
    <t>074</t>
  </si>
  <si>
    <t>Kimos House</t>
  </si>
  <si>
    <t xml:space="preserve">Las cervezas artesanales de Kimo House son un tributo a la tradición cervecera local, elaboradas con ingredientes frescos y pasión por el arte de la cerveza. Ya sea disfrutando de una cerveza o coctél  refrescante o una cerveza de temporada, cada trago es una aventura sensorial que te conecta con la esencia de Mompiche. </t>
  </si>
  <si>
    <t>OE1-217 Moraspungo S/N y, Av. Manuel Córdova Galarz</t>
  </si>
  <si>
    <t>Miércoles, viernes y sábado
18:00 a 1:00</t>
  </si>
  <si>
    <t>099 585 0953</t>
  </si>
  <si>
    <t>075</t>
  </si>
  <si>
    <t>Petit Crepe</t>
  </si>
  <si>
    <t>Petit Crêpe Ecuador ofrece mucho más que deliciosos crepes. Además de saborear exquisitas creaciones francesas, aquí también puedes desatar tu creatividad en sus talleres de pintura de imágenes en cerámica. Sumérgete en una experiencia única donde puedes disfrutar de la gastronomía francesa mientras te sumerges en el arte de la pintura. Los talleres ofrecen una oportunidad para expresar tu lado artístico mientras disfrutas de un ambiente acogedor y amigable. Ya sea que seas un aficionado al arte o simplemente busques una experiencia divertida y única, los talleres de pintura en cerámica en Petit Crêpe Ecuador son una excelente opción para disfrutar solo o en compañía de amigos y familiares.</t>
  </si>
  <si>
    <t>Av. Río Coca E4-116, Quito 170501</t>
  </si>
  <si>
    <t>Lunes a sábado
9:00 a 8:00
Domingo
8:00 a 18:00</t>
  </si>
  <si>
    <t>099 990 5041</t>
  </si>
  <si>
    <t>076</t>
  </si>
  <si>
    <t>Bellas Artes UIO</t>
  </si>
  <si>
    <t xml:space="preserve">Bellas Artes UIO es el refugio perfecto para aquellos que buscan explorar y desarrollar su creatividad en un entorno estimulante y acogedor. Como una escuela especializada en fomentar las cualidades artísticas de niños, jóvenes y adultos, ofrece una amplia gama de experiencias en forma de talleres y cursos permanentes. Desde las técnicas clásicas de pintura y dibujo hasta las formas más contemporáneas de expresión artística, cada clase está diseñada para inspirar y desafiar a los estudiantes a alcanzar su máximo potencial creativo. </t>
  </si>
  <si>
    <t>Matriz: Av. Gaspar de Villarroel y Av. De los Shyris edificio Fénix</t>
  </si>
  <si>
    <t>Depende del taller</t>
  </si>
  <si>
    <t>Lunes a sábado
10:00 a 19:00</t>
  </si>
  <si>
    <t xml:space="preserve">099 531 0447
</t>
  </si>
  <si>
    <t>077</t>
  </si>
  <si>
    <t>Freskatzo - cocina</t>
  </si>
  <si>
    <t>Freskatzo - Cocina es mucho más que un lugar para disfrutar de deliciosas comidas; es un destino para explorar y aprender el arte culinario. Sus talleres ofrecen una experiencia única donde los participantes pueden sumergirse en el mundo de la cocina, desde aprender técnicas básicas hasta perfeccionar platos gourmet.  Ya sea que seas un principiante entusiasta o un chef aficionado en busca de nuevas habilidades, los talleres de Freskatzo ofrecen una experiencia educativa y divertida que seguro dejará un sabor duradero en tu paladar y en tu memoria culinaria.</t>
  </si>
  <si>
    <t>Calle Gabriel García Moreno E3-126, Cumbaya 170157</t>
  </si>
  <si>
    <t>078</t>
  </si>
  <si>
    <t>Claro Oscuro - taller de cocina</t>
  </si>
  <si>
    <t>Claro Oscuro - Taller de Cocina ofrece una experiencia culinaria excepcional y variada en el corazón del centro histórico, en una encantadora casa patrimonial. Además de la oportunidad de disfrutar de deliciosos platos elaborados con ingredientes frescos y locales, este taller brinda una amplia gama de actividades culinarias, que incluyen talleres de showcooking y clases de coctelería. Durante estas clases interactivas, impartidas por chefs expertos, los participantes tienen la oportunidad de aprender técnicas de cocina y preparación de cócteles mientras disfrutan de una experiencia práctica y divertida. Desde aprender a preparar platos tradicionales hasta descubrir secretos de mixología, Claro Oscuro ofrece una experiencia culinaria completa y enriquecedora para todos los amantes de la buena comida y las bebidas creativas.</t>
  </si>
  <si>
    <t>Venezuela S1-26, Quito 170405</t>
  </si>
  <si>
    <t>Martes a jueves
12:00 a 15:00
Viernes y sábado
12:00 a 9:30
Domingo 
10:00 a 15:30</t>
  </si>
  <si>
    <t>079</t>
  </si>
  <si>
    <t>Rey Asador</t>
  </si>
  <si>
    <t>Rey Asador ofrece una experiencia gastronómica incomparable con su enfoque en la parrillada. Ubicado en un ambiente acogedor y lleno de ambiente, este restaurante es el destino perfecto para los amantes de la carne a la parrilla. Además de su delicioso menú, Rey Asador también ofrece talleres de parrillada donde los participantes pueden aprender técnicas de asado, selección de cortes y secretos para lograr las mejores parrilladas en casa. Estos talleres proporcionan una experiencia práctica y educativa que garantiza que cada comida al aire libre sea memorable y deliciosa.</t>
  </si>
  <si>
    <t>Rumania S/N y Polonia</t>
  </si>
  <si>
    <t>Previa reserva o bajo inscripción</t>
  </si>
  <si>
    <t>Bajo inscripción</t>
  </si>
  <si>
    <t>962703781/ 098 858 22350</t>
  </si>
  <si>
    <t>080</t>
  </si>
  <si>
    <t>Cacao House</t>
  </si>
  <si>
    <t>Cacao House ofrece una experiencia gastronómica única centrada en el cacao, un ingrediente emblemático de la cultura ecuatoriana. En este lugar, los visitantes pueden sumergirse en el fascinante mundo del chocolate, desde la cosecha de los granos de cacao hasta la elaboración artesanal de exquisitos productos de chocolate. Además de disfrutar de deliciosos chocolates y bebidas de cacao, Cacao House también ofrece talleres donde los participantes pueden aprender sobre la historia del cacao, sus diferentes variedades y técnicas de chocolatería. Estos talleres brindan una oportunidad emocionante para explorar la cultura del cacao y experimentar la magia de crear chocolates de calidad artesanal.</t>
  </si>
  <si>
    <t>Vía Intervalles S/N Cununyacu, Quito 170902</t>
  </si>
  <si>
    <t>Lunes a viernes
10:00 a 20:00</t>
  </si>
  <si>
    <t>USD 35 a miembros del lugar
USD 45 púeblico en general</t>
  </si>
  <si>
    <t>081</t>
  </si>
  <si>
    <t>MINKA CHOCOLATE EXPERIENCE</t>
  </si>
  <si>
    <t>Minka Cacao ofrece una experiencia gastronómica única centrada en el cacao, un ingrediente emblemático de la cultura ecuatoriana. Situado en un entorno encantador y acogedor, este lugar invita a los visitantes a sumergirse en el fascinante mundo del chocolate. Además de disfrutar de exquisitos productos de chocolate, los visitantes tienen la oportunidad de participar en talleres interactivos donde pueden aprender sobre la historia del cacao, sus diferentes variedades y técnicas de chocolatería artesanal. Estos talleres proporcionan una experiencia educativa y divertida que permite a los participantes explorar la rica herencia del cacao ecuatoriano mientras crean sus propias delicias de chocolate.</t>
  </si>
  <si>
    <t>Calle Simón Bolívar OE6-15 y Sebastián de Benalcázar Junto al Hotel Casa Gangotena ( Plaza San Francisco, de Quito, Quito 170130</t>
  </si>
  <si>
    <t>Experiencia de Cacao y chocolate: 30 minutos
Experiencia de chocolate y vino: 2 horas
Haz el mejor chocolate caliente:  1 hora
Haz una barra de chocolate: 1 hora
Haz dos barras de chocolate: 1,30 hora</t>
  </si>
  <si>
    <t xml:space="preserve">Siempre abierto </t>
  </si>
  <si>
    <t>Experiencia de Cacao y chocolate: USD 10
Experiencia de chocolate y vino: 28
Haz el mejor chocolate caliente: USD 15
Haz una barra de chocolate: USD 15
Haz dos barras de chocolate: USD 25</t>
  </si>
  <si>
    <t>Alérgicos a frutos secos</t>
  </si>
  <si>
    <t>099 800 2598</t>
  </si>
  <si>
    <t>082</t>
  </si>
  <si>
    <t>Zero Lab</t>
  </si>
  <si>
    <t>Zero Lab Restaurant redefine la experiencia gastronómica con su enfoque innovador y multisensorial del fine dining. Situado en un entorno elegante y contemporáneo, este restaurante ofrece mucho más que una comida excepcional: brinda una experiencia culinaria completa que estimula todos los sentidos. Además de su exquisito menú, Zero Lab organiza talleres multisensoriales donde los comensales pueden sumergirse en un mundo de sabores, texturas y aromas únicos.</t>
  </si>
  <si>
    <t>Paris n 43-41 y Emilio zola, Quito 170135</t>
  </si>
  <si>
    <t>Martes a domingo
11:00 a 23:00</t>
  </si>
  <si>
    <t xml:space="preserve">
099 819 8877</t>
  </si>
  <si>
    <t>083</t>
  </si>
  <si>
    <t>Hacienda Siento 13</t>
  </si>
  <si>
    <t>Hacienda Siento13 te invita a sumergirte en una experiencia única y revitalizante en medio de la naturaleza. Este refugio de bienestar está diseñado para explorar los beneficios del mundo cannábico en un entorno armonioso y acogedor. Disfruta de la primera experiencia multisensorial cannábica del país, donde podrás conectar con tus sentidos y encontrar equilibrio en cada momento. Nuestro espacio ofrece actividades educativas, así como espacios dedicados a la relajación y la recreación, donde podrás pasear por hermosos jardines, conocer diversas plantas, participar en sesiones de degustación y sumergirte en la serenidad de nuestros entornos naturales. Es el lugar perfecto para desconectar del estrés diario y conectar contigo mismo/a mientras exploras los beneficios del cannabis en un ambiente seguro y tranquilo.</t>
  </si>
  <si>
    <t>Calle de los Amancayes, 170209</t>
  </si>
  <si>
    <t>Luneas a domingo
7:00 a 16:00</t>
  </si>
  <si>
    <t>Depende la actividad</t>
  </si>
  <si>
    <t>099 618 7637</t>
  </si>
  <si>
    <t>084</t>
  </si>
  <si>
    <t>Atukpamba Mulauco</t>
  </si>
  <si>
    <t>Atukpamba es una granja integral y escuela de permacultura situada en las proximidades de Pifo, Ecuador. Es un destino que ofrece una experiencia enriquecedora para quienes buscan aprender sobre agricultura sostenible y soberanía alimentaria. Desde visitas turísticas que permiten explorar sus terrenos y participar en actividades prácticas hasta programas académicos diseñados para estudiantes y profesionales interesados en la permacultura, Atukpamba ofrece una amplia gama de oportunidades educativas. Además, sus experiencias enfocadas en la soberanía alimentaria proporcionan conocimientos prácticos sobre la importancia de la autosuficiencia y el respeto por los recursos naturales.</t>
  </si>
  <si>
    <t>Pifo</t>
  </si>
  <si>
    <t>Talleres: 8 horas
Visitas:  1. 3 horas
2. 6 horas
Visitas académicas: 2 horas
Experiencias: dependen de la actividad</t>
  </si>
  <si>
    <t>Talleres: USD 60 -110
Visitas Turísticas: 
Opción 1. 2 adultos: $46.15 por persona
3 adultos: $34.30 por persona
4 adultos: $28.35 por persona
5 adultos: $24.80 por persona
6 adultos o más: Consulta el valor preferencial.
Niña o niño entre 5 y 12 años: $7 extra.
Niña o niño de 0 a 4 años: gratis.
Opción 2.  2 adultos: $65.70 por persona
3 adultos: $46.3 por persona
4 adultos: $36.30 por persona
5 adultos: $30.78 por persona
6 adultos o más: Consulta el valor preferencial.
Niña o niño entre 5 y 12 años: $7 extra
Niña o niño de 0 a 4 años: gratis.
Se puede potenciar la visita disfrutando de un refrigerio y/o almuerzo hechos con productos de la granja:
Almuerzo:  $15 adultos/$7.5 niños
Refrigerio:  $3 adultos/$2 niños
Visita académica: 
Tamaño del grupo: 15-20 personas
Costo por persona: $11.25 usd* 
Tamaño del grupo: 21-25 personas
Costo por persona: $13 usd*
Tamaño del grupo: 26-30 personas
Costo por persona: $11.25 usd*</t>
  </si>
  <si>
    <t>info@atukpamba.com
0989903550</t>
  </si>
  <si>
    <t>085</t>
  </si>
  <si>
    <t>Escorza Granja Orgánica</t>
  </si>
  <si>
    <t>La experiencia en Escorza Granja Orgánica Itulcachi es un viaje sensorial a la belleza natural y la sostenibilidad. Ubicada en un entorno montañoso pintoresco, esta granja orgánica ofrece una inmersión total en la agricultura sostenible y el estilo de vida campesino. Desde recorridos por los campos donde se cultivan una variedad de productos orgánicos hasta la participación en actividades de cosecha y preparación de alimentos frescos, cada momento está impregnado de conexión con la tierra y la autenticidad rural. La hospitalidad de los anfitriones y la calidez de la comunidad local completan esta experiencia enriquecedora que deja una impresión perdurable en todos los sentidos.</t>
  </si>
  <si>
    <t>Pifo, Itulcachi, Calle principal y, 6ta Transversal, Quito 170175</t>
  </si>
  <si>
    <t xml:space="preserve">Viernes y Sábados de 6:00 a 23: 00pm
</t>
  </si>
  <si>
    <r>
      <rPr>
        <sz val="9"/>
        <color rgb="FF000000"/>
        <rFont val="Calibri"/>
      </rPr>
      <t xml:space="preserve">
096 271 5113   </t>
    </r>
    <r>
      <rPr>
        <u/>
        <sz val="9"/>
        <color rgb="FF1155CC"/>
        <rFont val="Calibri"/>
      </rPr>
      <t>https://www.facebook.com/EscorzaGranjaOrganica/</t>
    </r>
  </si>
  <si>
    <t>086</t>
  </si>
  <si>
    <t>Chaupi Estancia</t>
  </si>
  <si>
    <t>Chaupi Estancia, donde la pasión por el vino de altura se fusiona con un entorno natural impresionante. Más que una bodega, es una experiencia sensorial única gracias a nuestros viñedos situados en una altitud única que define el carácter de nuestras uvas. Ofrecemos dos experiencias cautivadoras: "Envuelve tus Sentidos", una visita guiada por viñedos, cava y laboratorio con degustación de selecciones premium; y "Sinfonía de Sabores", una inmersión enológica con degustación de vinos ultra premium acompañada de una tabla de charcutería premium. Para asegurar tu lugar, te pedimos contactarnos con al menos 72 horas de antelación en fines de semana y feriados, y 48 horas de antelación de miércoles a viernes, asegurando así una atención personalizada y el exclusivo disfrute de nuestra finca.</t>
  </si>
  <si>
    <t>Yaruquí - Ecuador</t>
  </si>
  <si>
    <t>Depende de la actividad 3 o 4 horas</t>
  </si>
  <si>
    <t>Horarios Disponibles: • Mañana: 10:00 am - 1:00 pm • Tarde: 1:30 pm - 4:30 pm • (Horarios disponibles de miércoles a domingo)</t>
  </si>
  <si>
    <t>Experiencias Disponibles: 1. Envuelve tus Sentidos: • Duración: 3 horas • Precio: $35 dólares por persona más IVA • Incluye: Una visita guiada por nuestros viñedos, cava y laboratorio. Aprenderás sobre el proceso de producción del vino y, al final, disfrutarás de una degustación de nuestras selecciones premium. 2. Sinfonía de Sabores: • Duración: 4 horas • Precio: $50 dólares por persona más IVA • Incluye: Una experiencia completa con una charla enológica detallada, seguida de una degustación de nuestros vinos ultra premium. Además, disfrutarás de una tabla de charcutería premium.</t>
  </si>
  <si>
    <t xml:space="preserve">
+593-98-269-5330
chaupiestanciawinery@hotmail.com
Instagram
@chaupiestancia_winery</t>
  </si>
  <si>
    <t>087</t>
  </si>
  <si>
    <t xml:space="preserve">Bordados de Llano Grande
</t>
  </si>
  <si>
    <t>Bordados de Llano Grande preserva el arte textil Kitu-Kara en piezas donde cada puntada narra memoria y territorio: colores vibrantes recrean flora nativa, aves y símbolos ancestrales, mientras diseños contemporáneos dialogan con técnicas transmitidas por generaciones. La experiencia revela un oficio que embellece prendas y textiles a la vez que fortalece identidad, cohesión comunitaria y economía local, convirtiendo cada bordado en un manifiesto vivo de patrimonio y creatividad.</t>
  </si>
  <si>
    <t xml:space="preserve">Calderón, Llano Grande </t>
  </si>
  <si>
    <t>Veronica Montesdeoca
 0984556934</t>
  </si>
  <si>
    <t>088</t>
  </si>
  <si>
    <t xml:space="preserve">Andean Agave (Chawar) </t>
  </si>
  <si>
    <t>Allí se brinda chawar mishki, una bebida de los dioses, ancestral y medicinal cuya materia prima se utiliza para el proceso del destilado. Asimismo, en este lugar podrás apreciar los cultivos del agave y ser parte de un recorrido explicativo por la destilería, al tiempo que podrás conocer el procesamiento del chawar mishki, acompañado de una degustación.</t>
  </si>
  <si>
    <t>Calles Luis Pallares y Quito</t>
  </si>
  <si>
    <t xml:space="preserve">Aforo límitado, bajo inscripción </t>
  </si>
  <si>
    <t xml:space="preserve">No menores de edad </t>
  </si>
  <si>
    <t xml:space="preserve">https://www.facebook.com/andeanagave/about 
</t>
  </si>
  <si>
    <t>089</t>
  </si>
  <si>
    <t>Vermutería Clandestina</t>
  </si>
  <si>
    <t>Ubicada en el barrio La Floresta, Vermutería Clandestina es el primer bar especializado en vermouth en Ecuador, un espacio diseñado para celebrar esta bebida con alma local. Aquí se elaboran vermuts únicos a partir de botánicos ecuatorianos, combinando creatividad con tradición y sabor autóctono. Los visitantes pueden disfrutar degustaciones guiadas, maridajes con tapas y tablas de embutidos, además de un ambiente cálido y sofisticado que invita a relajarse y conversar. 
 Durante las noches, la música y la estética íntima transforman el lugar en un refugio perfecto para quienes buscan una experiencia distinta dentro de la vida nocturna quiteña.</t>
  </si>
  <si>
    <t xml:space="preserve">Calle Pontevedra y Francisco Salazar. </t>
  </si>
  <si>
    <t xml:space="preserve">Cecilia Carolina Quijano
Tel: 0969067981   https://www.instagram.com/la_vermuteria_clandestina/?igsh=MTR1djFhNXhseGoxNg%3D%3D    </t>
  </si>
  <si>
    <t>090</t>
  </si>
  <si>
    <t xml:space="preserve">Leña Quiteña </t>
  </si>
  <si>
    <t>Leña Quiteña celebra la cocina ecuatoriana con una propuesta que rinde homenaje a los sabores de antaño, preparados con técnicas modernas y el inconfundible toque del fuego de leña. Cada plato es una reinterpretación de la gastronomía quiteña y nacional, donde los ingredientes locales cobran protagonismo y se transforman en una experiencia culinaria llena de aroma, textura y autenticidad.
El ambiente del restaurante combina elegancia y calidez, invitando a disfrutar de una comida que conecta la tradición con la innovación. Ya sea para un almuerzo entre amigos o una cena especial, Leña Quiteña ofrece una experiencia gastronómica que despierta los sentidos y resalta lo mejor del patrimonio culinario ecuatoriano.</t>
  </si>
  <si>
    <t>Calle Guayaquil S1-76 Calle de la Ronda, Morales</t>
  </si>
  <si>
    <t>Patricia
09888033084 
 https://www.instagram.com/lena_quitena/</t>
  </si>
  <si>
    <t>091</t>
  </si>
  <si>
    <t xml:space="preserve">El Patio Organic Tradicional Food
</t>
  </si>
  <si>
    <t>El Patio Organic Tradicional Food ofrece una experiencia culinaria única en la que los comensales, con los ojos vendados, descubren cómo se adaptan las personas no videntes en su vida diaria. Con guías que orientan y platos de material resistente, el restaurante transforma el desafío de comer a ciegas en una lección de empatía. La comida, elaborada con ingredientes del huerto local, se sirve en un formato innovador y solo se puede disfrutar con reserva previa, preservando la frescura. Tras la comida, el chef explica los ingredientes, cerrando una experiencia que fomenta la tolerancia y la reflexión.</t>
  </si>
  <si>
    <t>Calacalí, Bolivar N5 - 86 y Miranda</t>
  </si>
  <si>
    <r>
      <rPr>
        <sz val="9"/>
        <color rgb="FF000000"/>
        <rFont val="Calibri"/>
      </rPr>
      <t xml:space="preserve">Alfredo Guamaní
0983749723
</t>
    </r>
    <r>
      <rPr>
        <u/>
        <sz val="9"/>
        <color rgb="FF1155CC"/>
        <rFont val="Calibri"/>
      </rPr>
      <t>https://www.facebook.com/elpatioecorestaurante/?locale=es_LA</t>
    </r>
  </si>
  <si>
    <t>092</t>
  </si>
  <si>
    <t xml:space="preserve">Papa Cacao
</t>
  </si>
  <si>
    <t>Papá Cacao representa un legado viviente del chocolate ecuatoriano. Fundación, investigación y formación se unen en su misión de valorar las raíces del cacao nacional y empoderar a nuevos productores. Bajo su visión, se desarrollan programas educativos, diplomados y experiencias inmersivas que revelan el arte de transformar el grano en exquisitez.
Al visitarlo, los amantes del chocolate pueden conocer de cerca el trabajo con variedades aromáticas, procesos de fermentación y secado, y participar en degustaciones que elevan la experiencia sensorial. Papá Cacao no solo celebra el sabor, sino que cultiva conocimiento, comunidad y sostenibilidad, reafirmando por qué Ecuador es cuna de cacao de clase mundial.</t>
  </si>
  <si>
    <t>Av. 10 de Agosto N36-174</t>
  </si>
  <si>
    <t>https://www.facebook.com/escueladenegocioscacaoychocolate/?locale=es_LA</t>
  </si>
  <si>
    <t>093</t>
  </si>
  <si>
    <t>La Roveta - Cafería</t>
  </si>
  <si>
    <t>Roveta Cafetería ofrece una experiencia gastronómica encantadora, en un ambiente acogedor que combina arquitectura contemporánea, luz natural y detalles de diseño cálido. Su menú destaca por opciones deliciosas y creativas, desde cafés artesanales de origen hasta pasteles frescos y elaborados con esmero, ideales para acompañar una conversación o una pausa inspiradora.
Más que una cafetería, Roveta es un espacio donde se vive el café como una experiencia sensorial: cada taza es el resultado de un proceso cuidadoso, desde el grano hasta el aroma final. Ideal para quienes buscan calidad, confort y autenticidad en cada bocado, este rincón se ha convertido en un imprescindible para los amantes del buen café y los espacios con alma.</t>
  </si>
  <si>
    <t>J.L. Tamayo, y N24-359</t>
  </si>
  <si>
    <r>
      <rPr>
        <sz val="9"/>
        <color rgb="FF000000"/>
        <rFont val="Calibri"/>
      </rPr>
      <t xml:space="preserve">099 595 6712
 </t>
    </r>
    <r>
      <rPr>
        <u/>
        <sz val="9"/>
        <color rgb="FF1155CC"/>
        <rFont val="Calibri"/>
      </rPr>
      <t>https://www.facebook.com/p/Roveta-100077302664491/?locale=es_LA</t>
    </r>
  </si>
  <si>
    <t>094</t>
  </si>
  <si>
    <t xml:space="preserve">Runa Tulpa Andina
</t>
  </si>
  <si>
    <t>Runa Tulpa Andina es un espacio de encuentro donde los sabores, las historias y la calidez humana se entrelazan alrededor del fuego. Inspirado en la tradicional “tulpa” andina —el fogón que reúne a las familias para compartir alimentos y relatos—, este restaurante invita a revivir la esencia del compartir, la memoria y la conexión con la tierra.
Más que una experiencia gastronómica, Runa Tulpa Andina promueve un lazo directo con productores locales y agroecológicos de las comunidades cercanas a Quito, valorando los ingredientes que nacen de la sostenibilidad y el respeto por la naturaleza. Cada plato es una expresión de identidad, un gesto de hospitalidad y una celebración del fuego que une a todos.</t>
  </si>
  <si>
    <t>García Moreno N7-68 y Manabí.</t>
  </si>
  <si>
    <t>096 254 6392 https://runatulpaandina.com/menu/</t>
  </si>
  <si>
    <t>095</t>
  </si>
  <si>
    <t xml:space="preserve">X lo Alto
</t>
  </si>
  <si>
    <t>En el corazón del Centro Histórico, X lo Alto eleva la experiencia culinaria con una propuesta que fusiona platos innovadores y sabores intensos, inspirados en la riqueza gastronómica del Ecuador. Su atmósfera elegante, el servicio atento y las vistas panorámicas de la ciudad crean una velada excepcional que cautiva todos los sentidos.
Ideal para quienes buscan disfrutar de la buena comida en un entorno sofisticado, X lo Alto ofrece una experiencia gastronómica única que combina creatividad, calidez y una vista inolvidable de Quito. ¡Una parada imperdible para los amantes del sabor y la altura!</t>
  </si>
  <si>
    <t xml:space="preserve">
Montevideo Oe-648 y Panamá</t>
  </si>
  <si>
    <r>
      <rPr>
        <sz val="9"/>
        <color rgb="FF000000"/>
        <rFont val="Calibri"/>
      </rPr>
      <t xml:space="preserve">098 712 2205 </t>
    </r>
    <r>
      <rPr>
        <u/>
        <sz val="9"/>
        <color rgb="FF1155CC"/>
        <rFont val="Calibri"/>
      </rPr>
      <t>https://www.facebook.com/p/X-LO-ALTO-100061845891879/?locale=hi_IN</t>
    </r>
  </si>
  <si>
    <t>096</t>
  </si>
  <si>
    <t>Templo del sol</t>
  </si>
  <si>
    <t xml:space="preserve">La experiencia en el Museo Templo El Sol nos lleva por experiencias sensoriales de aromas, pintura, escultura, vino y chocolate. Los aromas exquisitos se combinan con el ambiente místico en el Templo del Sol y de la Luna mientras exploras el legado cultural del lugar. </t>
  </si>
  <si>
    <t>En el Mirador de la reserva geobotanica pululahua Manuel Córdova Galarza E28 y, Eduardo Kingman Oe12 174</t>
  </si>
  <si>
    <t>Abierto al público.  Lunes a Domingos y Feriados de 9:00am a 17:00pm</t>
  </si>
  <si>
    <t>Adultos y extranjeros $4.                                                                          Niños y adulto mayor $2</t>
  </si>
  <si>
    <t>Se puede planificar la visita para grupos</t>
  </si>
  <si>
    <r>
      <rPr>
        <sz val="9"/>
        <color rgb="FF000000"/>
        <rFont val="Calibri"/>
      </rPr>
      <t xml:space="preserve">098 484 1851
Cristobal Ortega
</t>
    </r>
    <r>
      <rPr>
        <u/>
        <sz val="9"/>
        <color rgb="FF1155CC"/>
        <rFont val="Calibri"/>
      </rPr>
      <t>https://www.facebook.com/MuseoTemplodelSolOficial/</t>
    </r>
  </si>
  <si>
    <t>097</t>
  </si>
  <si>
    <t>Centro de artesanías Pimkay</t>
  </si>
  <si>
    <t>La tienda de artesanías Pincay es un verdadero tesoro de creatividad y tradición. Cada pieza refleja un trabajo meticuloso y auténtico, con una variedad impresionante de artesanías locales. El ambiente acogedor y el servicio amable hacen que cada visita sea una experiencia encantadora. ¡Perfecto para encontrar recuerdos únicos y apoyar el talento artesanal!</t>
  </si>
  <si>
    <t>Jerónimo Carrión E6 - 43 y Reina Victoria</t>
  </si>
  <si>
    <t>Abierto al público</t>
  </si>
  <si>
    <r>
      <rPr>
        <sz val="9"/>
        <color rgb="FF000000"/>
        <rFont val="Calibri"/>
      </rPr>
      <t xml:space="preserve">25133888 </t>
    </r>
    <r>
      <rPr>
        <u/>
        <sz val="9"/>
        <color rgb="FF1155CC"/>
        <rFont val="Calibri"/>
      </rPr>
      <t>https://www.instagram.com/pimkay_ec/?hl=es</t>
    </r>
  </si>
  <si>
    <t>098</t>
  </si>
  <si>
    <t>Kitu Samay Wasi</t>
  </si>
  <si>
    <t>Kitu Samay Wasi integra saberes ancestrales y creación contemporánea en una experiencia pedagógica viva, donde talleres interactivos acercan a niñas y niños a su historia cultural de la mano de abuelos y abuelas—guardianes de la memoria—que comparten relatos, cantos y oficios. El resultado es un encuentro inspirador que fortalece identidad, despierta creatividad y convierte el patrimonio en aprendizaje significativo, cálido y memorable.</t>
  </si>
  <si>
    <t>Llano Grande</t>
  </si>
  <si>
    <r>
      <rPr>
        <sz val="9"/>
        <color rgb="FF000000"/>
        <rFont val="Calibri"/>
      </rPr>
      <t xml:space="preserve">Yarina
096383 6930
</t>
    </r>
    <r>
      <rPr>
        <u/>
        <sz val="9"/>
        <color rgb="FF1155CC"/>
        <rFont val="Calibri"/>
      </rPr>
      <t>https://www.facebook.com/kitusamaywasi/?locale=es_LA</t>
    </r>
    <r>
      <rPr>
        <sz val="9"/>
        <color rgb="FF000000"/>
        <rFont val="Calibri"/>
      </rPr>
      <t xml:space="preserve">
</t>
    </r>
  </si>
  <si>
    <t>099</t>
  </si>
  <si>
    <t xml:space="preserve">Galeria de Arte Naif
</t>
  </si>
  <si>
    <t>La Galería de Arte Naif, destaca por su enfoque en el arte latinoamericano. Con un museo dedicado al estilo naif, exposiciones temporales diversas y talleres en desarrollo, busca inspirar a los jóvenes y fomentar un amor duradero por el arte. ¡Un espacio vibrante y educativo!</t>
  </si>
  <si>
    <t xml:space="preserve">
Av. 6 de diciembre N24-275 y Calle San Juan Rodríguez</t>
  </si>
  <si>
    <r>
      <rPr>
        <sz val="9"/>
        <color rgb="FF000000"/>
        <rFont val="Calibri"/>
      </rPr>
      <t xml:space="preserve">Wilson Salas
099 213 9258 </t>
    </r>
    <r>
      <rPr>
        <u/>
        <sz val="9"/>
        <color rgb="FF1155CC"/>
        <rFont val="Calibri"/>
      </rPr>
      <t>https://www.facebook.com/p/MANLA-Museo-de-Arte-Naif-Latinoamericano-100070070290314/</t>
    </r>
    <r>
      <rPr>
        <sz val="9"/>
        <color rgb="FF000000"/>
        <rFont val="Calibri"/>
      </rPr>
      <t xml:space="preserve">
</t>
    </r>
  </si>
  <si>
    <t>100</t>
  </si>
  <si>
    <t xml:space="preserve">Galeria Eduardo Kingman
</t>
  </si>
  <si>
    <t>La Galería Kingman es el referente de conociemiento, investigación y difusión de la obra de una de las grandes figuras del arte latinoamericano, el Maestro Eduardo Kingman.
Se realizan exposiciones, avalúos y certificaciones de la obra de Kingman</t>
  </si>
  <si>
    <t xml:space="preserve">Juan Rodríguez e8-58 </t>
  </si>
  <si>
    <r>
      <rPr>
        <sz val="9"/>
        <color rgb="FF000000"/>
        <rFont val="Calibri"/>
      </rPr>
      <t xml:space="preserve">Jualiana Zúñiga
099 966 9040
</t>
    </r>
    <r>
      <rPr>
        <u/>
        <sz val="9"/>
        <color rgb="FF1155CC"/>
        <rFont val="Calibri"/>
      </rPr>
      <t>https://www.facebook.com/kingmangaleria/?locale=es_LA</t>
    </r>
  </si>
  <si>
    <t>101</t>
  </si>
  <si>
    <t>Atelier Virgen de la Merced</t>
  </si>
  <si>
    <t>En el histórico barrio de San Marcos, Atelier Virgen de la Merced ofrece una experiencia artística única y mágica: talleres vivenciales de pan de oro donde los visitantes no solo observan, sino se convierten en artesanos. Guiados paso a paso por expertos, los participantes descubren los secretos del dorado tradicional y crean sus propias piezas, conectando con la memoria artística quiteña. Es una propuesta ideal para quienes desean llevar consigo un recuerdo luminoso, impregnado del arte y la identidad de Quito.</t>
  </si>
  <si>
    <t xml:space="preserve">Junín E2-122 </t>
  </si>
  <si>
    <t>Depende de la cantidad de participantes</t>
  </si>
  <si>
    <r>
      <rPr>
        <sz val="9"/>
        <color rgb="FF000000"/>
        <rFont val="Calibri"/>
      </rPr>
      <t xml:space="preserve">Yolanda Cadena
0998944341
</t>
    </r>
    <r>
      <rPr>
        <u/>
        <sz val="9"/>
        <color rgb="FF1155CC"/>
        <rFont val="Calibri"/>
      </rPr>
      <t>https://www.instagram.com/ateliervirgendelamerced/</t>
    </r>
  </si>
  <si>
    <t>102</t>
  </si>
  <si>
    <t>Ricón de Ulaila</t>
  </si>
  <si>
    <t>Rincón de Ulaila es un refugio cultural que celebra la tradición a través de talleres de arte y gastronomía. Los visitantes disfrutan de una experiencia inmersiva en la que aprenden técnicas ancestrales mientras saborean delicias locales, todo en un ambiente cálido y acogedor. Aquí, el arte se vive y se comparte: pintura, performance, body art y encuentros creativos conviven con platos típicos que evocan memoria e identidad. El lugar es ideal para quienes buscan una vivencia cultural auténtica y cercana, donde la expresión y el sabor se mezclan en armonía en el corazón del Centro Histórico Quiteño.</t>
  </si>
  <si>
    <t>Junín, Quito 170401</t>
  </si>
  <si>
    <t xml:space="preserve">Ulalila
0984065374
</t>
  </si>
  <si>
    <t>103</t>
  </si>
  <si>
    <t xml:space="preserve">Museo Plutarco Naranjo
</t>
  </si>
  <si>
    <t>El Museo Plutarco Naranjo Vargas ofrece una fascinante experiencia que une arqueología, etnografía y arte. Su colección, fruto de la vida de investigación del Dr. Naranjo, explora la medicina tradicional ecuatoriana y la filosofía de salud de culturas originarias. Un viaje enriquecedor al legado cultural del Ecuador.</t>
  </si>
  <si>
    <t>Toledo N22-80 (Plaza Brasilia)</t>
  </si>
  <si>
    <t xml:space="preserve"> Lunes a viernes, de 8h30 a 17h30</t>
  </si>
  <si>
    <t xml:space="preserve">No tiene costo </t>
  </si>
  <si>
    <t>Si es grupal necesita reserva</t>
  </si>
  <si>
    <t xml:space="preserve"> Javier Ramos                                                                          096 307 7166</t>
  </si>
  <si>
    <t>104</t>
  </si>
  <si>
    <t>Arte Eucalipto</t>
  </si>
  <si>
    <t>Arte Eucalipto fusiona arte y naturaleza en talleres creativos que exploran técnicas inspiradas en el bosque de eucaliptos: modelado y pintura con materiales naturales, diseño de piezas artesanales y momentos de contemplación en un entorno sereno. Una experiencia estética y sensorial que despierta la creatividad, conecta con la materia prima del territorio y transforma cada creación en un recuerdo con identidad.</t>
  </si>
  <si>
    <t>José Guachamin S6-169 y Rosa Guañuna - Comuna Llano Grande</t>
  </si>
  <si>
    <t>Bajo reserva con 3 dias de anticipacion.                                       Lunes a viernes es 10am a 5pm</t>
  </si>
  <si>
    <t>Valor por visitante $7</t>
  </si>
  <si>
    <t>maximo 25 oersona</t>
  </si>
  <si>
    <r>
      <rPr>
        <sz val="9"/>
        <color rgb="FF000000"/>
        <rFont val="Calibri"/>
      </rPr>
      <t xml:space="preserve">
099 255 9252
</t>
    </r>
    <r>
      <rPr>
        <u/>
        <sz val="9"/>
        <color rgb="FF1155CC"/>
        <rFont val="Calibri"/>
      </rPr>
      <t>https://www.facebook.com/ArtEucalipto/</t>
    </r>
  </si>
  <si>
    <t>105</t>
  </si>
  <si>
    <t>Nari</t>
  </si>
  <si>
    <t>Nari Cosmética Natural ofrece una experiencia transformadora: productos hechos con ingredientes orgánicos que dejan la piel fresca y radiante, con aromas envolventes y texturas suaves que se absorben fácilmente. Cada fórmula refleja un compromiso sostenible y ético —desde la elección responsable de insumos hasta procesos cuidadosos— para un cuidado de la piel que se siente bien y hace bien.</t>
  </si>
  <si>
    <t>Llano Grande, Calle García Moreno</t>
  </si>
  <si>
    <t xml:space="preserve">1 hora </t>
  </si>
  <si>
    <t>Lunes a Viernes de 8:30 a 13:30 y de 16:00 a 19:00.  Sábados de 9:30 a 13:30</t>
  </si>
  <si>
    <t xml:space="preserve"> Turismos comunitario donde muestran los cultivos de plantas medicinales y cómo elaborar algunos de los productos por $4 por persona. Los productos varian de precio van desde $1.25</t>
  </si>
  <si>
    <t>Se adapta a la necesidad del grupo</t>
  </si>
  <si>
    <t>Para Turismo comunitario debe anticipar con 15 dias minimo</t>
  </si>
  <si>
    <r>
      <rPr>
        <sz val="9"/>
        <color rgb="FF000000"/>
        <rFont val="Calibri"/>
      </rPr>
      <t xml:space="preserve">098 753 4456 </t>
    </r>
    <r>
      <rPr>
        <u/>
        <sz val="9"/>
        <color rgb="FF1155CC"/>
        <rFont val="Calibri"/>
      </rPr>
      <t>https://www.facebook.com/nari.ecu/</t>
    </r>
  </si>
  <si>
    <t>106</t>
  </si>
  <si>
    <t>Aroma Terapia Ancestral Andina Samay Wasy</t>
  </si>
  <si>
    <t xml:space="preserve">La experiencia de aromaterapia Samay Wasy nace en el Museo Templo El Sol es un viaje sensorial sublime. Los aromas exquisitos se combinan con el ambiente místico andino, creando una atmósfera relajante y enriquecedora. Ideal para revitalizar el cuerpo y el espíritu mientras exploras el legado cultural. Esta experiencia de aroma terapia itinerante se puede realizar bajo reserva en cualquier lugar donde se solicite. </t>
  </si>
  <si>
    <t>Calle Eduardo Kingman Oe12-174 y Av. Manuel Córdova Galarza</t>
  </si>
  <si>
    <t>30 minutos</t>
  </si>
  <si>
    <t>Bajo reserva                                                                           Lunes - Viernes: 9:00am - 18:00pm
Sábados y Domingos: 8am - 6pm</t>
  </si>
  <si>
    <t>Experiencia desde los $20 por persona, incluye kit de aromas</t>
  </si>
  <si>
    <t>No tiene un aforo maximo</t>
  </si>
  <si>
    <r>
      <rPr>
        <sz val="9"/>
        <color rgb="FF000000"/>
        <rFont val="Calibri"/>
      </rPr>
      <t xml:space="preserve">Evelyn Ortega 
0999057054 </t>
    </r>
    <r>
      <rPr>
        <u/>
        <sz val="9"/>
        <color rgb="FF1155CC"/>
        <rFont val="Calibri"/>
      </rPr>
      <t>https://www.facebook.com/profile.php?id=100063707717826&amp;mibextid=ZbWKwL</t>
    </r>
  </si>
  <si>
    <t>107</t>
  </si>
  <si>
    <t xml:space="preserve">Huerta Familiar </t>
  </si>
  <si>
    <t xml:space="preserve">Huerta Familiar en Perucho es un refugio natural donde la conexión con la tierra se siente en cada rincón. Ofrecen talleres de cultivo y experiencias gastronómicas con ingredientes frescos. Ideal para quienes buscan desconectar y aprender sobre sostenibilidad en un ambiente acogedor. </t>
  </si>
  <si>
    <t>Vía al Campo Santo, Garcia Moreno, Perucho</t>
  </si>
  <si>
    <t>Bajo reserva.                                                  Atención : sábados, domingos y feriados.
 Horario : 09h00 a 16h00</t>
  </si>
  <si>
    <t xml:space="preserve"> Costo de ingreso: $ 1.00 adultos y $0.50 niños y adultos mayores.
 Costo de cosecha: canasto de $1.00; $3.00; o cómo el turista desea cosechar</t>
  </si>
  <si>
    <t>Se puede planificar visitas para grupos</t>
  </si>
  <si>
    <r>
      <rPr>
        <sz val="9"/>
        <color rgb="FF000000"/>
        <rFont val="Calibri"/>
      </rPr>
      <t xml:space="preserve">0990852123 </t>
    </r>
    <r>
      <rPr>
        <u/>
        <sz val="9"/>
        <color rgb="FF1155CC"/>
        <rFont val="Calibri"/>
      </rPr>
      <t>https://www.facebook.com/HuertaFamiliarPerucho/</t>
    </r>
  </si>
  <si>
    <t>108</t>
  </si>
  <si>
    <t>Zinergia</t>
  </si>
  <si>
    <t>El primer restaurante inmersivo de Ecuador, la sala inmersiva de Zinergia ofrece una experiencia única en el mundo de la gastronomía, combinando alta cocina con tecnología de vanguardia. Lo que la hace aún más innovadora es la sinergia que se crea al integrar una sala virtual, permitiendo a los comensales vivir una experiencia completa, tanto dentro como fuera del restaurante.. Con un salón exclusivo para 10 comensales, disfrutarás de una experiencia de 2.5 horas y 12 tiempos.</t>
  </si>
  <si>
    <t>Cumbayá, entrada al Chaquiñan</t>
  </si>
  <si>
    <t>2 horas y 30 minutos</t>
  </si>
  <si>
    <r>
      <rPr>
        <sz val="9"/>
        <color rgb="FFFF0000"/>
        <rFont val="Calibri"/>
      </rPr>
      <t xml:space="preserve">  </t>
    </r>
    <r>
      <rPr>
        <sz val="9"/>
        <color rgb="FF000000"/>
        <rFont val="Calibri"/>
      </rPr>
      <t>De jueves a sábado cuentan con dos turnos:
13:30 - 16:30 Turno de día
19:30 - 22:30 Turno de noche</t>
    </r>
  </si>
  <si>
    <t>Experiencia desde los $110 por persona</t>
  </si>
  <si>
    <t>maximo 10 personas</t>
  </si>
  <si>
    <r>
      <rPr>
        <u/>
        <sz val="9"/>
        <color rgb="FF000000"/>
        <rFont val="Calibri"/>
      </rPr>
      <t>0</t>
    </r>
    <r>
      <rPr>
        <u/>
        <sz val="9"/>
        <color rgb="FF000000"/>
        <rFont val="Calibri"/>
      </rPr>
      <t xml:space="preserve">93 96 270 5873
https://zinergia-group.com/
</t>
    </r>
    <r>
      <rPr>
        <u/>
        <sz val="9"/>
        <color rgb="FF1155CC"/>
        <rFont val="Calibri"/>
      </rPr>
      <t>https://www.instagram.com/zinergiaec/</t>
    </r>
  </si>
  <si>
    <t>109</t>
  </si>
  <si>
    <t>Quito Jazz Club</t>
  </si>
  <si>
    <t>El Quito Jazz Club es un espacio emblemático en el corazón de Quito, dedicado a la magia del jazz en vivo. Ubicado en una casona histórica, ofrece conciertos íntimos con músicos nacionales e internacionales, creando un ambiente único con excelente acústica, cócteles artesanales y gastronomía gourmet</t>
  </si>
  <si>
    <t>Leonidas Plaza Gutierrez N19-50 y Av. 18 de Septiembre</t>
  </si>
  <si>
    <t xml:space="preserve">- Miércoles a Viernes: 5:00 p.m. - 11:59 p.m.
- Sábado: 6:30 p.m. - 11:59 p.m.
- Domingo a Martes: Cerrado                                      (after office): de martes a viernes desde las 17:00 a las 19:00 </t>
  </si>
  <si>
    <t>Depende del evento</t>
  </si>
  <si>
    <t>Bajo reservas</t>
  </si>
  <si>
    <r>
      <rPr>
        <sz val="9"/>
        <color rgb="FF000000"/>
        <rFont val="Calibri"/>
      </rPr>
      <t xml:space="preserve">Telefono: 099 592 8841                                                                                                           </t>
    </r>
    <r>
      <rPr>
        <u/>
        <sz val="9"/>
        <color rgb="FF1155CC"/>
        <rFont val="Calibri"/>
      </rPr>
      <t>https://quitojazzclub.com/</t>
    </r>
  </si>
  <si>
    <t>110</t>
  </si>
  <si>
    <t>Casa Silberstein</t>
  </si>
  <si>
    <t>Casa patrimonial abierta a la cultura, Boutique Hotel y Restaurante Santhorno en la que su oferta se centra en comida tipo grill (parrilla), carnes. También destacan por su coctelería y variedad de bebidas.</t>
  </si>
  <si>
    <t>Wilson E5-29 y, Juan León Mera</t>
  </si>
  <si>
    <t>Abierta 24/7</t>
  </si>
  <si>
    <r>
      <rPr>
        <sz val="9"/>
        <color rgb="FF000000"/>
        <rFont val="Calibri"/>
      </rPr>
      <t xml:space="preserve">Tel: +593 2 250 5100 / +593 99 590 0195 </t>
    </r>
    <r>
      <rPr>
        <u/>
        <sz val="9"/>
        <color rgb="FF1155CC"/>
        <rFont val="Calibri"/>
      </rPr>
      <t>https://www.google.com/search?q=santhorno.com</t>
    </r>
  </si>
  <si>
    <t>111</t>
  </si>
  <si>
    <t>Museo Manla</t>
  </si>
  <si>
    <t>Museo de Arte Naif Latinoamericano, espacio de difusión y promoción de arte y artistas naif latinoamericanos</t>
  </si>
  <si>
    <t>Av. 6 de Diciembre N24-275 y, Juan Rodriguez</t>
  </si>
  <si>
    <t xml:space="preserve"> Lunes a Viernes: 9:30 - 13:30
Feriados: 9:30 – 16:00                                                                                            Primer domingo y tercer domingo de cada mes de 10am a 4pm</t>
  </si>
  <si>
    <t>Tel: +593 96 366 0660
museo.naif@manla.org</t>
  </si>
  <si>
    <t>112</t>
  </si>
  <si>
    <t>Cacao &amp; Cacao</t>
  </si>
  <si>
    <t>Una tienda especializada enfocada en productos 100% ecuatorianos, destacando principalmente el cacao fino de aroma y el café de especialidad del país. Se presenta como un negocio familiar que busca promover y resaltar la calidad y el sabor de los productos locales, trabajando directamente con productores ecuatorianos.</t>
  </si>
  <si>
    <t>Juan León Mera N21-241 y Vicente Ramón Roca</t>
  </si>
  <si>
    <t>Lunes a Viernes de 8:00am a 20:00pm
Sábado: 09h00 a 18h00
Domingo: Cerrado</t>
  </si>
  <si>
    <t>Degustaciones: Gratis</t>
  </si>
  <si>
    <t>Maximo 15 personas</t>
  </si>
  <si>
    <r>
      <rPr>
        <sz val="9"/>
        <color rgb="FF000000"/>
        <rFont val="Calibri"/>
      </rPr>
      <t xml:space="preserve">Whatsapp: 099 801 0505                                                                                                                                      Telefono local:  (02)223-21-13
Facebook: </t>
    </r>
    <r>
      <rPr>
        <u/>
        <sz val="9"/>
        <color rgb="FF1155CC"/>
        <rFont val="Calibri"/>
      </rPr>
      <t>https://www.facebook.com/photo/?fbid=613130870166338&amp;set=a.613130833499675&amp;locale=es_LA</t>
    </r>
    <r>
      <rPr>
        <sz val="9"/>
        <color rgb="FF000000"/>
        <rFont val="Calibri"/>
      </rPr>
      <t xml:space="preserve">
</t>
    </r>
  </si>
  <si>
    <t>113</t>
  </si>
  <si>
    <t>Kriollo por Ikaro</t>
  </si>
  <si>
    <t>Alta cocina de casa, comida tradicional ecuatoriana elevada a un nuevo nivel gastronómico. Ofrecen menú de degustación y platos a la carta en un ambiente acogedor con terraza.</t>
  </si>
  <si>
    <t>Av. Eloy Alfaro N39-125 y Manuel Guzmán</t>
  </si>
  <si>
    <t>-0.17445708998833015</t>
  </si>
  <si>
    <t>-78.47234099744925</t>
  </si>
  <si>
    <t>Lunes a sábado. 13:00- 14:30 y 18:30 a 20:30</t>
  </si>
  <si>
    <t>Platos a la carta entre $6.50 y $24.50.</t>
  </si>
  <si>
    <t>reservas@kriollo.ec</t>
  </si>
  <si>
    <t>114</t>
  </si>
  <si>
    <t>La Ñora</t>
  </si>
  <si>
    <t>Comedor de barrio con comida ecuatoriana de alto nivel, en un espacio cálido y amigable. Ofrecen desde bollos hasta ceviches.</t>
  </si>
  <si>
    <t>La Carolina: Italia y Alemania,
La Floresta: Lugo y Coruña.</t>
  </si>
  <si>
    <t>-0.1867839337961955</t>
  </si>
  <si>
    <t>-78.48913776889863</t>
  </si>
  <si>
    <t>Lunes a domingo, de 9 a.m. a 4:30 p.m.</t>
  </si>
  <si>
    <t>Platos a la carta como Ceviche de Pescado $8.40, Seco de Chivo $6.20.</t>
  </si>
  <si>
    <t>La Carolina: (593) 98-477-1958&amp;lt;br&gt;La Floresta: (593) 95-869-0123</t>
  </si>
  <si>
    <t>115</t>
  </si>
  <si>
    <t>María Cocina y Panadería</t>
  </si>
  <si>
    <t>Panadería y restaurante enfocado en pan de masa madre. Ofrecen desayunos, brunch, sándwiches y postres.</t>
  </si>
  <si>
    <t>Calle Barón De Carondelet 38, Quito.</t>
  </si>
  <si>
    <t>-0.17164456554255866</t>
  </si>
  <si>
    <t>-78.4928321101713</t>
  </si>
  <si>
    <t>Lunes a sábado de 8am a 8pm, domingos hasta las 2pm.</t>
  </si>
  <si>
    <t>Platos entre $3.55 y $10.00.</t>
  </si>
  <si>
    <t>www.mariacocinaypanaderia.com</t>
  </si>
  <si>
    <t>116</t>
  </si>
  <si>
    <t>Montubio Cocina Manabita</t>
  </si>
  <si>
    <t>Restaurante de comida manabita con platos tradicionales de la provincia de Manabí, incluyendo desayunos y platos a la carta.</t>
  </si>
  <si>
    <t>Galaxias Oe12-85 y Av. Ilaló, Valle de los Chillos.</t>
  </si>
  <si>
    <t>-0.2913214984470903</t>
  </si>
  <si>
    <t>-78.44829658959979</t>
  </si>
  <si>
    <t>Martes a Domingo: 8 am - 16:00 pm.</t>
  </si>
  <si>
    <t>Platos entre $4 y $20</t>
  </si>
  <si>
    <t>80 pax</t>
  </si>
  <si>
    <t>117</t>
  </si>
  <si>
    <t>Negroni</t>
  </si>
  <si>
    <t>Cocina contemporánea internacional con influencias asiáticas y sudamericanas. Especializados en sushi, platos al wok y cócteles en un ambiente sofisticado.</t>
  </si>
  <si>
    <t>Quicentro Shopping, Av. Naciones Unidas entre 6 de Diciembre y Av. de los Shyris.</t>
  </si>
  <si>
    <t>-0.17615156766981116</t>
  </si>
  <si>
    <t>-78.47915942957209</t>
  </si>
  <si>
    <t>Lunes a Domingo de 09:30 a 21:00.</t>
  </si>
  <si>
    <t>Platos desde $8, cócteles a $10.</t>
  </si>
  <si>
    <t>Se recomienda reservar.</t>
  </si>
  <si>
    <t>096 251 8595, negroni.uio@sociedadgourmet.ec</t>
  </si>
  <si>
    <t>118</t>
  </si>
  <si>
    <t>Patos Pizzería</t>
  </si>
  <si>
    <t>Pizzería con ambiente familiar. Ofrecen una amplia variedad de pizzas, pastas, parrilladas y platos ecuatorianos.</t>
  </si>
  <si>
    <t>Varias sucursales en Quito (Chillogallo, Ciudadela Ibarra, Valle de los Chillos).</t>
  </si>
  <si>
    <t>-0.29311024354760384</t>
  </si>
  <si>
    <t>-78.5610560468851</t>
  </si>
  <si>
    <t>Varía por sucursal.</t>
  </si>
  <si>
    <t>Pizzas personales desde $6.21.</t>
  </si>
  <si>
    <t>Pedidos a domicilio por Rappi y Uber Eats.
0987788727</t>
  </si>
  <si>
    <t>119</t>
  </si>
  <si>
    <t>Pez Bela (Cevicheria &amp; Oyster bar)</t>
  </si>
  <si>
    <t>Restaurante moderno de pescados y mariscos, con una propuesta vanguardista de ceviches y ostras frescas.</t>
  </si>
  <si>
    <t>Av. Coruña y Alberto Mena, Quito.</t>
  </si>
  <si>
    <t>-0.19353565641343307</t>
  </si>
  <si>
    <t>-78.47776093984425</t>
  </si>
  <si>
    <t>Martes a Domingo de 12:00 a 16:30.</t>
  </si>
  <si>
    <t>Precio promedio por persona $35.</t>
  </si>
  <si>
    <t>(02) 475 2951 / 099 480 7599, pezbela.com</t>
  </si>
  <si>
    <t>120</t>
  </si>
  <si>
    <t>Restaurante Quitu. Identidad Culinaria</t>
  </si>
  <si>
    <t>Alta cocina de autor que celebra la herencia gastronómica ecuatoriana con ingredientes nativos y un menú que cambia a diario.</t>
  </si>
  <si>
    <t>Jose Bosmediano E15-68 y José Carbo</t>
  </si>
  <si>
    <t>-0.18921181538768742</t>
  </si>
  <si>
    <t>-78.47396612488261</t>
  </si>
  <si>
    <t>Lunes-Viernes 12:30–15:30. Cena: Lunes-Viernes 18:30–22:30.</t>
  </si>
  <si>
    <t>Más de $50.</t>
  </si>
  <si>
    <t>0995521617, www.quitu.ec</t>
  </si>
  <si>
    <t>121</t>
  </si>
  <si>
    <t>Somos Ecuador Restaurante</t>
  </si>
  <si>
    <t>Cocina contemporánea que fusiona sabores ecuatorianos con técnicas internacionales. Ofrecen menú a la carta y de degustación.</t>
  </si>
  <si>
    <t>N34-421 Av. Eloy Alfaro y Av. Portugal, Bellavista</t>
  </si>
  <si>
    <t>-0.18243687950601817</t>
  </si>
  <si>
    <t>-78.47601699048278</t>
  </si>
  <si>
    <t>Almuerzo: Jueves-Sábado 13:00–16:00. Cena: Miércoles-Sadabo 18:30–22:00.</t>
  </si>
  <si>
    <t>Precio promedio $32. Menú de degustación desde $25.</t>
  </si>
  <si>
    <t>Para más de 7 personas, llamar para reservar.</t>
  </si>
  <si>
    <t>Se pide depósito o tarjeta de crédito para reservar.</t>
  </si>
  <si>
    <t>0998003622, somos.rest</t>
  </si>
  <si>
    <t>122</t>
  </si>
  <si>
    <t>Los Tayus Cervecería Artesanal</t>
  </si>
  <si>
    <t>Cervecería artesanal en el sur de Quito con áreas verdes, fogatas y música en vivo. Ofrecen pizzas artesanales, hamburguesas y alitas.</t>
  </si>
  <si>
    <t>Sur de Quito: S25J y Andres Duran.</t>
  </si>
  <si>
    <t>-0.2701959669847845</t>
  </si>
  <si>
    <t>-78.5523058934545</t>
  </si>
  <si>
    <t>Martes a Domingo de 16:30 a 23:30.</t>
  </si>
  <si>
    <t>Pizzas medianas $20-$20.50. Hamburguesas $7.80-$8.00.</t>
  </si>
  <si>
    <t>50 Pax</t>
  </si>
  <si>
    <t>123</t>
  </si>
  <si>
    <t>La guaguasería by Somos</t>
  </si>
  <si>
    <t>Concepto de comida rápida del restaurante Somos. Se especializan en "guaguasas" (pizzas ecuatorianas con masa madre de yuca), bowls y ensaladas.</t>
  </si>
  <si>
    <t>Av. Eloy Alfaro N34-421 Y Av. Portugal, Quito.</t>
  </si>
  <si>
    <t>-0.18254297123449234</t>
  </si>
  <si>
    <t>-78.47550500731418</t>
  </si>
  <si>
    <t>Martes a Sabado de 12:00 a 21:00.
ONLY DELIVERY &amp; TO - GO</t>
  </si>
  <si>
    <t>Guaguasas entre $9 y $13.</t>
  </si>
  <si>
    <t>Pedidos a domicilio por Uber Eats y Rappi.
0995646148</t>
  </si>
  <si>
    <t>124</t>
  </si>
  <si>
    <t>Sinners Micro cerveceria</t>
  </si>
  <si>
    <t>Bolivar Oe 6-15 y Benalcazar</t>
  </si>
  <si>
    <t>-0.21852044</t>
  </si>
  <si>
    <t>-78.51696468</t>
  </si>
  <si>
    <t xml:space="preserve">unes a sábado de 12h00 a 00h00 y los días domingo de 12h00 a 22h00 </t>
  </si>
  <si>
    <t>Cervezas desde $3,75</t>
  </si>
  <si>
    <r>
      <rPr>
        <sz val="9"/>
        <color rgb="FF000000"/>
        <rFont val="Calibri"/>
      </rPr>
      <t xml:space="preserve">Teléfono: 0994290688                                                                                        </t>
    </r>
    <r>
      <rPr>
        <u/>
        <sz val="9"/>
        <color rgb="FF1155CC"/>
        <rFont val="Calibri"/>
      </rPr>
      <t>https://sinners.beer/pages/historia</t>
    </r>
  </si>
  <si>
    <t>125</t>
  </si>
  <si>
    <t>Kitu Chocolate artesanal del Ecuador</t>
  </si>
  <si>
    <t>Proceso del chocolate artesanal, elaboración y degustación de chocolate y productos de chocolate ecuatoriano 100% artesanal, los participantes aprenden sobre el tostado y molido de granos de cacao, la molienda de pasta y la creación de bombones, en una experiencia chocolatera que incluye diversas degustaciones.</t>
  </si>
  <si>
    <t>Venezuela N11-12 y Galapagos, Diagonal a la iglesia de la Basilica</t>
  </si>
  <si>
    <t>-0.21589962</t>
  </si>
  <si>
    <t>-78.50796422</t>
  </si>
  <si>
    <t>Lunes a Domingo de 8:00am a 20:00PM</t>
  </si>
  <si>
    <t>Tour del cacao y degustaciones: Gratis</t>
  </si>
  <si>
    <r>
      <rPr>
        <sz val="9"/>
        <color rgb="FF000000"/>
        <rFont val="Calibri"/>
      </rPr>
      <t xml:space="preserve">984999267                                                                                         </t>
    </r>
    <r>
      <rPr>
        <u/>
        <sz val="9"/>
        <color rgb="FF1155CC"/>
        <rFont val="Calibri"/>
      </rPr>
      <t>https://www.facebook.com/kitu.chocolate/</t>
    </r>
  </si>
  <si>
    <t>126</t>
  </si>
  <si>
    <t>Galletti café: Cafe Responsable</t>
  </si>
  <si>
    <t>En Galletti, el café no se produce. Se interpreta. Ena Escobar, catadora certificada y guardiana del sabor, dirige los perfiles de cada café como un arte meditativo. Cada grano es tratado como archivo vivo: no lo moldeamos, lo dejamos hablar.</t>
  </si>
  <si>
    <t>Av. González Suárez N27-396 and San Ignacio.</t>
  </si>
  <si>
    <t>-0.19970547</t>
  </si>
  <si>
    <t>-78.47953985</t>
  </si>
  <si>
    <r>
      <rPr>
        <u/>
        <sz val="9"/>
        <color rgb="FF000000"/>
        <rFont val="Calibri"/>
      </rPr>
      <t>https://cafegalletti.com/</t>
    </r>
    <r>
      <rPr>
        <sz val="9"/>
        <color rgb="FF000000"/>
        <rFont val="Calibri"/>
      </rPr>
      <t xml:space="preserve">                                                           098-9523-655</t>
    </r>
  </si>
  <si>
    <t>127</t>
  </si>
  <si>
    <t>Tres Gatos</t>
  </si>
  <si>
    <t>Tres Gatos es un espacio que combina el café de especialidad y una librería con actividades culturales. Puedes disfrutar de música distinta, wi fi y comer deliciosos sándwiches y postres.</t>
  </si>
  <si>
    <t>José Tamayo N23-59, Quito 170143</t>
  </si>
  <si>
    <t>-0.20571706740431014</t>
  </si>
  <si>
    <t>-78.49020112486589</t>
  </si>
  <si>
    <t>Lunes a Sábado de 09:30 a 22:00        Domingo de 15:00 a 19:30</t>
  </si>
  <si>
    <t>Por lectura y oráculo $10, con un consumo mínimo de $5. También ofrecen desayunos por $15 por persona</t>
  </si>
  <si>
    <r>
      <rPr>
        <sz val="9"/>
        <color rgb="FF001D35"/>
        <rFont val="Calibri"/>
      </rPr>
      <t xml:space="preserve">(02) 451-6941                                                                                                                                                                                                                                                                                                                                                           https://www.facebook.com/3gatoscafelibro/?locale=es_LA                                                                                                                                                                                                                                                                                        </t>
    </r>
    <r>
      <rPr>
        <u/>
        <sz val="9"/>
        <color rgb="FF1155CC"/>
        <rFont val="Calibri"/>
      </rPr>
      <t>https://www.instagram.com/3gatoscafelibro/?hl=es</t>
    </r>
  </si>
  <si>
    <t>128</t>
  </si>
  <si>
    <t>Kia E-Ground</t>
  </si>
  <si>
    <t>Este espacio fue creado para educar y conectar a los visitantes con los principios de sostenibilidad que guían cada acción de Kia. Aquí, exploramos el futuro de la movilidad y la energía, impulsados por nuestro compromiso con el medio ambiente.</t>
  </si>
  <si>
    <t>Madrid &amp; Av. 12 de Octubre</t>
  </si>
  <si>
    <t>-0.20665969591430303</t>
  </si>
  <si>
    <t xml:space="preserve"> -78.48786324907367</t>
  </si>
  <si>
    <t xml:space="preserve">Depende el recorrido </t>
  </si>
  <si>
    <t>Miércoles a domingo, de 10h00 a 18h00</t>
  </si>
  <si>
    <t>Entrada Gratuita</t>
  </si>
  <si>
    <r>
      <rPr>
        <u/>
        <sz val="9"/>
        <color rgb="FF0563C1"/>
        <rFont val="Calibri"/>
      </rPr>
      <t>https://www.kiaeground.com.ec/visitas</t>
    </r>
    <r>
      <rPr>
        <sz val="9"/>
        <rFont val="Calibri"/>
      </rPr>
      <t xml:space="preserve">                                                  </t>
    </r>
  </si>
  <si>
    <t>129</t>
  </si>
  <si>
    <t xml:space="preserve">Dipinto Cafe y arte </t>
  </si>
  <si>
    <t>Ven a pintar ceramicas, bolsos y mas. Deja volar tu imaginacion y crea algo increible mientras disfrutas de deliciosos postre, bebidas y buen ambiente.</t>
  </si>
  <si>
    <t>Av. De los Shyris N34 - 128 Holanda</t>
  </si>
  <si>
    <t>-0.18418718171239684</t>
  </si>
  <si>
    <t xml:space="preserve"> -78.48224733378623</t>
  </si>
  <si>
    <t>Martes a jueves y domingos de 10:00am a 20:00 pm                                                                   Viernes y sabados de 10:00am a 21:00pm</t>
  </si>
  <si>
    <t>Depende la actividad y la bebida</t>
  </si>
  <si>
    <r>
      <rPr>
        <sz val="9"/>
        <color rgb="FF000000"/>
        <rFont val="Calibri"/>
      </rPr>
      <t xml:space="preserve">098 492 0753                                                                                </t>
    </r>
    <r>
      <rPr>
        <u/>
        <sz val="9"/>
        <color rgb="FF1155CC"/>
        <rFont val="Calibri"/>
      </rPr>
      <t>https://www.facebook.com/people/Dipintoec/61559525673766/?_rdr</t>
    </r>
  </si>
  <si>
    <t>130</t>
  </si>
  <si>
    <t>La Purisima</t>
  </si>
  <si>
    <t>La Purísima celebra la cocina ecuatoriana con una reinterpretación vibrante de platos tradicionales, bajo un enfoque de alta cocina que respeta y resalta los sabores autóctonos del país. En un ambiente acogedor y de barrio, cada receta cuenta una historia de tierra, sazón y memoria. La propuesta invita a los comensales a redescubrir lo familiar con elegancia, donde cada bocado revela la riqueza de nuestra identidad culinaria.</t>
  </si>
  <si>
    <t>Junín E2-27, Quito 170130</t>
  </si>
  <si>
    <t>-0.22339483758428913</t>
  </si>
  <si>
    <t>-78.50938093407245</t>
  </si>
  <si>
    <t>Martes a Sábado de 11h00 a 22h00                                                                                                                           Domingos de  11h00 a 18h00</t>
  </si>
  <si>
    <t>Varia según en plato</t>
  </si>
  <si>
    <t>Se recomienda reservar</t>
  </si>
  <si>
    <t xml:space="preserve">098 301 1740  
https://www.facebook.com/lapurisimaec/?locale=es_LA                                                                                                                                                                                                                                                                                                                       https://linktr.ee/lapurisimaec  </t>
  </si>
  <si>
    <t>131</t>
  </si>
  <si>
    <t>Kintaroo food</t>
  </si>
  <si>
    <t>Comida Asiatica.  Anime, manga, comida y un lugar especial</t>
  </si>
  <si>
    <t>Sabanilla y Melchor Toaza</t>
  </si>
  <si>
    <t>-78.48275293276495</t>
  </si>
  <si>
    <t>Martes y miercoles de 12:30 a 18:3o y de Jueves a Domingo  de 9:00 a 18:30pm</t>
  </si>
  <si>
    <t>0987808401                                                                                https://www.instagram.com/kintaro_quito?igsh=cWhqcHh5YW5hMXF6</t>
  </si>
  <si>
    <t>132</t>
  </si>
  <si>
    <t>Canddly De La Ronda</t>
  </si>
  <si>
    <t>Canddyl de La Ronda emerge como un punto de encuentro vibrante en el tradicional entorno de La Ronda, donde la gastronomía ecuatoriana auténtica se fusiona con el ritmo y la calidez del centro histórico. Con parrilla, menús tradicionales y música en vivo, el lugar ofrece una experiencia completa: comer bien, disfrutar del ambiente patrimonial y dejarse contagiar por la energía local. Es ideal para quienes desean saborear los sabores del Ecuador acompañados de melodías que llenan la noche de Quito.</t>
  </si>
  <si>
    <t>Morales oe 111-3 Y Guayaquil</t>
  </si>
  <si>
    <t>-0.2255833610010107</t>
  </si>
  <si>
    <t>-78.51317680709627</t>
  </si>
  <si>
    <t>Miércoles de 15h15 pm a 00h15 am                                                                                                                            Jueves a Sábado de 11h00 am a 00h00 am</t>
  </si>
  <si>
    <t>Varia según el plato</t>
  </si>
  <si>
    <r>
      <t xml:space="preserve">
</t>
    </r>
    <r>
      <rPr>
        <sz val="8"/>
        <color rgb="FF000000"/>
        <rFont val="Calibri"/>
      </rPr>
      <t xml:space="preserve">099 099 6807                             elcanddyldelaronda01@hotmail.com   </t>
    </r>
    <r>
      <rPr>
        <u/>
        <sz val="8"/>
        <color rgb="FF1155CC"/>
        <rFont val="Calibri"/>
      </rPr>
      <t xml:space="preserve">https://www.facebook.com/elcanddyldelarondaec/?locale=es_LA
</t>
    </r>
  </si>
  <si>
    <t>133</t>
  </si>
  <si>
    <t xml:space="preserve">Casa Santa Bárbara </t>
  </si>
  <si>
    <t>En el corazón del Centro Histórico, Casa Santa Bárbara se alza como un refugio cultural multifacético, donde el arte, el diseño y la gastronomía convergen en un solo espacio. Esta casa patrimonial alberga talleres, galerías, teatro, espacios de diseño y también oferta culinaria, todo en un ambiente vibrante y transformador. La propuesta busca ser un punto de encuentro para creadores, visitantes curiosos y amantes del arte, quienes pueden recorrer salas de exposición, descubrir piezas únicas, participar en eventos culturales y disfrutar de experiencias que nutren la creatividad. Con su combinación de identidad, innovación y comunidad, Casa Santa Bárbara invita a explorar Quito desde una mirada artística y contemporánea.</t>
  </si>
  <si>
    <t>García Moreno y Manabí esquina</t>
  </si>
  <si>
    <t>-0.21777979999999106</t>
  </si>
  <si>
    <t>-78.51056525767169</t>
  </si>
  <si>
    <t xml:space="preserve">Lunes de Sábado 9h00 a 22h00                                                                                                           Domingo de 9h00 a 21h00 </t>
  </si>
  <si>
    <t>Varia según la actividad</t>
  </si>
  <si>
    <t>https://www.facebook.com/casasantabarbarauio?locale=es_LA</t>
  </si>
  <si>
    <t>134</t>
  </si>
  <si>
    <t>Vikingo Errante</t>
  </si>
  <si>
    <t>"Somos restaurante vikingo donde se produce Hidromiel con una receta familiar de mas de 6 generaciones, artilugios vikingos (hachas,escudos,cuernos,joyas,etc). Contamos con un juego de escape room dentro del local. Nuestro principal objetivo es darte una experiencia vikinga de otro nivel.</t>
  </si>
  <si>
    <t>ISABELA CATÓLICA N1457 ENTRE F. SALAZAR Y CORDERO QUITO, PICHINCHA</t>
  </si>
  <si>
    <t>-78.484207635582</t>
  </si>
  <si>
    <t xml:space="preserve">Martes a sabado de 12:30 a 23:00 </t>
  </si>
  <si>
    <t>Varia segun el plato</t>
  </si>
  <si>
    <t>Capacidad maxima de 60 personas</t>
  </si>
  <si>
    <r>
      <rPr>
        <u/>
        <sz val="8"/>
        <color rgb="FF000000"/>
        <rFont val="Calibri"/>
      </rPr>
      <t xml:space="preserve">         098 402 7419                     </t>
    </r>
    <r>
      <rPr>
        <u/>
        <sz val="8"/>
        <color rgb="FF0563C1"/>
        <rFont val="Calibri"/>
      </rPr>
      <t>https://www.facebook.com/elvikingoerrante/?locale=es_LA</t>
    </r>
  </si>
  <si>
    <t>The Magic Bean Restaurante</t>
  </si>
  <si>
    <t>Conocida por su ambiente acogedor y menú variado que incluye opciones para desayunos, almuerzos y cenas, con especialidades en panqueques, desayunos completos, y opciones vegetarianas, veganas y sin gluten. Algunos locales, como Magic Bean Wonderland en Puembo, son temáticos y ofrecen espacios para niños y celebraciones familiares.</t>
  </si>
  <si>
    <t>Av. Republica del Salvador y Suecia</t>
  </si>
  <si>
    <t>-0.19601391194577156</t>
  </si>
  <si>
    <t>-78.48285216674071</t>
  </si>
  <si>
    <t>Todos los días de 9h00 am a 15h00 pm</t>
  </si>
  <si>
    <t xml:space="preserve">Varia según el plato </t>
  </si>
  <si>
    <r>
      <rPr>
        <sz val="9"/>
        <rFont val="Calibri"/>
      </rPr>
      <t xml:space="preserve">095 861 5707                                                                                                                                                                                                                                                                                                            </t>
    </r>
    <r>
      <rPr>
        <u/>
        <sz val="9"/>
        <color rgb="FF1155CC"/>
        <rFont val="Calibri"/>
      </rPr>
      <t>https://www.facebook.com/Magicbeanquito</t>
    </r>
  </si>
  <si>
    <t>La cruz del Eden</t>
  </si>
  <si>
    <t>Cruz del Edén es una cafetería encantadora en el Centro Histórico quiteño, conocida por su ambiente acogedor, su oferta de café de especialidad y sus postres únicos elaborados con frutas exóticas propias. Más que un lugar para tomar un café, es un espacio que invita a pausar, disfrutar y explorar sabores auténticos, donde cada taza y cada dulce lleva consigo la calidez y la tradición local.</t>
  </si>
  <si>
    <t>Sucre 379 Garcia Moreno, y, Quito 170401</t>
  </si>
  <si>
    <t>-0.22087310990931172</t>
  </si>
  <si>
    <t xml:space="preserve"> -78.51361109807172</t>
  </si>
  <si>
    <t>Martes a Jueves: 10am-9pm
Viernes y sabados: 9:30am- 10:30pm 
Domingos: 8:30am-7pm</t>
  </si>
  <si>
    <t>https://www.instagram.com/cruzdeleden/</t>
  </si>
  <si>
    <t>Zuro Loma Birding</t>
  </si>
  <si>
    <t>Es una reserva privada y es un emprendimiento familiar que forma parte de la Reserva de Biosfera del Choco Andino, situada a 3000 msnm, creada con con el fin de preservar y conservar el bosque y las especies de flora y fauna presentes en el ecosistema Nublado Alto Montano.
La actividad de alimentar a los colibries es con fin de educar y concienciar a todos nuestros visitantes a cuidar las aves y la naturaleza.</t>
  </si>
  <si>
    <t>WCJ3+VHJ Parroquia Nono</t>
  </si>
  <si>
    <t>-0.06754833018252161</t>
  </si>
  <si>
    <t>-78.59607554232419</t>
  </si>
  <si>
    <t>Sendero pequeñita Cascada- 1h30min ida y vuelta. 
2 Senderos (1km y medio c/u) dificultad: moderado.</t>
  </si>
  <si>
    <t>Lunes a Domingo -Ingreso 8h00 a 14h00                                                                                                                                                                                                                                                                                                               Salida 16h0</t>
  </si>
  <si>
    <t>Adultos $5 ( 12 +  años)
Niños $3 ( de 5 a 11 años)                                                                                                                                                                                                                                                                                                                                                Camping $ 10 adultos y $8 niños (6+) por persona</t>
  </si>
  <si>
    <t>093 927 6729                                                                                                                                                                                                                                                                                                                                                           https://www.facebook.com/zuroloma/?locale=es_LA</t>
  </si>
  <si>
    <t>Ciro Pasteleria</t>
  </si>
  <si>
    <t>Te ofrece diferentes talleres por mes; mientras disfrutas de sus postres</t>
  </si>
  <si>
    <t>Av. La Coruña &amp; Viscaya, Quito 170109</t>
  </si>
  <si>
    <t>-0.20914440846867538</t>
  </si>
  <si>
    <t xml:space="preserve"> -78.48177028751402</t>
  </si>
  <si>
    <t xml:space="preserve">Depende el taller </t>
  </si>
  <si>
    <t>Abiertos de Martes a Sábados 12:00 pm 20:00 pm</t>
  </si>
  <si>
    <t>Depende el taller y los postres que se sirva</t>
  </si>
  <si>
    <t xml:space="preserve">Cupo para 8 personas </t>
  </si>
  <si>
    <r>
      <rPr>
        <sz val="8"/>
        <color rgb="FF000000"/>
        <rFont val="Calibri"/>
      </rPr>
      <t xml:space="preserve">099 077 9974                                                                                     </t>
    </r>
    <r>
      <rPr>
        <u/>
        <sz val="8"/>
        <color rgb="FF1155CC"/>
        <rFont val="Calibri"/>
      </rPr>
      <t>https://www.instagram.com/ciro.pasteleria</t>
    </r>
  </si>
  <si>
    <t>Qhawana Aventura Rest</t>
  </si>
  <si>
    <t>Restaurante con un concepto distinto en donde podrás disfrutar de una hermosa vista y comida deliciosa, dispone de 9 Terrazas en desniveles con spots para esas fotos increíbles.</t>
  </si>
  <si>
    <t>Puembo la Y calle la Rabija</t>
  </si>
  <si>
    <t>-0.1919007478535299</t>
  </si>
  <si>
    <t>-78.37286325767103</t>
  </si>
  <si>
    <t>Miércoles a sábado de 13h00 a 23h00 pm                                                                                                                                                                                                                                                                                                                Domingo de 12h00 a  19h00pm</t>
  </si>
  <si>
    <t>097 897 7540                                                                                                                                                                                                                                                                                                                                                                                  https://www.instagram.com/qhawanaventurarest/?hl=es                                                                                                                                                                                                                                            https://www.facebook.com/p/qhawanaventura-100076033486745/?locale=es_LA                                                                                                                              https://www.facebook.com/p/qhawanaventura-100076033486745/?locale=es_LA</t>
  </si>
  <si>
    <t>Hasta la Vuelta Señor</t>
  </si>
  <si>
    <t>Ubicado en el histórico Palacio Arzobispal, en pleno corazón del Centro Histórico de Quito, ¡Hasta la Vuelta, Señor! es un ícono de la gastronomía patrimonial ecuatoriana. Su propuesta rescata los sabores más representativos del país —como el hornado, la fritada, el locro o los postres de antaño— y los presenta con un toque de autenticidad y calidez que rememora las cocinas quiteñas de tradición.
El restaurante ofrece una experiencia que trasciende lo culinario: desde su ambiente colonial con vistas al patio central, los visitantes se sumergen en la historia viva de Quito y en la leyenda del Padre Almeida, inspiración del nombre que hoy enmarca su identidad. Entre paredes llenas de historia, aromas familiares y una atención cercana.</t>
  </si>
  <si>
    <t>Chile Oe 456 y Venezuela C.C. Palacio Arzobispal, Tercer piso</t>
  </si>
  <si>
    <t>-0.21954334804872433</t>
  </si>
  <si>
    <t>-78.51186027116441</t>
  </si>
  <si>
    <t>Lunes a Domingo de 11h30 a 22h30</t>
  </si>
  <si>
    <r>
      <rPr>
        <sz val="9"/>
        <color rgb="FF000000"/>
        <rFont val="Calibri"/>
      </rPr>
      <t xml:space="preserve">098 266 7954                                                                                                                                                                                                                                                                                                                                  </t>
    </r>
    <r>
      <rPr>
        <u/>
        <sz val="9"/>
        <color rgb="FF1155CC"/>
        <rFont val="Calibri"/>
      </rPr>
      <t>https://hastalavuelta.com/</t>
    </r>
  </si>
  <si>
    <t>3500 /Cocina de autor</t>
  </si>
  <si>
    <t xml:space="preserve">Este establecimiento propone aventuras gastronómicas inspiradas en el Ecuador y llevadas a la mesa a través del chef y fundador Alejandro Huertas que empezó hace cuatro años a 3.500 metros de altitud en la zona del Volcán Antisana, el concepto gastronómico se enfoca en resaltar el sabor de la memoria, cuenta con cócteles de autor que se pueden marinar con ingredientes del Antisana. </t>
  </si>
  <si>
    <t xml:space="preserve">Centro comercial Paseo San Francisco Cumbayá, Ecuador, </t>
  </si>
  <si>
    <t>-0.19852497932201607</t>
  </si>
  <si>
    <t>-78.43687216473243</t>
  </si>
  <si>
    <t>Aforo para 52 personas</t>
  </si>
  <si>
    <r>
      <rPr>
        <sz val="9"/>
        <color rgb="FF000000"/>
        <rFont val="Calibri"/>
      </rPr>
      <t xml:space="preserve">593 98 533 6891 -  593 999190071                                           info@3500restaurante.com                                                   </t>
    </r>
    <r>
      <rPr>
        <u/>
        <sz val="9"/>
        <color rgb="FF1155CC"/>
        <rFont val="Calibri"/>
      </rPr>
      <t>https://paseosanfrancisco.ec/portfolio/3500-2/</t>
    </r>
  </si>
  <si>
    <t xml:space="preserve">Chulpi Urbano </t>
  </si>
  <si>
    <t>Chulpi, mezcla la tradición de la cocina ecuatoriana con productos no convencionales utilizando creatividad y técnicas modernas. Cada plato de comida típica ecuatoriana es reinterpretado, con los más altos niveles de calidad, sin perder su sabor e identidad. Se destaca su menú degustación que tiene 6 tiempos con platos de todo el país, que sin duda le permite al visitante disfrutar una experiencia única.</t>
  </si>
  <si>
    <t>Ruiz de Castilla N27-123 y Selva Alegre, Barrio Las Casas, Quito.</t>
  </si>
  <si>
    <t>-0.19248049783692311</t>
  </si>
  <si>
    <t xml:space="preserve"> -78.49926458719723</t>
  </si>
  <si>
    <t>Martes a Sabado de  13:00 a 15:00 y de 19:00 a 22:00</t>
  </si>
  <si>
    <t>Aforo para 40 personas</t>
  </si>
  <si>
    <r>
      <rPr>
        <sz val="9"/>
        <color rgb="FF000000"/>
        <rFont val="Calibri"/>
      </rPr>
      <t xml:space="preserve">593992529817                                                                      </t>
    </r>
    <r>
      <rPr>
        <u/>
        <sz val="9"/>
        <color rgb="FF1155CC"/>
        <rFont val="Calibri"/>
      </rPr>
      <t>https://chulpiurbanorest.com/</t>
    </r>
  </si>
  <si>
    <t>Achiote</t>
  </si>
  <si>
    <t>Este establecimiento, funciona en una casa patrimonial ubicada en la zona especial turística La Mariscal, es un negocio familiar; el cliente tiene una atención personalizada de parte de sus propietarios, aquí se ofrecen clases de cocina (16:00 a 18:00 jueves a lunes) donde el visitante puede participar de la elaboración del platillo que desee degustar. Utilizan técnicas innovadoras de cocina, como es la cocción al vacío con la cual reafirma el sabor inigualable de la cocina ecuatoriana, garantizando también la inocuidad de los alimentos. Uno de sus platos insignia es el cuy cocinado al vacío.</t>
  </si>
  <si>
    <t>Juan Rodríguez 282 y Reina Victoria</t>
  </si>
  <si>
    <t>-0.2007768378807851</t>
  </si>
  <si>
    <t xml:space="preserve"> -78.48932539779152</t>
  </si>
  <si>
    <t xml:space="preserve">Jueves a Lunes de 16:00pm a 18:00pm </t>
  </si>
  <si>
    <t>Aforo para 50 personas</t>
  </si>
  <si>
    <r>
      <rPr>
        <sz val="9"/>
        <color rgb="FF000000"/>
        <rFont val="Calibri"/>
      </rPr>
      <t xml:space="preserve">5939 338 8489 - 593 984500333                                          </t>
    </r>
    <r>
      <rPr>
        <u/>
        <sz val="9"/>
        <color rgb="FF1155CC"/>
        <rFont val="Calibri"/>
      </rPr>
      <t>achiote.com.ec</t>
    </r>
    <r>
      <rPr>
        <sz val="9"/>
        <color rgb="FF000000"/>
        <rFont val="Calibri"/>
      </rPr>
      <t xml:space="preserve">                                                                                   reservaciones@achiote.com.ec</t>
    </r>
  </si>
  <si>
    <t>Aroma Ecuador Chocolate y Café ecuatoriano</t>
  </si>
  <si>
    <t>Aroma Ecuador, produce y comercializa productos del mejor cacao nacional fino de Aroma y café 100% ecuatoriano. Poseen una tienda - museo donde el visitante vivirá diferentes experiencias, aquí podrá conocer sobre la historia del chocolate en el Ecuador en “la ruta del Chocolate”. También está la fábrica de chocolate, de café y cosméticos, equipados con alta tecnología, donde se conoce como se elaboran una gran cantidad de productos. También en este espacio los visitantes pueden realizar catas de café y chocolate.  Para mayor comodidad se recomienda reservar la visita.</t>
  </si>
  <si>
    <t>Carlos Guarderas N47 340 y Gonzalo Salazar, barrio La Concepción.</t>
  </si>
  <si>
    <t>-0.15226719081082468</t>
  </si>
  <si>
    <t>-78.49145774477101</t>
  </si>
  <si>
    <t>Lunes a Viernes de 9:00am a 17:30pm</t>
  </si>
  <si>
    <t>40 personas</t>
  </si>
  <si>
    <t>593 998137338 - 593 2 246 9089 Ext. 103                               sales@aromaecuador.com</t>
  </si>
  <si>
    <t>AURA</t>
  </si>
  <si>
    <t>En Aura se inspiran en la riqueza gastronómica de nuestro país, los ingredientes de sus platillos poseen sabores únicos, pues son elegidos directamente de los productores en el campo. Su carta, cuenta con platos nacionales e internacionales de extraordinaria calidad, le permiten al visitante degustar del resultado de una cocina auténtica, mágica, rica en sabores e historias en un ambiente muy acogedor.</t>
  </si>
  <si>
    <t>Whymper N29-42 y Coruña</t>
  </si>
  <si>
    <t>-0.1979791457981412</t>
  </si>
  <si>
    <t xml:space="preserve"> -78.48118336588887</t>
  </si>
  <si>
    <t>Cerrado permanentemente</t>
  </si>
  <si>
    <t>50 personas</t>
  </si>
  <si>
    <t>593 99 834 9552                                                                                              https://aura.com.ec/                                                                        info@aura.com.ec</t>
  </si>
  <si>
    <t>Casa Manuela</t>
  </si>
  <si>
    <t>Este lugar brinda una experiencia única, con los deliciosos platos de gastronomía nacional e internacional con los que cuenta en su carta, traslada a sus visitantes a momentos de gran valor histórico para Quito y el Ecuador; podrá conocer sobre la historia del inmueble y también a la heroína Manuela Cañizares. Realizan clases de cocina, juntamente con el chef principal, permitiendo así que el visitante elabore el platillo que va a degustar.</t>
  </si>
  <si>
    <t>: García Moreno N3-80 y Espejo junto a la Iglesia del Sagrario</t>
  </si>
  <si>
    <t>-0.22025403073577085</t>
  </si>
  <si>
    <t>-78.51295479023436</t>
  </si>
  <si>
    <t>60 personas</t>
  </si>
  <si>
    <r>
      <rPr>
        <sz val="9"/>
        <color rgb="FF000000"/>
        <rFont val="Calibri"/>
      </rPr>
      <t xml:space="preserve">593.987372967                                                                                    </t>
    </r>
    <r>
      <rPr>
        <u/>
        <sz val="9"/>
        <color rgb="FF1155CC"/>
        <rFont val="Calibri"/>
      </rPr>
      <t>https://www.casamanuelarestaurant.com/</t>
    </r>
  </si>
  <si>
    <t>Ciré/ cocina de autor</t>
  </si>
  <si>
    <t xml:space="preserve">Ciré, en sus dos establecimientos basa su menú  en recetas originales de autor, fundamentadas en la cocina tradicional ecuatoriana, pero con técnicas innovadoras, prepara todos sus platillos con productos responsables de primera calidad, provenientes de su huerto orgánico y proveedores calificados.  </t>
  </si>
  <si>
    <t xml:space="preserve">García Moreno 425 y Manabí, Cumbayá
</t>
  </si>
  <si>
    <t>-0.2005491641469704</t>
  </si>
  <si>
    <t>-78.42998039542779</t>
  </si>
  <si>
    <t>Martes a Sabado de 12:30 a 23:00</t>
  </si>
  <si>
    <t>72 personas</t>
  </si>
  <si>
    <t>593 990809258                                                                           https://www.cirefood.com/2021/                                                         info@cirefood.com</t>
  </si>
  <si>
    <t xml:space="preserve">Santhorno </t>
  </si>
  <si>
    <t>Santhorno es un taller culinario ubicado dentro de una casa patrimonial que tiene 80 años,  ofrece diferentes experiencias, destacando las clases de cocina para elaborar el “chapolate” y el locro quiteño. El Chapolate, combina la región costa con el cacao ecuatoriano y la sierra con elaboración de machica, su preparación está hecha con chocolate de calidad y un chapo a base de máchica recién tostada y molida. El locro, es la más emblemática sopa quiteña, convertida en un taller culinario donde el visitante podrá  aprender sobre las variedad de papas nativas de Ecuador.</t>
  </si>
  <si>
    <t>Wilson E-529 y Juan León Mera</t>
  </si>
  <si>
    <t>-0.2024792904582128</t>
  </si>
  <si>
    <t>-78.49223042860342</t>
  </si>
  <si>
    <t>Martes a Sabado de 12:30 a  19:30pm</t>
  </si>
  <si>
    <t>15 personas</t>
  </si>
  <si>
    <t>593 979044795                                                                                 Página web: @santhorno_empanadas</t>
  </si>
  <si>
    <t>Estancia de La Campiña</t>
  </si>
  <si>
    <t>Está localizado a 18 km de Quito, posee un ambiente campestre y tranquilo donde se disfruta de aire puro, vegetación autóctona y de la visita de muchas especies de aves. Los caballos forman parte esencial dentro de esta finca familiar, con ellos se convive el día a día. Hay la posibilidad de interactuar con ellos cepillándolos, alimentándolos ó practicando equitación. El visitante, puede acampar con todas las comodidades y seguridad, cuenta con senderos para caminar, leña para fogatas; además tiene confortables habitaciones. Para completar la experiencia está el restaurante cuya gastronomía está inspirada en ingredientes de la zona con productos orgánicos cosechados en su propio huerto.</t>
  </si>
  <si>
    <t>Vía a la Campiña sobre el Barrio la Curva, Parroquia de Nono</t>
  </si>
  <si>
    <t>-0.0839017948526283</t>
  </si>
  <si>
    <t xml:space="preserve"> -78.57088011900187</t>
  </si>
  <si>
    <t>593 999234901 - 593 2 2786 006                                              https://www.estancianono.com/                                                                                   correo electronico: estancianono@hotmail.com</t>
  </si>
  <si>
    <t>Finca Frajares</t>
  </si>
  <si>
    <t>Aquí los visitantes pueden disfrutar de la experiencia del Tour del café, donde tendrán charlas de las etapas del café, se harán preparaciones y filtrados del producto,se puede realizar caminatas por los senderos donde también aprenderán del crecimiento de la planta, está también la vivencia en  pos-cosecha;  y la experiencia de las preparaciones del café con equipos propios para saborear a profundidad y deleitarse tomando un buen café. Frajares posee su propio restaurante.</t>
  </si>
  <si>
    <t>Km 58  vía a Los Bancos. 3 km después de Nanegalito.</t>
  </si>
  <si>
    <t>0.07326084084574351</t>
  </si>
  <si>
    <t>-78.69194888777758</t>
  </si>
  <si>
    <t>jueves a Domingo de 8:30am a 18:00pm</t>
  </si>
  <si>
    <t>95 personas</t>
  </si>
  <si>
    <r>
      <rPr>
        <sz val="9"/>
        <color rgb="FF000000"/>
        <rFont val="Calibri"/>
      </rPr>
      <t xml:space="preserve">997482646                                                                                           www </t>
    </r>
    <r>
      <rPr>
        <u/>
        <sz val="9"/>
        <color rgb="FF1155CC"/>
        <rFont val="Calibri"/>
      </rPr>
      <t>cafefrajares.com</t>
    </r>
    <r>
      <rPr>
        <sz val="9"/>
        <color rgb="FF000000"/>
        <rFont val="Calibri"/>
      </rPr>
      <t xml:space="preserve">                                                               Correo electrónico:  cafefrajares@gmail.com</t>
    </r>
  </si>
  <si>
    <t xml:space="preserve">La Gloria </t>
  </si>
  <si>
    <t xml:space="preserve">Es un restaurante de comida fusión peruana y ecuatoriana. Ofrece una innovadora propuesta de ceviches y crudos, picadas, arroces y mucho más.
Adicional cuenta con una barra de ceviches y crudos, con los mejores piscos sour, gin tonics, vinos y burbujas para el deleite.
</t>
  </si>
  <si>
    <t>Valladolid N24-519 y Fco. Salazar. Sector La Floresta</t>
  </si>
  <si>
    <t>-0.20603648850085962</t>
  </si>
  <si>
    <t>-78.48260857106536</t>
  </si>
  <si>
    <t>Lunes a viernes de 12:30 a 23:00pm    y fines de semana de 12:30 a 16:00pm</t>
  </si>
  <si>
    <t>100 personas</t>
  </si>
  <si>
    <r>
      <rPr>
        <sz val="9"/>
        <color rgb="FF000000"/>
        <rFont val="Calibri"/>
      </rPr>
      <t xml:space="preserve">593 99 916 9570 - 593 99 972 1652                                          </t>
    </r>
    <r>
      <rPr>
        <u/>
        <sz val="9"/>
        <color rgb="FF1155CC"/>
        <rFont val="Calibri"/>
      </rPr>
      <t>https://www.lagloria.com.ec/</t>
    </r>
    <r>
      <rPr>
        <sz val="9"/>
        <color rgb="FF000000"/>
        <rFont val="Calibri"/>
      </rPr>
      <t xml:space="preserve">                                       Correo electrónico: reservas@lagloria.com.ec                </t>
    </r>
  </si>
  <si>
    <t>Marcando el camino</t>
  </si>
  <si>
    <t>El restaurante ofrece comida vegetariana y cocina latinoamericana. Es uno de los restaurantes con concepto casual mejor seleccionados por el mercado quiteño y extranjero. Su ambiente es de estilo urbano como cualquier ciudad cosmopolita.</t>
  </si>
  <si>
    <t>Tamayo N23-75 y Veintimilla. Sector La Mariscal.</t>
  </si>
  <si>
    <t>-0.20609500332710343</t>
  </si>
  <si>
    <t xml:space="preserve"> -78.49013438944284</t>
  </si>
  <si>
    <t>Martes a Sabado de  9:30am a 21:30 pm</t>
  </si>
  <si>
    <t>70 personas</t>
  </si>
  <si>
    <r>
      <rPr>
        <sz val="9"/>
        <color rgb="FF000000"/>
        <rFont val="Calibri"/>
      </rPr>
      <t xml:space="preserve">593 99 821 1219 - 593 2 4526330                                                  </t>
    </r>
    <r>
      <rPr>
        <u/>
        <sz val="9"/>
        <color rgb="FF1155CC"/>
        <rFont val="Calibri"/>
      </rPr>
      <t>www.marcandoelcamino.ec</t>
    </r>
    <r>
      <rPr>
        <sz val="9"/>
        <color rgb="FF000000"/>
        <rFont val="Calibri"/>
      </rPr>
      <t xml:space="preserve">                                                     Correo electrónico: san_cueva@hotmail.com / info@marcandoelcamino.ec           </t>
    </r>
  </si>
  <si>
    <t>Nuema</t>
  </si>
  <si>
    <t>Es un restaurante de cocina local con técnicas contemporáneas y vanguardistas para resaltar lo mejor de los productos ecuatorianos de temporada.</t>
  </si>
  <si>
    <t>Bello Horizonte E11-12 y Coruña. Sector Gonzalez Suárez.</t>
  </si>
  <si>
    <t>-0.19804763165230596</t>
  </si>
  <si>
    <t xml:space="preserve"> -78.482376591368</t>
  </si>
  <si>
    <t xml:space="preserve">Cuenta con 2 horarios de Martes a Sabado  de 12:30 a 15:30  y de 18:30 a 22:30   </t>
  </si>
  <si>
    <t>60 personas para eventos / 45 personas en distribución de restaurante</t>
  </si>
  <si>
    <r>
      <rPr>
        <sz val="9"/>
        <color rgb="FF000000"/>
        <rFont val="Calibri"/>
      </rPr>
      <t xml:space="preserve">593 992509160 / 593 998502726                                               </t>
    </r>
    <r>
      <rPr>
        <u/>
        <sz val="9"/>
        <color rgb="FF1155CC"/>
        <rFont val="Calibri"/>
      </rPr>
      <t>https://www.nuema.ec/index.html</t>
    </r>
    <r>
      <rPr>
        <sz val="9"/>
        <color rgb="FF000000"/>
        <rFont val="Calibri"/>
      </rPr>
      <t xml:space="preserve">                                     Correo electrónico: info@nuema.ec / reservas@nuema.ec </t>
    </r>
  </si>
  <si>
    <t>Restaurante Altamira</t>
  </si>
  <si>
    <t>Altamira Gastronomic Experience invita a vivir Quito desde el paladar. Situado en una casa colonial con patio interno, este restaurante combina la elegancia patrimonial con una propuesta culinaria que fusiona la cocina francesa y ecuatoriana. Ofrece experiencias vivenciales únicas: clases de cocina, coctelería guiada y momentos de café en terraza, todos elaborados con productos frescos de los mercados locales. Con un ambiente acogedor, servicio cálido y platos que sorprenden, Altamira es un espacio donde el sabor, la memoria y la creatividad se encuentran.</t>
  </si>
  <si>
    <t>Rocafuerte Oe3-97 y Venezuela. Centro Histórico.</t>
  </si>
  <si>
    <t>-0.2229480455780673</t>
  </si>
  <si>
    <t>-78.5144883630917</t>
  </si>
  <si>
    <t>lunes a sábado de 8:30 a.m. a 7:00 p.m. y los domingos de 9:00 a.m. a 5:45 p.m</t>
  </si>
  <si>
    <t>80personas</t>
  </si>
  <si>
    <r>
      <rPr>
        <sz val="9"/>
        <color rgb="FF000000"/>
        <rFont val="Calibri"/>
      </rPr>
      <t xml:space="preserve">Página web: </t>
    </r>
    <r>
      <rPr>
        <u/>
        <sz val="9"/>
        <color rgb="FF1155CC"/>
        <rFont val="Calibri"/>
      </rPr>
      <t>https://altamiraexperience.com</t>
    </r>
    <r>
      <rPr>
        <sz val="9"/>
        <color rgb="FF000000"/>
        <rFont val="Calibri"/>
      </rPr>
      <t xml:space="preserve">
Teléfonos de contacto: 593 98 450 2981
Correo electrónico: altamiraexperience@gmail.com
</t>
    </r>
  </si>
  <si>
    <t>Tributo</t>
  </si>
  <si>
    <t>Es un restaurante de cocina interpretativa, rinde tributo al campo, al campesino y al producto local. Se caracterizan por tener productos incomparables, ya que provienen de los Andes y de gente nativa de nuestro país</t>
  </si>
  <si>
    <t>Isabel La Católica N24-54 entre Luis Cordero y Francisco Salazar</t>
  </si>
  <si>
    <t>-0.20529078356120317</t>
  </si>
  <si>
    <t>-78.4843154779098</t>
  </si>
  <si>
    <t>Lunes a Domingo de 12:30 a 16:00  y en la tarde  de 19:00 a 23:00</t>
  </si>
  <si>
    <t xml:space="preserve">100 personas </t>
  </si>
  <si>
    <r>
      <rPr>
        <sz val="9"/>
        <color rgb="FF000000"/>
        <rFont val="Calibri"/>
      </rPr>
      <t xml:space="preserve">Página web: </t>
    </r>
    <r>
      <rPr>
        <u/>
        <sz val="9"/>
        <color rgb="FF1155CC"/>
        <rFont val="Calibri"/>
      </rPr>
      <t>https://www.tributo.ec/</t>
    </r>
    <r>
      <rPr>
        <sz val="9"/>
        <color rgb="FF000000"/>
        <rFont val="Calibri"/>
      </rPr>
      <t xml:space="preserve">
Teléfonos de contacto: 593 99-989-5311
Correo electrónico: contactotributo@gruponm.com
</t>
    </r>
  </si>
  <si>
    <t>Sara Sisa Bordados</t>
  </si>
  <si>
    <t>Sara Sisa Bordados mantiene viva la tradición textil de Llano Grande con delicadas piezas hechas a mano por mujeres Kitu Kara que plasman en cada puntada la memoria de su pueblo. Colores vibrantes, flores, aves y símbolos ancestrales se entrelazan en blusas, accesorios y textiles que combinan belleza artesanal con identidad cultural. Más que bordados, son expresiones de herencia y creatividad comunitaria que cautivan por su autenticidad y valor único.</t>
  </si>
  <si>
    <t>Comuna Llano Grande, calle Gabriel García Moreno</t>
  </si>
  <si>
    <t>1 a 3 horas</t>
  </si>
  <si>
    <t>Lunes a Viernes de 9h00 a 18h00 y Sábados de 9h00 a 12h00</t>
  </si>
  <si>
    <r>
      <rPr>
        <sz val="9"/>
        <color rgb="FF080809"/>
        <rFont val="Calibri"/>
      </rPr>
      <t xml:space="preserve">098 399 2909                                                                                                                                                                                                                                                                                                                  https://www.facebook.com/sarasisabordados/                                                                                                                                                                                                                                       </t>
    </r>
    <r>
      <rPr>
        <u/>
        <sz val="9"/>
        <color rgb="FF1155CC"/>
        <rFont val="Calibri"/>
      </rPr>
      <t>https://www.instagram.com/sarasisabordados/?fbclid=IwY2xjawLSLINleHRuA2FlbQIxMABicmlkETFpcGxxb2VMMkRpWFd1Q2tEAR7T-KzjuszqH9LKQrpKpmLMsk7bSw2sckT208yrwFrPsdInc55TAwY0uO6yJw_aem_JXh1qREUHTwqejid69E0Rg#</t>
    </r>
  </si>
  <si>
    <t>Huerto Allpa Mishki</t>
  </si>
  <si>
    <t>Huerto Allpa Mishki celebra la “tierra dulce” con un emprendimiento agroecológico liderado por mujeres de la Comuna Llano Grande, donde la agro-biodiversidad y los saberes ancestrales se traducen en productos frescos y naturales: vegetales de huerto, pollitos de campo y elaboraciones que nacen del cuidado responsable de la tierra. Colores, aromas y texturas auténticas se unen a un modelo solidario y sostenible que acerca la cosecha directamente al hogar, combinando identidad, salud y sabor en cada entrega.</t>
  </si>
  <si>
    <t>Comuna Llano Grande, Juan Vásquez 55-72</t>
  </si>
  <si>
    <t>2 a 3 horas</t>
  </si>
  <si>
    <t xml:space="preserve">Lunes a Domingo de 9h00 a 17h00 </t>
  </si>
  <si>
    <t>981494263                                                                                                                                                                                                                                                                                                                      https://www.facebook.com/allpamishkiec/                                                                                                                                                                                                                                                                      allpamishikiproductos@gmail.com</t>
  </si>
  <si>
    <t>Sacha Loma</t>
  </si>
  <si>
    <t>Sacha Loma reúne saberes tradicionales y bienestar en un espacio dedicado a la elaboración artesanal de productos naturales: frutos secos, aderezos y preparaciones que conservan el sabor auténtico del territorio. Aromas, texturas y procesos cuidadosos se complementan con degustaciones de productos procesados de manera natural, resaltando calidad, sostenibilidad y el vínculo profundo con la Pachamama.</t>
  </si>
  <si>
    <t>Llano Grande Calle García Moreno, y, Quito 170208</t>
  </si>
  <si>
    <t>098 753 4456 https://www.facebook.com/nari.ecu/</t>
  </si>
  <si>
    <t>Huerto Alli Allpa / Chicha Rosita María</t>
  </si>
  <si>
    <t>Huerto Alli Allpa honra la memoria agrícola de Llano Grande con la elaboración de chicha de jora, recreando saberes transmitidos por generaciones que narran territorio. Entre cultivos vivos y técnicas tradicionales, la experiencia celebra la cosecha local e incluye degustación de esta bebida ancestral, en un ambiente cercano donde identidad, sabor y comunidad laten al unísono.</t>
  </si>
  <si>
    <t>República del Cacao (Floresta)</t>
  </si>
  <si>
    <t>Un espacio dedicado al chocolate ecuatoriano fino de aroma. Ideal para disfrutar de postres elaborados por reconocidos chefs. Es un lugar amigable con las mascotas.</t>
  </si>
  <si>
    <t>Julio Zaldumbide S/N y Miravalle</t>
  </si>
  <si>
    <t>30 - 60 minutos</t>
  </si>
  <si>
    <t>Viernes y Sábado: 10h00 - 20h30; Resto de la semana: 10h00 - 20h00</t>
  </si>
  <si>
    <t>Postres y productos a la carta (ej. Premezcla de brownie $7.00)</t>
  </si>
  <si>
    <t>(593-2) 281-8320, Redes sociales</t>
  </si>
  <si>
    <t>Paccari Casa de Experiencias Floresta</t>
  </si>
  <si>
    <t>Famosa por su galardonado chocolate orgánico, ofrece catas de chocolate para degustar sus diversas variedades, incluyendo sabores únicos con ingredientes andinos.</t>
  </si>
  <si>
    <t>Julio Zaldumbide N24-713 y Rubio de Arevalo</t>
  </si>
  <si>
    <t>Cata de chocolate: 60 - 90 minutos</t>
  </si>
  <si>
    <t>Viernes y Sábado: 8h00 - 22h00; Resto de la semana: 8h00 - 20h00</t>
  </si>
  <si>
    <t>Kit de cata de chocolate: $10.00; Cenas con un promedio de $8 a $15 por persona</t>
  </si>
  <si>
    <t>www.paccari.com/, colectivodelafloresta@gmail.com</t>
  </si>
  <si>
    <t>La Gloria</t>
  </si>
  <si>
    <t>Restaurante de alta cocina que fusiona sabores peruanos y mediterráneos con un toque ecuatoriano en un ambiente elegante.</t>
  </si>
  <si>
    <t>Valladolid N24-519 y Francisco Salazár</t>
  </si>
  <si>
    <t>1.5 - 2.5 horas</t>
  </si>
  <si>
    <t>Lunes a Viernes: 12h30 - 23h00; Sábado: 12h30 - 16h00; Domingo: 12h30 - 16h30</t>
  </si>
  <si>
    <t>Platos fuertes entre $14 y $35</t>
  </si>
  <si>
    <t>lagloria.com.ec, (593) 99 916 9570</t>
  </si>
  <si>
    <t>KAFOS Coffee Shop</t>
  </si>
  <si>
    <t>Cafetería de especialidad y tostaduría que se enfoca en la calidad del café ecuatoriano. Ofrecen también pan artesanal en un ambiente acogedor.</t>
  </si>
  <si>
    <t>Valladolid 462 y Francisco Salazár</t>
  </si>
  <si>
    <t>30 - 75 minutos</t>
  </si>
  <si>
    <t>Lunes: 11:00 - 20:00; Martes a Sábado: 9:30 - 20:00; Domingo: 10:00 - 17:00</t>
  </si>
  <si>
    <t>Cafés y productos a la carta (ej. Fundas de café desde $13.50)</t>
  </si>
  <si>
    <t>kafos.ec, + (593) – 099 299 9836, santyx95@gmail.com</t>
  </si>
  <si>
    <t>Stratto Bodega de Café + Coffee Shop</t>
  </si>
  <si>
    <t>Una bodega de café de especialidad, recomendada por conocedores del buen café en Quito.</t>
  </si>
  <si>
    <t>Vizcaya E13-18 y Valladolid</t>
  </si>
  <si>
    <t>Miércoles a Viernes: 15:00 - 22:00; Sábado: 10:00 - 22:00; Domingo: 10:00 - 17:00</t>
  </si>
  <si>
    <t>No disponible</t>
  </si>
  <si>
    <t>098 343 2266</t>
  </si>
  <si>
    <t>Vermuteria Clandestina</t>
  </si>
  <si>
    <t>La primera vermutería de Ecuador, ofrece vermut artesanal elaborado con botánicos locales. El ambiente es acogedor, con buena música, ideal para degustar tapas y sándwiches.</t>
  </si>
  <si>
    <t>Pontevedra S/N y Francisco Salazar</t>
  </si>
  <si>
    <t>1 - 2 horas</t>
  </si>
  <si>
    <t>Martes y miercoles: 16:00 - 22:30; jueves a sábado: 16:00 - 23:30; domingo y lunes: cerrado</t>
  </si>
  <si>
    <t>Instagram: @la_vermuteria_clandestina</t>
  </si>
  <si>
    <t>Xqueje</t>
  </si>
  <si>
    <t>Tienda y espacio dedicado a productos derivados del cannabis ecuatoriano, enfocados en bienestar, uso medicinal y cuidado de la piel.</t>
  </si>
  <si>
    <t>20 - 40 minutos</t>
  </si>
  <si>
    <t>Martes: 14h00 - 21h00; Miércoles: 14h00 - 22h00; Jueves a Sábado: 14h00 - 23h00 (El mercado abre desde las 12h00)</t>
  </si>
  <si>
    <t>www.xqueje.com, latiendadelcac@gmail.com, 0983159721</t>
  </si>
  <si>
    <t>La Cleta</t>
  </si>
  <si>
    <t>Pizzería con una temática ciclista, reconocida por su ambiente relajado, buena pizza y una selección de cervezas artesanales e industriales.</t>
  </si>
  <si>
    <t>Lugo S/N y Guipuzcoa</t>
  </si>
  <si>
    <t>Lunes a Viernes: 12:00 - 22:00/23:00; Sábado: 17:00 - 23:00</t>
  </si>
  <si>
    <t>Pizzas alrededor de €10.00 - €13.50</t>
  </si>
  <si>
    <t>2507092, 0995654970, azulprofundosh@yahoo.es</t>
  </si>
  <si>
    <t>Nero Café</t>
  </si>
  <si>
    <t>Cafetería con una terraza en la vereda que combina un ambiente agradable con buen café de especialidad. Ofrecen platos como bagels de salmón y sándwiches de burrata.</t>
  </si>
  <si>
    <t>Guipuzcoa E14-27 y Mallorca</t>
  </si>
  <si>
    <t>45 - 90 minutos</t>
  </si>
  <si>
    <t>Lunes a Viernes: 09:00 - 18:00; Sábado: 10:00 - 16:00; Domingo: 09:00 - 18:00</t>
  </si>
  <si>
    <t>A la carta</t>
  </si>
  <si>
    <t>02 255 1101, 099 561 3074, cafejervis@gmail.com</t>
  </si>
  <si>
    <t>Amore Art &amp; spiritual lounge</t>
  </si>
  <si>
    <t>Un espacio de arte y eventos que ofrece desde shows de comedia y stand-up hasta platos tradicionales ecuatorianos en un ambiente lleno de arte y música.</t>
  </si>
  <si>
    <t>Guipuzcoa E13 80 y Pontevedra</t>
  </si>
  <si>
    <t>Depende del evento (aprox. 2 horas)</t>
  </si>
  <si>
    <t>Martes a Sábado: 12:00 a 21:00 (para comidas); los eventos tienen horarios específicos</t>
  </si>
  <si>
    <t>El costo varía según el evento (ej. Show de comedia $30 por persona, incluye una copa de vino)</t>
  </si>
  <si>
    <t>Limitado, se recomienda reservar</t>
  </si>
  <si>
    <t>Reservas eventos: 097 979 8709; Reservas restaurante: 098 601 3218</t>
  </si>
  <si>
    <t>Chakra organic products</t>
  </si>
  <si>
    <t>Tienda de productos orgánicos y un espacio que ofrece experiencias educativas como yoga, meditación y talleres de bienestar. Un referente en estilo de vida consciente.</t>
  </si>
  <si>
    <t>Valladolid S/N y Guipuzcoa</t>
  </si>
  <si>
    <t>30 - 60 minutos (para compras)</t>
  </si>
  <si>
    <t>Lunes a Sábado: 10h00 - 19h00; Domingo: 08h00 - 12h00</t>
  </si>
  <si>
    <t>linktr.ee/chakraorganicproducts, chakra.ecuador@gmail.com, 0983775201</t>
  </si>
  <si>
    <t>Chamuyo</t>
  </si>
  <si>
    <t>Restaurante de parrilladas que ofrece un ambiente animado, a menudo con espectáculos de tango en vivo, ideal para una cena diferente.</t>
  </si>
  <si>
    <t>Toledo S/N Y Francisco Salazár</t>
  </si>
  <si>
    <t>1.5 - 3 horas</t>
  </si>
  <si>
    <t>Lunes a Domingo: 16:00 - 23:00 (los horarios pueden variar)</t>
  </si>
  <si>
    <t>A la carta (ej. Picaña 250gr $14.50)</t>
  </si>
  <si>
    <t>Redes sociales</t>
  </si>
  <si>
    <t>UMAKI</t>
  </si>
  <si>
    <t>Posiblemente se refiera a "Maki", un restaurante de sushi que combina comida japonesa con sabores peruanos. Ofrecen "All You Can Eat".</t>
  </si>
  <si>
    <t>Francisco Salazar E12 - 92 y Andalucía</t>
  </si>
  <si>
    <t>Lunes a sábado: 12:00 - 17:00, domingo cerrado</t>
  </si>
  <si>
    <t>All You Can Eat: $19.99 + impuestos</t>
  </si>
  <si>
    <t>Clara Restaurante</t>
  </si>
  <si>
    <t>Restaurante de cocina de autor que ofrece platos de cocina cotidiana elaborada, destacando el uso de ingredientes locales en un espacio moderno y cálido.</t>
  </si>
  <si>
    <t>Isabel la Católica S/N y Galavis</t>
  </si>
  <si>
    <t>Lunes a Viernes: 12:30 - 15:30 y 18:00 - 21:00</t>
  </si>
  <si>
    <t>Precio promedio por persona: $30</t>
  </si>
  <si>
    <t>clara.ec, +593 991495958, claralafloresta@gmail.com</t>
  </si>
  <si>
    <t>Il Barista</t>
  </si>
  <si>
    <t>Más que una cafetería, es un centro de entrenamiento para baristas que ofrece cursos y certificaciones internacionales.</t>
  </si>
  <si>
    <t>Av. Isabel la Católica S/N y Luis Cordero</t>
  </si>
  <si>
    <t>Cursos tienen duraciones específicas (ej. 2 horas por sesión)</t>
  </si>
  <si>
    <t>lunes a viernes: 08:30 - 19:00; sabado y domingo cerrado</t>
  </si>
  <si>
    <t>Cursos desde $290 - $306</t>
  </si>
  <si>
    <t>Depende del curso</t>
  </si>
  <si>
    <t>ilbarista.cafe, +593967779219, info@ilbarista.cafe</t>
  </si>
  <si>
    <t>Plural Brewery</t>
  </si>
  <si>
    <t>Experiencia de cata con bebidas fermentadas y Pet Nats locales, Visita  a la planta de producción.</t>
  </si>
  <si>
    <t>Barrio Las Casas.Calle Abelardo Moncayo 386-448 (cerca de Ruiz de Castilla).</t>
  </si>
  <si>
    <t>Bajo pedido o cita previa.</t>
  </si>
  <si>
    <t>Precio promedio por persona: $12</t>
  </si>
  <si>
    <t>Telf: 099 700 2774</t>
  </si>
  <si>
    <t>Itinerante Resto Pub</t>
  </si>
  <si>
    <t>Cata y Maridaje, funciona como espacio para catas y maridajes con comida local.</t>
  </si>
  <si>
    <t>Jerónimo Carrión S/N y 9 de Octubre</t>
  </si>
  <si>
    <t>Precio promedio por persona: $10</t>
  </si>
  <si>
    <t>Telf: 099 961 5111; 098 724 0966</t>
  </si>
  <si>
    <t>La Ramada</t>
  </si>
  <si>
    <t>Experiencia de cata con cervezas artesanales y gastronomía local.</t>
  </si>
  <si>
    <t>González Suárez S/N y 18 de Mayo</t>
  </si>
  <si>
    <t>Casa Agave Floresta</t>
  </si>
  <si>
    <t>Casa Agave ofrece una experiencia única que combina gastronomía, cultura y degustación,  los invitados pueden deleitarse con la degustación de "mishki", una bebida tradicional, y disfrutar de una cata de cócteles preparados con maestría por el equipo de la casa.</t>
  </si>
  <si>
    <t>calle Lugo y Vizcaya, frente a INCINE</t>
  </si>
  <si>
    <t>Café Guayasamin</t>
  </si>
  <si>
    <t>Café de especialidad, creadores de experiencias sensoriales.</t>
  </si>
  <si>
    <t>Varía según la experiencia</t>
  </si>
  <si>
    <r>
      <rPr>
        <sz val="9"/>
        <color rgb="FF000000"/>
        <rFont val="Calibri"/>
      </rPr>
      <t xml:space="preserve">0980624490 /
</t>
    </r>
    <r>
      <rPr>
        <u/>
        <sz val="9"/>
        <color rgb="FF1155CC"/>
        <rFont val="Calibri"/>
      </rPr>
      <t>https://www.facebook.com/CafeGuayasamin/
https://www.instagram.com/cafeguayasamin</t>
    </r>
  </si>
  <si>
    <t>Escuela de Arte Quiteño</t>
  </si>
  <si>
    <t>La Escuela de Arte Quiteño ofrece experiencias artísticas transformadoras que buscan recuperar y difundir las técnicas tradicionales de esta corriente histórica para la restauración del patrimonio cultural. Sus talleres prácticos, guiados por maestros expertos, permiten a los participantes aprender desde el tallado en madera, la escultura y la aplicación de pan de oro, hasta disciplinas como la caligrafía, el lettering y la pintura experimental. Estas vivencias están diseñadas para que los asistentes, sin importar su nivel previo, logren crear objetos únicos con identidad personal mientras mantienen vivo el legado artístico de la ciudad.</t>
  </si>
  <si>
    <t>Av Colón y 12 de octubre</t>
  </si>
  <si>
    <t>Variable</t>
  </si>
  <si>
    <r>
      <rPr>
        <sz val="9"/>
        <color rgb="FF000000"/>
        <rFont val="Calibri"/>
      </rPr>
      <t xml:space="preserve">0963956759 /
</t>
    </r>
    <r>
      <rPr>
        <u/>
        <sz val="9"/>
        <color rgb="FF1155CC"/>
        <rFont val="Calibri"/>
      </rPr>
      <t>https://www.instagram.com/escueladeartequiteno</t>
    </r>
  </si>
  <si>
    <t>URBANAS</t>
  </si>
  <si>
    <t>RURALES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</si>
</sst>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000"/>
    <numFmt numFmtId="166" formatCode="#,##0.0000000"/>
  </numFmts>
  <fonts count="43" x14ac:knownFonts="1">
    <font>
      <sz val="11"/>
      <color theme="1"/>
      <name val="Calibri"/>
      <scheme val="minor"/>
    </font>
    <font>
      <b/>
      <sz val="11"/>
      <color theme="1"/>
      <name val="Calibri"/>
    </font>
    <font>
      <sz val="11"/>
      <color theme="1"/>
      <name val="Calibri"/>
    </font>
    <font>
      <b/>
      <sz val="11"/>
      <color rgb="FF000000"/>
      <name val="Calibri"/>
    </font>
    <font>
      <sz val="11"/>
      <color rgb="FF000000"/>
      <name val="Calibri"/>
    </font>
    <font>
      <sz val="10"/>
      <color theme="1"/>
      <name val="Arial"/>
    </font>
    <font>
      <b/>
      <sz val="9"/>
      <color rgb="FF000000"/>
      <name val="Calibri"/>
    </font>
    <font>
      <sz val="9"/>
      <color rgb="FF000000"/>
      <name val="Calibri"/>
    </font>
    <font>
      <u/>
      <sz val="9"/>
      <color rgb="FF000000"/>
      <name val="Calibri"/>
    </font>
    <font>
      <u/>
      <sz val="9"/>
      <color rgb="FF000000"/>
      <name val="Calibri"/>
    </font>
    <font>
      <u/>
      <sz val="9"/>
      <color rgb="FF000000"/>
      <name val="Calibri"/>
    </font>
    <font>
      <u/>
      <sz val="9"/>
      <color rgb="FF000000"/>
      <name val="Calibri"/>
    </font>
    <font>
      <u/>
      <sz val="9"/>
      <color rgb="FF000000"/>
      <name val="Calibri"/>
    </font>
    <font>
      <u/>
      <sz val="9"/>
      <color rgb="FF000000"/>
      <name val="Calibri"/>
    </font>
    <font>
      <sz val="9"/>
      <color theme="1"/>
      <name val="Calibri"/>
    </font>
    <font>
      <u/>
      <sz val="9"/>
      <color rgb="FF0000FF"/>
      <name val="Calibri"/>
    </font>
    <font>
      <u/>
      <sz val="9"/>
      <color rgb="FF0563C1"/>
      <name val="Calibri"/>
    </font>
    <font>
      <u/>
      <sz val="9"/>
      <color rgb="FF000000"/>
      <name val="Calibri"/>
    </font>
    <font>
      <u/>
      <sz val="9"/>
      <color rgb="FF000000"/>
      <name val="Calibri"/>
    </font>
    <font>
      <u/>
      <sz val="9"/>
      <color rgb="FF000000"/>
      <name val="Calibri"/>
    </font>
    <font>
      <sz val="9"/>
      <color rgb="FF474747"/>
      <name val="Calibri"/>
    </font>
    <font>
      <sz val="9"/>
      <color rgb="FF001D35"/>
      <name val="Calibri"/>
    </font>
    <font>
      <u/>
      <sz val="9"/>
      <color rgb="FF001D35"/>
      <name val="Calibri"/>
    </font>
    <font>
      <sz val="9"/>
      <color rgb="FF1F1F1F"/>
      <name val="Calibri"/>
    </font>
    <font>
      <sz val="9"/>
      <color rgb="FF080809"/>
      <name val="Calibri"/>
    </font>
    <font>
      <sz val="8"/>
      <color rgb="FF000000"/>
      <name val="Calibri"/>
    </font>
    <font>
      <sz val="8"/>
      <color rgb="FF000000"/>
      <name val="Calibri"/>
      <scheme val="minor"/>
    </font>
    <font>
      <u/>
      <sz val="8"/>
      <color rgb="FF000000"/>
      <name val="Calibri"/>
    </font>
    <font>
      <u/>
      <sz val="11"/>
      <color rgb="FF65686C"/>
      <name val="Arial"/>
    </font>
    <font>
      <u/>
      <sz val="8"/>
      <color rgb="FF0563C1"/>
      <name val="Calibri"/>
    </font>
    <font>
      <sz val="9"/>
      <color rgb="FF080809"/>
      <name val="Calibri"/>
      <scheme val="minor"/>
    </font>
    <font>
      <sz val="9"/>
      <color rgb="FF000000"/>
      <name val="Calibri"/>
      <scheme val="minor"/>
    </font>
    <font>
      <u/>
      <sz val="9"/>
      <color rgb="FF0000FF"/>
      <name val="Calibri"/>
    </font>
    <font>
      <u/>
      <sz val="11"/>
      <color rgb="FF080809"/>
      <name val="Arial"/>
    </font>
    <font>
      <sz val="9"/>
      <color rgb="FF161823"/>
      <name val="Calibri"/>
      <scheme val="minor"/>
    </font>
    <font>
      <sz val="11"/>
      <color theme="1"/>
      <name val="Calibri"/>
      <scheme val="minor"/>
    </font>
    <font>
      <u/>
      <sz val="9"/>
      <color rgb="FF080809"/>
      <name val="Calibri"/>
    </font>
    <font>
      <sz val="9"/>
      <color theme="1"/>
      <name val="Calibri"/>
      <scheme val="minor"/>
    </font>
    <font>
      <sz val="7"/>
      <color rgb="FF000000"/>
      <name val="Times New Roman"/>
    </font>
    <font>
      <u/>
      <sz val="9"/>
      <color rgb="FF1155CC"/>
      <name val="Calibri"/>
    </font>
    <font>
      <sz val="9"/>
      <color rgb="FFFF0000"/>
      <name val="Calibri"/>
    </font>
    <font>
      <sz val="9"/>
      <name val="Calibri"/>
    </font>
    <font>
      <u/>
      <sz val="8"/>
      <color rgb="FF1155CC"/>
      <name val="Calibri"/>
    </font>
  </fonts>
  <fills count="13">
    <fill>
      <patternFill patternType="none"/>
    </fill>
    <fill>
      <patternFill patternType="gray125"/>
    </fill>
    <fill>
      <patternFill patternType="solid">
        <fgColor rgb="FFC00000"/>
        <bgColor rgb="FFC00000"/>
      </patternFill>
    </fill>
    <fill>
      <patternFill patternType="solid">
        <fgColor rgb="FFFFC000"/>
        <bgColor rgb="FFFFC000"/>
      </patternFill>
    </fill>
    <fill>
      <patternFill patternType="solid">
        <fgColor rgb="FF8EAADB"/>
        <bgColor rgb="FF8EAADB"/>
      </patternFill>
    </fill>
    <fill>
      <patternFill patternType="solid">
        <fgColor theme="0"/>
        <bgColor theme="0"/>
      </patternFill>
    </fill>
    <fill>
      <patternFill patternType="solid">
        <fgColor rgb="FF00FFFF"/>
        <bgColor rgb="FF00FFFF"/>
      </patternFill>
    </fill>
    <fill>
      <patternFill patternType="solid">
        <fgColor rgb="FFFFFFFF"/>
        <bgColor rgb="FFFFFFFF"/>
      </patternFill>
    </fill>
    <fill>
      <patternFill patternType="solid">
        <fgColor rgb="FFA2C4C9"/>
        <bgColor rgb="FFA2C4C9"/>
      </patternFill>
    </fill>
    <fill>
      <patternFill patternType="solid">
        <fgColor rgb="FFC27BA0"/>
        <bgColor rgb="FFC27BA0"/>
      </patternFill>
    </fill>
    <fill>
      <patternFill patternType="solid">
        <fgColor theme="9"/>
        <bgColor rgb="FFFFC000"/>
      </patternFill>
    </fill>
    <fill>
      <patternFill patternType="solid">
        <fgColor rgb="FFFFFF00"/>
        <bgColor indexed="64"/>
      </patternFill>
    </fill>
    <fill>
      <patternFill patternType="solid">
        <fgColor theme="5"/>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12">
    <xf numFmtId="0" fontId="0" fillId="0" borderId="0" xfId="0"/>
    <xf numFmtId="0" fontId="1" fillId="0" borderId="1" xfId="0" applyFont="1" applyBorder="1"/>
    <xf numFmtId="0" fontId="1" fillId="0" borderId="0" xfId="0" applyFont="1"/>
    <xf numFmtId="0" fontId="2" fillId="0" borderId="0" xfId="0" applyFont="1"/>
    <xf numFmtId="0" fontId="3" fillId="0" borderId="1" xfId="0" applyFont="1" applyBorder="1" applyAlignment="1">
      <alignment horizontal="left"/>
    </xf>
    <xf numFmtId="0" fontId="2" fillId="0" borderId="1" xfId="0" applyFont="1" applyBorder="1"/>
    <xf numFmtId="0" fontId="4" fillId="0" borderId="1" xfId="0" applyFont="1" applyBorder="1" applyAlignment="1">
      <alignment horizontal="left"/>
    </xf>
    <xf numFmtId="0" fontId="4" fillId="0" borderId="1" xfId="0" quotePrefix="1" applyFont="1" applyBorder="1" applyAlignment="1">
      <alignment horizontal="center"/>
    </xf>
    <xf numFmtId="0" fontId="2" fillId="0" borderId="1" xfId="0" quotePrefix="1" applyFont="1" applyBorder="1"/>
    <xf numFmtId="0" fontId="4" fillId="0" borderId="2" xfId="0" applyFont="1" applyBorder="1" applyAlignment="1">
      <alignment horizontal="left"/>
    </xf>
    <xf numFmtId="0" fontId="4" fillId="0" borderId="3" xfId="0" quotePrefix="1" applyFont="1" applyBorder="1" applyAlignment="1">
      <alignment horizontal="right"/>
    </xf>
    <xf numFmtId="0" fontId="4" fillId="0" borderId="4" xfId="0" quotePrefix="1" applyFont="1" applyBorder="1" applyAlignment="1">
      <alignment horizontal="right"/>
    </xf>
    <xf numFmtId="0" fontId="2" fillId="0" borderId="1" xfId="0" applyFont="1" applyBorder="1" applyAlignment="1">
      <alignment horizontal="center"/>
    </xf>
    <xf numFmtId="0" fontId="4" fillId="0" borderId="3" xfId="0" applyFont="1" applyBorder="1" applyAlignment="1">
      <alignment horizontal="right"/>
    </xf>
    <xf numFmtId="0" fontId="4" fillId="0" borderId="4" xfId="0" applyFont="1" applyBorder="1" applyAlignment="1">
      <alignment horizontal="right"/>
    </xf>
    <xf numFmtId="0" fontId="2" fillId="2" borderId="1" xfId="0" applyFont="1" applyFill="1" applyBorder="1"/>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quotePrefix="1" applyFont="1" applyBorder="1" applyAlignment="1">
      <alignment horizontal="center"/>
    </xf>
    <xf numFmtId="0" fontId="1" fillId="5" borderId="5" xfId="0" applyFont="1" applyFill="1" applyBorder="1" applyAlignment="1">
      <alignment horizontal="center" vertical="center" wrapText="1"/>
    </xf>
    <xf numFmtId="0" fontId="5" fillId="5" borderId="5" xfId="0" applyFont="1" applyFill="1" applyBorder="1" applyAlignment="1">
      <alignment wrapText="1"/>
    </xf>
    <xf numFmtId="0" fontId="2" fillId="5" borderId="5" xfId="0" applyFont="1" applyFill="1" applyBorder="1" applyAlignment="1">
      <alignment vertical="center" wrapText="1"/>
    </xf>
    <xf numFmtId="0" fontId="4" fillId="0" borderId="0" xfId="0" applyFont="1" applyAlignment="1">
      <alignment wrapText="1"/>
    </xf>
    <xf numFmtId="0" fontId="4" fillId="5" borderId="5" xfId="0" applyFont="1" applyFill="1" applyBorder="1" applyAlignment="1">
      <alignment vertical="center" wrapText="1"/>
    </xf>
    <xf numFmtId="0" fontId="3" fillId="5" borderId="5" xfId="0" applyFont="1" applyFill="1" applyBorder="1" applyAlignment="1">
      <alignment wrapText="1"/>
    </xf>
    <xf numFmtId="0" fontId="2" fillId="5" borderId="5" xfId="0" applyFont="1" applyFill="1" applyBorder="1" applyAlignment="1">
      <alignment wrapText="1"/>
    </xf>
    <xf numFmtId="0" fontId="2" fillId="5" borderId="5" xfId="0" applyFont="1" applyFill="1" applyBorder="1"/>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7" fillId="5" borderId="1" xfId="0" applyFont="1" applyFill="1" applyBorder="1" applyAlignment="1">
      <alignment horizontal="center" vertical="center" wrapText="1"/>
    </xf>
    <xf numFmtId="164" fontId="7" fillId="0" borderId="1" xfId="0" applyNumberFormat="1" applyFont="1" applyBorder="1" applyAlignment="1">
      <alignment horizontal="center" vertical="center" wrapText="1"/>
    </xf>
    <xf numFmtId="0" fontId="8"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7" borderId="1" xfId="0"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5" borderId="0" xfId="0" applyFont="1" applyFill="1" applyAlignment="1">
      <alignment horizontal="center" vertical="center" wrapText="1"/>
    </xf>
    <xf numFmtId="49" fontId="7" fillId="5" borderId="1" xfId="0" applyNumberFormat="1"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7" fillId="9" borderId="1" xfId="0" applyFont="1" applyFill="1" applyBorder="1" applyAlignment="1">
      <alignment horizontal="center" vertical="center" wrapText="1"/>
    </xf>
    <xf numFmtId="164" fontId="7" fillId="5"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8"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0" fontId="14" fillId="0" borderId="1" xfId="0" applyFont="1" applyBorder="1" applyAlignment="1">
      <alignment horizontal="center" vertical="center"/>
    </xf>
    <xf numFmtId="0" fontId="7" fillId="0" borderId="1" xfId="0" applyFont="1" applyBorder="1" applyAlignment="1">
      <alignment horizontal="center" vertical="center"/>
    </xf>
    <xf numFmtId="20" fontId="7"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4" fillId="0" borderId="0" xfId="0" applyFont="1" applyAlignment="1">
      <alignment horizontal="center" vertical="center" wrapText="1"/>
    </xf>
    <xf numFmtId="0" fontId="16" fillId="0" borderId="1" xfId="0" applyFont="1" applyBorder="1" applyAlignment="1">
      <alignment horizontal="center" vertical="center" wrapText="1"/>
    </xf>
    <xf numFmtId="164" fontId="14"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164" fontId="14" fillId="0" borderId="1" xfId="0" applyNumberFormat="1" applyFont="1" applyBorder="1" applyAlignment="1">
      <alignment horizontal="center" vertical="center"/>
    </xf>
    <xf numFmtId="0" fontId="7" fillId="0" borderId="6" xfId="0" applyFont="1" applyBorder="1" applyAlignment="1">
      <alignment horizontal="center" vertical="center" wrapText="1"/>
    </xf>
    <xf numFmtId="0" fontId="18" fillId="7" borderId="1" xfId="0" applyFont="1" applyFill="1" applyBorder="1" applyAlignment="1">
      <alignment horizontal="center" vertical="center" wrapText="1"/>
    </xf>
    <xf numFmtId="0" fontId="19" fillId="0" borderId="7" xfId="0" applyFont="1" applyBorder="1" applyAlignment="1">
      <alignment horizontal="center" vertical="center" wrapText="1"/>
    </xf>
    <xf numFmtId="0" fontId="20" fillId="7" borderId="0" xfId="0" applyFont="1" applyFill="1" applyAlignment="1">
      <alignment horizontal="center" vertical="center"/>
    </xf>
    <xf numFmtId="0" fontId="21" fillId="7" borderId="8" xfId="0" applyFont="1" applyFill="1" applyBorder="1" applyAlignment="1">
      <alignment horizontal="left" vertical="center" wrapText="1"/>
    </xf>
    <xf numFmtId="0" fontId="21" fillId="7" borderId="1" xfId="0" applyFont="1" applyFill="1" applyBorder="1" applyAlignment="1">
      <alignment horizontal="center" vertical="center"/>
    </xf>
    <xf numFmtId="0" fontId="22" fillId="7" borderId="4" xfId="0" applyFont="1" applyFill="1" applyBorder="1" applyAlignment="1">
      <alignment horizontal="center" vertical="center"/>
    </xf>
    <xf numFmtId="0" fontId="23" fillId="7" borderId="0" xfId="0" applyFont="1" applyFill="1" applyAlignment="1">
      <alignment horizontal="center" vertical="center"/>
    </xf>
    <xf numFmtId="0" fontId="24" fillId="0" borderId="0" xfId="0" applyFont="1" applyAlignment="1">
      <alignment horizontal="center" vertical="center"/>
    </xf>
    <xf numFmtId="0" fontId="24" fillId="7" borderId="0" xfId="0" applyFont="1" applyFill="1" applyAlignment="1">
      <alignment horizontal="center" vertical="center"/>
    </xf>
    <xf numFmtId="0" fontId="25" fillId="0" borderId="1" xfId="0" applyFont="1" applyBorder="1" applyAlignment="1">
      <alignment horizontal="center" vertical="center" wrapText="1"/>
    </xf>
    <xf numFmtId="0" fontId="26" fillId="7" borderId="1" xfId="0" applyFont="1" applyFill="1" applyBorder="1" applyAlignment="1">
      <alignment horizontal="center" vertical="center"/>
    </xf>
    <xf numFmtId="0" fontId="27" fillId="0" borderId="1" xfId="0" applyFont="1" applyBorder="1" applyAlignment="1">
      <alignment horizontal="center" vertical="center" wrapText="1"/>
    </xf>
    <xf numFmtId="164" fontId="25" fillId="0" borderId="1" xfId="0" applyNumberFormat="1" applyFont="1" applyBorder="1" applyAlignment="1">
      <alignment horizontal="center" vertical="center" wrapText="1"/>
    </xf>
    <xf numFmtId="0" fontId="28" fillId="7" borderId="0" xfId="0" applyFont="1" applyFill="1"/>
    <xf numFmtId="0" fontId="29" fillId="0" borderId="1" xfId="0" applyFont="1" applyBorder="1" applyAlignment="1">
      <alignment horizontal="center" vertical="center" wrapText="1"/>
    </xf>
    <xf numFmtId="0" fontId="30" fillId="7" borderId="0" xfId="0" applyFont="1" applyFill="1" applyAlignment="1">
      <alignment horizontal="center" wrapText="1"/>
    </xf>
    <xf numFmtId="0" fontId="31" fillId="7" borderId="0" xfId="0" applyFont="1" applyFill="1" applyAlignment="1">
      <alignment vertical="center"/>
    </xf>
    <xf numFmtId="0" fontId="31" fillId="7" borderId="0" xfId="0" applyFont="1" applyFill="1" applyAlignment="1">
      <alignment horizontal="center" vertical="center"/>
    </xf>
    <xf numFmtId="0" fontId="26" fillId="0" borderId="1" xfId="0" applyFont="1" applyBorder="1" applyAlignment="1">
      <alignment horizontal="center" vertical="center" wrapText="1"/>
    </xf>
    <xf numFmtId="0" fontId="32" fillId="0" borderId="1" xfId="0" applyFont="1" applyBorder="1" applyAlignment="1">
      <alignment horizontal="center" vertical="top" wrapText="1"/>
    </xf>
    <xf numFmtId="0" fontId="33" fillId="7" borderId="1" xfId="0" applyFont="1" applyFill="1" applyBorder="1"/>
    <xf numFmtId="0" fontId="30" fillId="7" borderId="0" xfId="0" applyFont="1" applyFill="1" applyAlignment="1">
      <alignment horizontal="center" vertical="center" wrapText="1"/>
    </xf>
    <xf numFmtId="0" fontId="31" fillId="0" borderId="1" xfId="0" applyFont="1" applyBorder="1" applyAlignment="1">
      <alignment horizontal="center" vertical="center" wrapText="1"/>
    </xf>
    <xf numFmtId="0" fontId="31" fillId="7" borderId="1" xfId="0" applyFont="1" applyFill="1" applyBorder="1" applyAlignment="1">
      <alignment horizontal="center" vertical="center" wrapText="1"/>
    </xf>
    <xf numFmtId="164" fontId="7" fillId="0" borderId="1" xfId="0" applyNumberFormat="1" applyFont="1" applyBorder="1" applyAlignment="1">
      <alignment horizontal="center" vertical="center"/>
    </xf>
    <xf numFmtId="0" fontId="31" fillId="7" borderId="0" xfId="0" applyFont="1" applyFill="1" applyAlignment="1">
      <alignment horizontal="center" vertical="center" wrapText="1"/>
    </xf>
    <xf numFmtId="0" fontId="34" fillId="7" borderId="0" xfId="0" applyFont="1" applyFill="1" applyAlignment="1">
      <alignment horizontal="center" wrapText="1"/>
    </xf>
    <xf numFmtId="0" fontId="30" fillId="7" borderId="1" xfId="0" applyFont="1" applyFill="1" applyBorder="1" applyAlignment="1">
      <alignment horizontal="center" vertical="center" wrapText="1"/>
    </xf>
    <xf numFmtId="0" fontId="31" fillId="7" borderId="1" xfId="0" applyFont="1" applyFill="1" applyBorder="1" applyAlignment="1">
      <alignment horizontal="left"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lignment horizontal="left" wrapText="1"/>
    </xf>
    <xf numFmtId="49" fontId="7" fillId="0" borderId="1" xfId="0" applyNumberFormat="1" applyFont="1" applyBorder="1" applyAlignment="1">
      <alignment horizontal="center" vertical="center"/>
    </xf>
    <xf numFmtId="0" fontId="35" fillId="0" borderId="0" xfId="0" applyFont="1"/>
    <xf numFmtId="0" fontId="30" fillId="8" borderId="1" xfId="0" applyFont="1" applyFill="1" applyBorder="1" applyAlignment="1">
      <alignment horizontal="center" vertical="center" wrapText="1"/>
    </xf>
    <xf numFmtId="0" fontId="36" fillId="7" borderId="1" xfId="0" applyFont="1" applyFill="1" applyBorder="1" applyAlignment="1">
      <alignment horizontal="center" vertical="center" wrapText="1"/>
    </xf>
    <xf numFmtId="0" fontId="37" fillId="0" borderId="1" xfId="0" applyFont="1" applyBorder="1" applyAlignment="1">
      <alignment horizontal="center" vertical="center"/>
    </xf>
    <xf numFmtId="0" fontId="37" fillId="0" borderId="1" xfId="0" applyFont="1" applyBorder="1" applyAlignment="1">
      <alignment horizontal="center" vertical="center" wrapText="1"/>
    </xf>
    <xf numFmtId="0" fontId="37" fillId="0" borderId="1" xfId="0" applyFont="1" applyBorder="1" applyAlignment="1">
      <alignment horizontal="center" vertical="top" wrapText="1"/>
    </xf>
    <xf numFmtId="0" fontId="14" fillId="8" borderId="0" xfId="0" applyFont="1" applyFill="1" applyAlignment="1">
      <alignment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0" fontId="14" fillId="0" borderId="0" xfId="0" applyFont="1" applyAlignment="1">
      <alignment horizontal="center" vertical="center"/>
    </xf>
    <xf numFmtId="0" fontId="6" fillId="10" borderId="1" xfId="0" applyFont="1" applyFill="1" applyBorder="1" applyAlignment="1">
      <alignment horizontal="center" vertical="center" wrapText="1"/>
    </xf>
    <xf numFmtId="0" fontId="2" fillId="11" borderId="1" xfId="0" applyFont="1" applyFill="1" applyBorder="1"/>
    <xf numFmtId="0" fontId="2" fillId="12" borderId="1" xfId="0" applyFont="1" applyFill="1" applyBorder="1"/>
    <xf numFmtId="0" fontId="2" fillId="1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685800</xdr:colOff>
      <xdr:row>17</xdr:row>
      <xdr:rowOff>485775</xdr:rowOff>
    </xdr:from>
    <xdr:ext cx="6705600" cy="119062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https://wa.link/qqf1bg" TargetMode="External"/><Relationship Id="rId18" Type="http://schemas.openxmlformats.org/officeDocument/2006/relationships/hyperlink" Target="https://www.facebook.com/p/Roveta-100077302664491/?locale=es_LA" TargetMode="External"/><Relationship Id="rId26" Type="http://schemas.openxmlformats.org/officeDocument/2006/relationships/hyperlink" Target="https://www.facebook.com/ArtEucalipto/" TargetMode="External"/><Relationship Id="rId39" Type="http://schemas.openxmlformats.org/officeDocument/2006/relationships/hyperlink" Target="https://www.kiaeground.com.ec/visitas" TargetMode="External"/><Relationship Id="rId21" Type="http://schemas.openxmlformats.org/officeDocument/2006/relationships/hyperlink" Target="https://www.instagram.com/pimkay_ec/?hl=es" TargetMode="External"/><Relationship Id="rId34" Type="http://schemas.openxmlformats.org/officeDocument/2006/relationships/hyperlink" Target="http://www.mariacocinaypanaderia.com/" TargetMode="External"/><Relationship Id="rId42" Type="http://schemas.openxmlformats.org/officeDocument/2006/relationships/hyperlink" Target="https://www.facebook.com/casasantabarbarauio?locale=es_LA" TargetMode="External"/><Relationship Id="rId47" Type="http://schemas.openxmlformats.org/officeDocument/2006/relationships/hyperlink" Target="https://hastalavuelta.com/" TargetMode="External"/><Relationship Id="rId50" Type="http://schemas.openxmlformats.org/officeDocument/2006/relationships/hyperlink" Target="http://achiote.com.ec/" TargetMode="External"/><Relationship Id="rId55" Type="http://schemas.openxmlformats.org/officeDocument/2006/relationships/hyperlink" Target="https://www.nuema.ec/index.html" TargetMode="External"/><Relationship Id="rId7" Type="http://schemas.openxmlformats.org/officeDocument/2006/relationships/hyperlink" Target="https://www.pambilino.org/turismo-vivencial" TargetMode="External"/><Relationship Id="rId2" Type="http://schemas.openxmlformats.org/officeDocument/2006/relationships/hyperlink" Target="http://quitoeterno.org/%20098%20488%201018" TargetMode="External"/><Relationship Id="rId16" Type="http://schemas.openxmlformats.org/officeDocument/2006/relationships/hyperlink" Target="https://www.facebook.com/elpatioecorestaurante/?locale=es_LA" TargetMode="External"/><Relationship Id="rId29" Type="http://schemas.openxmlformats.org/officeDocument/2006/relationships/hyperlink" Target="https://www.facebook.com/HuertaFamiliarPerucho/" TargetMode="External"/><Relationship Id="rId11" Type="http://schemas.openxmlformats.org/officeDocument/2006/relationships/hyperlink" Target="http://www.ambiente.gob.ec/" TargetMode="External"/><Relationship Id="rId24" Type="http://schemas.openxmlformats.org/officeDocument/2006/relationships/hyperlink" Target="https://www.facebook.com/kingmangaleria/?locale=es_LA" TargetMode="External"/><Relationship Id="rId32" Type="http://schemas.openxmlformats.org/officeDocument/2006/relationships/hyperlink" Target="https://www.google.com/search?q=santhorno.com" TargetMode="External"/><Relationship Id="rId37" Type="http://schemas.openxmlformats.org/officeDocument/2006/relationships/hyperlink" Target="https://cafegalletti.com/" TargetMode="External"/><Relationship Id="rId40" Type="http://schemas.openxmlformats.org/officeDocument/2006/relationships/hyperlink" Target="https://www.facebook.com/people/Dipintoec/61559525673766/?_rdr" TargetMode="External"/><Relationship Id="rId45" Type="http://schemas.openxmlformats.org/officeDocument/2006/relationships/hyperlink" Target="https://linktr.ee/cruzdeleden" TargetMode="External"/><Relationship Id="rId53" Type="http://schemas.openxmlformats.org/officeDocument/2006/relationships/hyperlink" Target="https://www.lagloria.com.ec/" TargetMode="External"/><Relationship Id="rId58" Type="http://schemas.openxmlformats.org/officeDocument/2006/relationships/hyperlink" Target="https://www.instagram.com/sarasisabordados/?fbclid=IwY2xjawLSLINleHRuA2FlbQIxMABicmlkETFpcGxxb2VMMkRpWFd1Q2tEAR7T-KzjuszqH9LKQrpKpmLMsk7bSw2sckT208yrwFrPsdInc55TAwY0uO6yJw_aem_JXh1qREUHTwqejid69E0Rg" TargetMode="External"/><Relationship Id="rId5" Type="http://schemas.openxmlformats.org/officeDocument/2006/relationships/hyperlink" Target="https://carlota.ec/" TargetMode="External"/><Relationship Id="rId61" Type="http://schemas.openxmlformats.org/officeDocument/2006/relationships/hyperlink" Target="https://www.instagram.com/escueladeartequiteno" TargetMode="External"/><Relationship Id="rId19" Type="http://schemas.openxmlformats.org/officeDocument/2006/relationships/hyperlink" Target="https://www.facebook.com/p/X-LO-ALTO-100061845891879/?locale=hi_IN" TargetMode="External"/><Relationship Id="rId14" Type="http://schemas.openxmlformats.org/officeDocument/2006/relationships/hyperlink" Target="https://www.facebook.com/EscorzaGranjaOrganica/" TargetMode="External"/><Relationship Id="rId22" Type="http://schemas.openxmlformats.org/officeDocument/2006/relationships/hyperlink" Target="https://www.facebook.com/kitusamaywasi/?locale=es_LA" TargetMode="External"/><Relationship Id="rId27" Type="http://schemas.openxmlformats.org/officeDocument/2006/relationships/hyperlink" Target="https://www.facebook.com/nari.ecu/" TargetMode="External"/><Relationship Id="rId30" Type="http://schemas.openxmlformats.org/officeDocument/2006/relationships/hyperlink" Target="https://zinergia-group.com/" TargetMode="External"/><Relationship Id="rId35" Type="http://schemas.openxmlformats.org/officeDocument/2006/relationships/hyperlink" Target="https://sinners.beer/pages/historia" TargetMode="External"/><Relationship Id="rId43" Type="http://schemas.openxmlformats.org/officeDocument/2006/relationships/hyperlink" Target="https://www.facebook.com/elvikingoerrante/?locale=es_LA" TargetMode="External"/><Relationship Id="rId48" Type="http://schemas.openxmlformats.org/officeDocument/2006/relationships/hyperlink" Target="https://paseosanfrancisco.ec/portfolio/3500-2/" TargetMode="External"/><Relationship Id="rId56" Type="http://schemas.openxmlformats.org/officeDocument/2006/relationships/hyperlink" Target="https://altamiraexperience.com/" TargetMode="External"/><Relationship Id="rId8" Type="http://schemas.openxmlformats.org/officeDocument/2006/relationships/hyperlink" Target="https://tucanopy.com/" TargetMode="External"/><Relationship Id="rId51" Type="http://schemas.openxmlformats.org/officeDocument/2006/relationships/hyperlink" Target="https://www.casamanuelarestaurant.com/" TargetMode="External"/><Relationship Id="rId3" Type="http://schemas.openxmlformats.org/officeDocument/2006/relationships/hyperlink" Target="https://www.monatelierecuador.com/" TargetMode="External"/><Relationship Id="rId12" Type="http://schemas.openxmlformats.org/officeDocument/2006/relationships/hyperlink" Target="http://www.jocotourecuador.com/" TargetMode="External"/><Relationship Id="rId17" Type="http://schemas.openxmlformats.org/officeDocument/2006/relationships/hyperlink" Target="https://www.facebook.com/escueladenegocioscacaoychocolate/?locale=es_LA" TargetMode="External"/><Relationship Id="rId25" Type="http://schemas.openxmlformats.org/officeDocument/2006/relationships/hyperlink" Target="https://www.instagram.com/ateliervirgendelamerced/" TargetMode="External"/><Relationship Id="rId33" Type="http://schemas.openxmlformats.org/officeDocument/2006/relationships/hyperlink" Target="https://www.facebook.com/photo/?fbid=613130870166338&amp;set=a.613130833499675&amp;locale=es_LA" TargetMode="External"/><Relationship Id="rId38" Type="http://schemas.openxmlformats.org/officeDocument/2006/relationships/hyperlink" Target="https://www.instagram.com/3gatoscafelibro/?hl=es" TargetMode="External"/><Relationship Id="rId46" Type="http://schemas.openxmlformats.org/officeDocument/2006/relationships/hyperlink" Target="https://www.instagram.com/ciro.pasteleria" TargetMode="External"/><Relationship Id="rId59" Type="http://schemas.openxmlformats.org/officeDocument/2006/relationships/hyperlink" Target="http://agavespiritecuador.com/" TargetMode="External"/><Relationship Id="rId20" Type="http://schemas.openxmlformats.org/officeDocument/2006/relationships/hyperlink" Target="https://www.facebook.com/MuseoTemplodelSolOficial/" TargetMode="External"/><Relationship Id="rId41" Type="http://schemas.openxmlformats.org/officeDocument/2006/relationships/hyperlink" Target="https://www.facebook.com/elcanddyldelarondaec/?locale=es_LA" TargetMode="External"/><Relationship Id="rId54" Type="http://schemas.openxmlformats.org/officeDocument/2006/relationships/hyperlink" Target="http://www.marcandoelcamino.ec/" TargetMode="External"/><Relationship Id="rId1" Type="http://schemas.openxmlformats.org/officeDocument/2006/relationships/hyperlink" Target="https://www.yunguilla.org.ec/contact-us/" TargetMode="External"/><Relationship Id="rId6" Type="http://schemas.openxmlformats.org/officeDocument/2006/relationships/hyperlink" Target="http://agavespiritecuador.com/" TargetMode="External"/><Relationship Id="rId15" Type="http://schemas.openxmlformats.org/officeDocument/2006/relationships/hyperlink" Target="https://www.facebook.com/andeanagave/about" TargetMode="External"/><Relationship Id="rId23" Type="http://schemas.openxmlformats.org/officeDocument/2006/relationships/hyperlink" Target="https://www.facebook.com/p/MANLA-Museo-de-Arte-Naif-Latinoamericano-100070070290314/" TargetMode="External"/><Relationship Id="rId28" Type="http://schemas.openxmlformats.org/officeDocument/2006/relationships/hyperlink" Target="https://www.facebook.com/kitusamaywasi/?locale=es_LA" TargetMode="External"/><Relationship Id="rId36" Type="http://schemas.openxmlformats.org/officeDocument/2006/relationships/hyperlink" Target="https://www.facebook.com/kitu.chocolate/" TargetMode="External"/><Relationship Id="rId49" Type="http://schemas.openxmlformats.org/officeDocument/2006/relationships/hyperlink" Target="https://chulpiurbanorest.com/" TargetMode="External"/><Relationship Id="rId57" Type="http://schemas.openxmlformats.org/officeDocument/2006/relationships/hyperlink" Target="https://www.tributo.ec/" TargetMode="External"/><Relationship Id="rId10" Type="http://schemas.openxmlformats.org/officeDocument/2006/relationships/hyperlink" Target="http://www.ambiente.gob.ec/" TargetMode="External"/><Relationship Id="rId31" Type="http://schemas.openxmlformats.org/officeDocument/2006/relationships/hyperlink" Target="https://quitojazzclub.com/" TargetMode="External"/><Relationship Id="rId44" Type="http://schemas.openxmlformats.org/officeDocument/2006/relationships/hyperlink" Target="https://www.facebook.com/Magicbeanquito" TargetMode="External"/><Relationship Id="rId52" Type="http://schemas.openxmlformats.org/officeDocument/2006/relationships/hyperlink" Target="http://cafefrajares.com/" TargetMode="External"/><Relationship Id="rId60" Type="http://schemas.openxmlformats.org/officeDocument/2006/relationships/hyperlink" Target="https://www.facebook.com/CafeGuayasamin/" TargetMode="External"/><Relationship Id="rId4" Type="http://schemas.openxmlformats.org/officeDocument/2006/relationships/hyperlink" Target="https://toakchocolate.com/pages/chocolate-tour" TargetMode="External"/><Relationship Id="rId9" Type="http://schemas.openxmlformats.org/officeDocument/2006/relationships/hyperlink" Target="http://www.ambiente.gob.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tabSelected="1" workbookViewId="0">
      <selection activeCell="J1" sqref="J1:K10"/>
    </sheetView>
  </sheetViews>
  <sheetFormatPr baseColWidth="10" defaultColWidth="14.42578125" defaultRowHeight="15" customHeight="1" x14ac:dyDescent="0.25"/>
  <cols>
    <col min="1" max="1" width="25.140625" customWidth="1"/>
    <col min="2" max="3" width="14" customWidth="1"/>
    <col min="4" max="4" width="20.5703125" customWidth="1"/>
    <col min="5" max="5" width="20.28515625" customWidth="1"/>
    <col min="6" max="6" width="15.5703125" customWidth="1"/>
    <col min="7" max="7" width="24.28515625" customWidth="1"/>
    <col min="8" max="8" width="19.42578125" customWidth="1"/>
    <col min="9" max="9" width="24.28515625" customWidth="1"/>
    <col min="10" max="10" width="22.140625" customWidth="1"/>
    <col min="11" max="11" width="28" customWidth="1"/>
    <col min="12" max="12" width="14.42578125" customWidth="1"/>
  </cols>
  <sheetData>
    <row r="1" spans="1:18" x14ac:dyDescent="0.25">
      <c r="A1" s="1" t="s">
        <v>0</v>
      </c>
      <c r="B1" s="1" t="s">
        <v>1</v>
      </c>
      <c r="C1" s="2"/>
      <c r="D1" s="1" t="s">
        <v>2</v>
      </c>
      <c r="E1" s="1" t="s">
        <v>3</v>
      </c>
      <c r="F1" s="3"/>
      <c r="G1" s="1" t="s">
        <v>4</v>
      </c>
      <c r="H1" s="1" t="s">
        <v>5</v>
      </c>
      <c r="I1" s="3"/>
      <c r="J1" s="4" t="s">
        <v>6</v>
      </c>
      <c r="K1" s="4" t="s">
        <v>7</v>
      </c>
      <c r="L1" s="3"/>
      <c r="M1" s="3"/>
      <c r="N1" s="3"/>
      <c r="O1" s="3"/>
      <c r="P1" s="3"/>
      <c r="Q1" s="3"/>
      <c r="R1" s="3"/>
    </row>
    <row r="2" spans="1:18" x14ac:dyDescent="0.25">
      <c r="A2" s="109" t="s">
        <v>8</v>
      </c>
      <c r="B2" s="109" t="s">
        <v>9</v>
      </c>
      <c r="C2" s="3"/>
      <c r="D2" s="6" t="s">
        <v>10</v>
      </c>
      <c r="E2" s="7" t="s">
        <v>11</v>
      </c>
      <c r="F2" s="3"/>
      <c r="G2" s="5" t="s">
        <v>12</v>
      </c>
      <c r="H2" s="8" t="s">
        <v>13</v>
      </c>
      <c r="I2" s="3"/>
      <c r="J2" s="9" t="s">
        <v>14</v>
      </c>
      <c r="K2" s="10" t="s">
        <v>13</v>
      </c>
      <c r="L2" s="3"/>
      <c r="M2" s="3"/>
      <c r="N2" s="3"/>
      <c r="O2" s="3"/>
      <c r="P2" s="3"/>
      <c r="Q2" s="3"/>
      <c r="R2" s="3"/>
    </row>
    <row r="3" spans="1:18" x14ac:dyDescent="0.25">
      <c r="A3" s="109" t="s">
        <v>15</v>
      </c>
      <c r="B3" s="109" t="s">
        <v>16</v>
      </c>
      <c r="C3" s="3"/>
      <c r="D3" s="6" t="s">
        <v>17</v>
      </c>
      <c r="E3" s="7" t="s">
        <v>18</v>
      </c>
      <c r="F3" s="3"/>
      <c r="G3" s="5" t="s">
        <v>19</v>
      </c>
      <c r="H3" s="8" t="s">
        <v>20</v>
      </c>
      <c r="I3" s="3"/>
      <c r="J3" s="9" t="s">
        <v>21</v>
      </c>
      <c r="K3" s="11" t="s">
        <v>20</v>
      </c>
      <c r="L3" s="3"/>
      <c r="M3" s="3"/>
      <c r="N3" s="3"/>
      <c r="O3" s="3"/>
      <c r="P3" s="3"/>
      <c r="Q3" s="3"/>
      <c r="R3" s="3"/>
    </row>
    <row r="4" spans="1:18" x14ac:dyDescent="0.25">
      <c r="A4" s="109" t="s">
        <v>22</v>
      </c>
      <c r="B4" s="109" t="s">
        <v>23</v>
      </c>
      <c r="C4" s="3"/>
      <c r="D4" s="5" t="s">
        <v>24</v>
      </c>
      <c r="E4" s="12" t="s">
        <v>25</v>
      </c>
      <c r="F4" s="3"/>
      <c r="G4" s="3"/>
      <c r="H4" s="3"/>
      <c r="I4" s="3"/>
      <c r="J4" s="9" t="s">
        <v>26</v>
      </c>
      <c r="K4" s="13" t="s">
        <v>27</v>
      </c>
      <c r="L4" s="3"/>
      <c r="M4" s="3"/>
      <c r="N4" s="3"/>
      <c r="O4" s="3"/>
      <c r="P4" s="3"/>
      <c r="Q4" s="3"/>
      <c r="R4" s="3"/>
    </row>
    <row r="5" spans="1:18" x14ac:dyDescent="0.25">
      <c r="A5" s="109" t="s">
        <v>28</v>
      </c>
      <c r="B5" s="109" t="s">
        <v>29</v>
      </c>
      <c r="C5" s="3"/>
      <c r="D5" s="5" t="s">
        <v>30</v>
      </c>
      <c r="E5" s="12" t="s">
        <v>31</v>
      </c>
      <c r="F5" s="3"/>
      <c r="G5" s="3"/>
      <c r="H5" s="3"/>
      <c r="I5" s="3"/>
      <c r="J5" s="9" t="s">
        <v>32</v>
      </c>
      <c r="K5" s="14" t="s">
        <v>33</v>
      </c>
      <c r="L5" s="3"/>
      <c r="M5" s="3"/>
      <c r="N5" s="3"/>
      <c r="O5" s="3"/>
      <c r="P5" s="3"/>
      <c r="Q5" s="3"/>
      <c r="R5" s="3"/>
    </row>
    <row r="6" spans="1:18" x14ac:dyDescent="0.25">
      <c r="A6" s="109" t="s">
        <v>34</v>
      </c>
      <c r="B6" s="109" t="s">
        <v>35</v>
      </c>
      <c r="C6" s="3"/>
      <c r="D6" s="5" t="s">
        <v>36</v>
      </c>
      <c r="E6" s="12" t="s">
        <v>37</v>
      </c>
      <c r="F6" s="3"/>
      <c r="G6" s="3"/>
      <c r="H6" s="3"/>
      <c r="I6" s="3"/>
      <c r="J6" s="9" t="s">
        <v>38</v>
      </c>
      <c r="K6" s="13" t="s">
        <v>39</v>
      </c>
      <c r="L6" s="3"/>
      <c r="M6" s="3"/>
      <c r="N6" s="3"/>
      <c r="O6" s="3"/>
      <c r="P6" s="3"/>
      <c r="Q6" s="3"/>
      <c r="R6" s="3"/>
    </row>
    <row r="7" spans="1:18" x14ac:dyDescent="0.25">
      <c r="A7" s="109" t="s">
        <v>40</v>
      </c>
      <c r="B7" s="109" t="s">
        <v>41</v>
      </c>
      <c r="C7" s="3"/>
      <c r="D7" s="3"/>
      <c r="E7" s="3"/>
      <c r="F7" s="3"/>
      <c r="G7" s="3"/>
      <c r="H7" s="3"/>
      <c r="I7" s="3"/>
      <c r="J7" s="9" t="s">
        <v>42</v>
      </c>
      <c r="K7" s="14" t="s">
        <v>43</v>
      </c>
      <c r="L7" s="3"/>
      <c r="M7" s="3"/>
      <c r="N7" s="3"/>
      <c r="O7" s="3"/>
      <c r="P7" s="3"/>
      <c r="Q7" s="3"/>
      <c r="R7" s="3"/>
    </row>
    <row r="8" spans="1:18" x14ac:dyDescent="0.25">
      <c r="A8" s="109" t="s">
        <v>44</v>
      </c>
      <c r="B8" s="109" t="s">
        <v>45</v>
      </c>
      <c r="C8" s="3"/>
      <c r="D8" s="3"/>
      <c r="E8" s="3"/>
      <c r="F8" s="3"/>
      <c r="G8" s="3"/>
      <c r="H8" s="3"/>
      <c r="I8" s="3"/>
      <c r="J8" s="9" t="s">
        <v>46</v>
      </c>
      <c r="K8" s="13" t="s">
        <v>47</v>
      </c>
      <c r="L8" s="3"/>
      <c r="M8" s="3"/>
      <c r="N8" s="3"/>
      <c r="O8" s="3"/>
      <c r="P8" s="3"/>
      <c r="Q8" s="3"/>
      <c r="R8" s="3"/>
    </row>
    <row r="9" spans="1:18" x14ac:dyDescent="0.25">
      <c r="A9" s="109" t="s">
        <v>48</v>
      </c>
      <c r="B9" s="109" t="s">
        <v>49</v>
      </c>
      <c r="C9" s="3"/>
      <c r="D9" s="3"/>
      <c r="E9" s="3"/>
      <c r="F9" s="3"/>
      <c r="G9" s="3"/>
      <c r="H9" s="3"/>
      <c r="I9" s="3"/>
      <c r="J9" s="9" t="s">
        <v>50</v>
      </c>
      <c r="K9" s="14" t="s">
        <v>51</v>
      </c>
      <c r="L9" s="3"/>
      <c r="M9" s="3"/>
      <c r="N9" s="3"/>
      <c r="O9" s="3"/>
      <c r="P9" s="3"/>
      <c r="Q9" s="3"/>
      <c r="R9" s="3"/>
    </row>
    <row r="10" spans="1:18" x14ac:dyDescent="0.25">
      <c r="A10" s="109" t="s">
        <v>52</v>
      </c>
      <c r="B10" s="109" t="s">
        <v>53</v>
      </c>
      <c r="C10" s="3"/>
      <c r="D10" s="3"/>
      <c r="E10" s="3"/>
      <c r="F10" s="3"/>
      <c r="G10" s="3"/>
      <c r="H10" s="3"/>
      <c r="I10" s="3"/>
      <c r="J10" s="6" t="s">
        <v>54</v>
      </c>
      <c r="K10" s="13" t="s">
        <v>55</v>
      </c>
      <c r="L10" s="3"/>
      <c r="M10" s="3"/>
      <c r="N10" s="3"/>
      <c r="O10" s="3"/>
      <c r="P10" s="3"/>
      <c r="Q10" s="3"/>
      <c r="R10" s="3"/>
    </row>
    <row r="11" spans="1:18" x14ac:dyDescent="0.25">
      <c r="A11" s="109" t="s">
        <v>56</v>
      </c>
      <c r="B11" s="109" t="s">
        <v>57</v>
      </c>
      <c r="C11" s="3"/>
      <c r="D11" s="3"/>
      <c r="E11" s="3"/>
      <c r="F11" s="3"/>
      <c r="G11" s="3"/>
      <c r="H11" s="3"/>
      <c r="I11" s="3"/>
      <c r="J11" s="3"/>
      <c r="K11" s="3"/>
      <c r="L11" s="3"/>
      <c r="M11" s="3"/>
      <c r="N11" s="3"/>
      <c r="O11" s="3"/>
      <c r="P11" s="3"/>
      <c r="Q11" s="3"/>
      <c r="R11" s="3"/>
    </row>
    <row r="12" spans="1:18" x14ac:dyDescent="0.25">
      <c r="A12" s="109" t="s">
        <v>58</v>
      </c>
      <c r="B12" s="109" t="s">
        <v>59</v>
      </c>
      <c r="C12" s="3"/>
      <c r="D12" s="3"/>
      <c r="E12" s="3"/>
      <c r="F12" s="3"/>
      <c r="G12" s="3"/>
      <c r="H12" s="3"/>
      <c r="I12" s="3"/>
      <c r="J12" s="3"/>
      <c r="K12" s="3"/>
      <c r="L12" s="3"/>
      <c r="M12" s="3"/>
      <c r="N12" s="3"/>
      <c r="O12" s="3"/>
      <c r="P12" s="3"/>
      <c r="Q12" s="3"/>
      <c r="R12" s="3"/>
    </row>
    <row r="13" spans="1:18" x14ac:dyDescent="0.25">
      <c r="A13" s="109" t="s">
        <v>60</v>
      </c>
      <c r="B13" s="109" t="s">
        <v>61</v>
      </c>
      <c r="C13" s="3"/>
      <c r="D13" s="3"/>
      <c r="E13" s="3"/>
      <c r="F13" s="3"/>
      <c r="G13" s="3"/>
      <c r="H13" s="3"/>
      <c r="I13" s="3"/>
      <c r="J13" s="3"/>
      <c r="K13" s="3"/>
      <c r="L13" s="3"/>
      <c r="M13" s="3"/>
      <c r="N13" s="3"/>
      <c r="O13" s="3"/>
      <c r="P13" s="3"/>
      <c r="Q13" s="3"/>
      <c r="R13" s="3"/>
    </row>
    <row r="14" spans="1:18" x14ac:dyDescent="0.25">
      <c r="A14" s="109" t="s">
        <v>62</v>
      </c>
      <c r="B14" s="109" t="s">
        <v>63</v>
      </c>
      <c r="C14" s="3"/>
      <c r="D14" s="3"/>
      <c r="E14" s="3"/>
      <c r="F14" s="3"/>
      <c r="G14" s="3"/>
      <c r="H14" s="3"/>
      <c r="I14" s="3"/>
      <c r="J14" s="3"/>
      <c r="K14" s="3"/>
      <c r="L14" s="3"/>
      <c r="M14" s="3"/>
      <c r="N14" s="3"/>
      <c r="O14" s="3"/>
      <c r="P14" s="3"/>
      <c r="Q14" s="3"/>
      <c r="R14" s="3"/>
    </row>
    <row r="15" spans="1:18" x14ac:dyDescent="0.25">
      <c r="A15" s="109" t="s">
        <v>64</v>
      </c>
      <c r="B15" s="109" t="s">
        <v>65</v>
      </c>
      <c r="C15" s="3" t="s">
        <v>1486</v>
      </c>
      <c r="D15" s="3"/>
      <c r="E15" s="3"/>
      <c r="F15" s="3"/>
      <c r="G15" s="3"/>
      <c r="H15" s="3"/>
      <c r="I15" s="3"/>
      <c r="J15" s="3"/>
      <c r="K15" s="3"/>
      <c r="L15" s="3"/>
      <c r="M15" s="3"/>
      <c r="N15" s="3"/>
      <c r="O15" s="3"/>
      <c r="P15" s="3"/>
      <c r="Q15" s="3"/>
      <c r="R15" s="3"/>
    </row>
    <row r="16" spans="1:18" x14ac:dyDescent="0.25">
      <c r="A16" s="109" t="s">
        <v>66</v>
      </c>
      <c r="B16" s="109" t="s">
        <v>67</v>
      </c>
      <c r="C16" s="3"/>
      <c r="D16" s="3"/>
      <c r="E16" s="3"/>
      <c r="F16" s="3"/>
      <c r="G16" s="3"/>
      <c r="H16" s="3"/>
      <c r="I16" s="3"/>
      <c r="J16" s="3"/>
      <c r="K16" s="3"/>
      <c r="L16" s="3"/>
      <c r="M16" s="3"/>
      <c r="N16" s="3"/>
      <c r="O16" s="3"/>
      <c r="P16" s="3"/>
      <c r="Q16" s="3"/>
      <c r="R16" s="3"/>
    </row>
    <row r="17" spans="1:18" x14ac:dyDescent="0.25">
      <c r="A17" s="109" t="s">
        <v>68</v>
      </c>
      <c r="B17" s="109" t="s">
        <v>69</v>
      </c>
      <c r="C17" s="3"/>
      <c r="D17" s="3"/>
      <c r="E17" s="3"/>
      <c r="F17" s="3"/>
      <c r="G17" s="3"/>
      <c r="H17" s="3"/>
      <c r="I17" s="3"/>
      <c r="J17" s="3"/>
      <c r="K17" s="3"/>
      <c r="L17" s="3"/>
      <c r="M17" s="3"/>
      <c r="N17" s="3"/>
      <c r="O17" s="3"/>
      <c r="P17" s="3"/>
      <c r="Q17" s="3"/>
      <c r="R17" s="3"/>
    </row>
    <row r="18" spans="1:18" x14ac:dyDescent="0.25">
      <c r="A18" s="109" t="s">
        <v>70</v>
      </c>
      <c r="B18" s="109" t="s">
        <v>71</v>
      </c>
      <c r="C18" s="3"/>
      <c r="D18" s="3"/>
      <c r="E18" s="3"/>
      <c r="F18" s="3"/>
      <c r="G18" s="3"/>
      <c r="H18" s="3"/>
      <c r="I18" s="3"/>
      <c r="J18" s="3"/>
      <c r="K18" s="3"/>
      <c r="L18" s="3"/>
      <c r="M18" s="3"/>
      <c r="N18" s="3"/>
      <c r="O18" s="3"/>
      <c r="P18" s="3"/>
      <c r="Q18" s="3"/>
      <c r="R18" s="3"/>
    </row>
    <row r="19" spans="1:18" x14ac:dyDescent="0.25">
      <c r="A19" s="109" t="s">
        <v>72</v>
      </c>
      <c r="B19" s="109" t="s">
        <v>73</v>
      </c>
      <c r="C19" s="3"/>
      <c r="D19" s="3"/>
      <c r="E19" s="3"/>
      <c r="F19" s="3"/>
      <c r="G19" s="3"/>
      <c r="H19" s="3"/>
      <c r="I19" s="3"/>
      <c r="J19" s="3"/>
      <c r="K19" s="3"/>
      <c r="L19" s="3"/>
      <c r="M19" s="3"/>
      <c r="N19" s="3"/>
      <c r="O19" s="3"/>
      <c r="P19" s="3"/>
      <c r="Q19" s="3"/>
      <c r="R19" s="3"/>
    </row>
    <row r="20" spans="1:18" x14ac:dyDescent="0.25">
      <c r="A20" s="109" t="s">
        <v>74</v>
      </c>
      <c r="B20" s="109" t="s">
        <v>75</v>
      </c>
      <c r="C20" s="3"/>
      <c r="D20" s="3"/>
      <c r="E20" s="3"/>
      <c r="F20" s="3"/>
      <c r="G20" s="3"/>
      <c r="H20" s="3"/>
      <c r="I20" s="3"/>
      <c r="J20" s="3"/>
      <c r="K20" s="3"/>
      <c r="L20" s="3"/>
      <c r="M20" s="3"/>
      <c r="N20" s="3"/>
      <c r="O20" s="3"/>
      <c r="P20" s="3"/>
      <c r="Q20" s="3"/>
      <c r="R20" s="3"/>
    </row>
    <row r="21" spans="1:18" ht="15.75" customHeight="1" x14ac:dyDescent="0.25">
      <c r="A21" s="109" t="s">
        <v>76</v>
      </c>
      <c r="B21" s="109" t="s">
        <v>77</v>
      </c>
      <c r="C21" s="3"/>
      <c r="D21" s="15" t="s">
        <v>78</v>
      </c>
      <c r="E21" s="3"/>
      <c r="F21" s="3"/>
      <c r="G21" s="3"/>
      <c r="H21" s="3"/>
      <c r="I21" s="3"/>
      <c r="J21" s="3"/>
      <c r="K21" s="3"/>
      <c r="L21" s="3"/>
      <c r="M21" s="3"/>
      <c r="N21" s="3"/>
      <c r="O21" s="3"/>
      <c r="P21" s="3"/>
      <c r="Q21" s="3"/>
      <c r="R21" s="3"/>
    </row>
    <row r="22" spans="1:18" ht="15.75" customHeight="1" x14ac:dyDescent="0.25">
      <c r="A22" s="109" t="s">
        <v>79</v>
      </c>
      <c r="B22" s="109" t="s">
        <v>80</v>
      </c>
      <c r="C22" s="3"/>
      <c r="D22" s="3" t="s">
        <v>81</v>
      </c>
      <c r="E22" s="3"/>
      <c r="F22" s="3"/>
      <c r="G22" s="3"/>
      <c r="H22" s="3"/>
      <c r="I22" s="3"/>
      <c r="J22" s="3"/>
      <c r="K22" s="3"/>
      <c r="L22" s="3"/>
      <c r="M22" s="3"/>
      <c r="N22" s="3"/>
      <c r="O22" s="3"/>
      <c r="P22" s="3"/>
      <c r="Q22" s="3"/>
      <c r="R22" s="3"/>
    </row>
    <row r="23" spans="1:18" ht="15.75" customHeight="1" x14ac:dyDescent="0.25">
      <c r="A23" s="109" t="s">
        <v>82</v>
      </c>
      <c r="B23" s="109" t="s">
        <v>83</v>
      </c>
      <c r="C23" s="3"/>
      <c r="D23" s="3"/>
      <c r="E23" s="3"/>
      <c r="F23" s="3"/>
      <c r="G23" s="3"/>
      <c r="H23" s="3"/>
      <c r="I23" s="3"/>
      <c r="J23" s="3"/>
      <c r="K23" s="3"/>
      <c r="L23" s="3"/>
      <c r="M23" s="3"/>
      <c r="N23" s="3"/>
      <c r="O23" s="3"/>
      <c r="P23" s="3"/>
      <c r="Q23" s="3"/>
      <c r="R23" s="3"/>
    </row>
    <row r="24" spans="1:18" ht="15.75" customHeight="1" x14ac:dyDescent="0.25">
      <c r="A24" s="109" t="s">
        <v>84</v>
      </c>
      <c r="B24" s="109" t="s">
        <v>85</v>
      </c>
      <c r="C24" s="3"/>
      <c r="I24" s="3"/>
      <c r="J24" s="3"/>
      <c r="K24" s="3"/>
      <c r="L24" s="3"/>
      <c r="M24" s="3"/>
      <c r="N24" s="3"/>
      <c r="O24" s="3"/>
      <c r="P24" s="3"/>
      <c r="Q24" s="3"/>
      <c r="R24" s="3"/>
    </row>
    <row r="25" spans="1:18" ht="15.75" customHeight="1" x14ac:dyDescent="0.25">
      <c r="A25" s="109" t="s">
        <v>86</v>
      </c>
      <c r="B25" s="109" t="s">
        <v>87</v>
      </c>
      <c r="C25" s="3"/>
      <c r="D25" s="16" t="s">
        <v>88</v>
      </c>
      <c r="E25" s="16" t="s">
        <v>89</v>
      </c>
      <c r="F25" s="17" t="s">
        <v>90</v>
      </c>
      <c r="G25" s="17" t="s">
        <v>91</v>
      </c>
      <c r="H25" s="18" t="s">
        <v>92</v>
      </c>
      <c r="I25" s="3"/>
      <c r="J25" s="3"/>
      <c r="K25" s="3"/>
      <c r="L25" s="3"/>
      <c r="M25" s="3"/>
      <c r="N25" s="3"/>
      <c r="O25" s="3"/>
      <c r="P25" s="3"/>
      <c r="Q25" s="3"/>
      <c r="R25" s="3"/>
    </row>
    <row r="26" spans="1:18" ht="15.75" customHeight="1" x14ac:dyDescent="0.25">
      <c r="A26" s="109" t="s">
        <v>93</v>
      </c>
      <c r="B26" s="109" t="s">
        <v>94</v>
      </c>
      <c r="C26" s="3"/>
      <c r="D26" s="12" t="s">
        <v>61</v>
      </c>
      <c r="E26" s="12" t="s">
        <v>18</v>
      </c>
      <c r="F26" s="19" t="s">
        <v>13</v>
      </c>
      <c r="G26" s="19" t="s">
        <v>27</v>
      </c>
      <c r="H26" s="19" t="s">
        <v>95</v>
      </c>
      <c r="I26" s="3"/>
      <c r="J26" s="3"/>
      <c r="K26" s="3"/>
      <c r="L26" s="3"/>
      <c r="M26" s="3"/>
      <c r="N26" s="3"/>
      <c r="O26" s="3"/>
      <c r="P26" s="3"/>
      <c r="Q26" s="3"/>
      <c r="R26" s="3"/>
    </row>
    <row r="27" spans="1:18" ht="15.75" customHeight="1" x14ac:dyDescent="0.25">
      <c r="A27" s="109" t="s">
        <v>96</v>
      </c>
      <c r="B27" s="109" t="s">
        <v>97</v>
      </c>
      <c r="C27" s="3"/>
      <c r="D27" s="12" t="s">
        <v>60</v>
      </c>
      <c r="E27" s="12" t="s">
        <v>17</v>
      </c>
      <c r="F27" s="12" t="s">
        <v>12</v>
      </c>
      <c r="G27" s="12" t="s">
        <v>26</v>
      </c>
      <c r="H27" s="19" t="s">
        <v>95</v>
      </c>
      <c r="I27" s="3"/>
      <c r="J27" s="3"/>
      <c r="K27" s="3"/>
      <c r="L27" s="3"/>
      <c r="M27" s="3"/>
      <c r="N27" s="3"/>
      <c r="O27" s="3"/>
      <c r="P27" s="3"/>
      <c r="Q27" s="3"/>
      <c r="R27" s="3"/>
    </row>
    <row r="28" spans="1:18" ht="15.75" customHeight="1" x14ac:dyDescent="0.25">
      <c r="A28" s="109" t="s">
        <v>98</v>
      </c>
      <c r="B28" s="109" t="s">
        <v>99</v>
      </c>
      <c r="C28" s="3"/>
      <c r="D28" s="3"/>
      <c r="E28" s="3"/>
      <c r="F28" s="3"/>
      <c r="G28" s="3"/>
      <c r="H28" s="3"/>
      <c r="I28" s="3"/>
      <c r="J28" s="3"/>
      <c r="K28" s="3"/>
      <c r="L28" s="3"/>
      <c r="M28" s="3"/>
      <c r="N28" s="3"/>
      <c r="O28" s="3"/>
      <c r="P28" s="3"/>
      <c r="Q28" s="3"/>
      <c r="R28" s="3"/>
    </row>
    <row r="29" spans="1:18" ht="15.75" customHeight="1" x14ac:dyDescent="0.25">
      <c r="A29" s="109" t="s">
        <v>100</v>
      </c>
      <c r="B29" s="109" t="s">
        <v>101</v>
      </c>
      <c r="C29" s="3"/>
      <c r="D29" s="3"/>
      <c r="E29" s="3"/>
      <c r="F29" s="3"/>
      <c r="G29" s="3"/>
      <c r="H29" s="3"/>
      <c r="I29" s="3"/>
      <c r="J29" s="3"/>
      <c r="K29" s="3"/>
      <c r="L29" s="3"/>
      <c r="M29" s="3"/>
      <c r="N29" s="3"/>
      <c r="O29" s="3"/>
      <c r="P29" s="3"/>
      <c r="Q29" s="3"/>
      <c r="R29" s="3"/>
    </row>
    <row r="30" spans="1:18" ht="15.75" customHeight="1" x14ac:dyDescent="0.25">
      <c r="A30" s="109" t="s">
        <v>102</v>
      </c>
      <c r="B30" s="109" t="s">
        <v>103</v>
      </c>
      <c r="C30" s="3"/>
      <c r="I30" s="3"/>
      <c r="J30" s="3"/>
      <c r="K30" s="3"/>
      <c r="L30" s="3"/>
      <c r="M30" s="3"/>
      <c r="N30" s="3"/>
      <c r="O30" s="3"/>
      <c r="P30" s="3"/>
      <c r="Q30" s="3"/>
      <c r="R30" s="3"/>
    </row>
    <row r="31" spans="1:18" ht="15.75" customHeight="1" x14ac:dyDescent="0.25">
      <c r="A31" s="109" t="s">
        <v>104</v>
      </c>
      <c r="B31" s="109" t="s">
        <v>105</v>
      </c>
      <c r="C31" s="3"/>
      <c r="I31" s="3"/>
      <c r="J31" s="3"/>
      <c r="K31" s="3"/>
      <c r="L31" s="3"/>
      <c r="M31" s="3"/>
      <c r="N31" s="3"/>
      <c r="O31" s="3"/>
      <c r="P31" s="3"/>
      <c r="Q31" s="3"/>
      <c r="R31" s="3"/>
    </row>
    <row r="32" spans="1:18" ht="15.75" customHeight="1" x14ac:dyDescent="0.25">
      <c r="A32" s="109" t="s">
        <v>106</v>
      </c>
      <c r="B32" s="109" t="s">
        <v>107</v>
      </c>
      <c r="C32" s="3"/>
      <c r="I32" s="3"/>
      <c r="J32" s="3"/>
      <c r="K32" s="3"/>
      <c r="L32" s="3"/>
      <c r="M32" s="3"/>
      <c r="N32" s="3"/>
      <c r="O32" s="3"/>
      <c r="P32" s="3"/>
      <c r="Q32" s="3"/>
      <c r="R32" s="3"/>
    </row>
    <row r="33" spans="1:18" ht="15.75" customHeight="1" x14ac:dyDescent="0.25">
      <c r="A33" s="109" t="s">
        <v>108</v>
      </c>
      <c r="B33" s="109" t="s">
        <v>109</v>
      </c>
      <c r="C33" s="3"/>
      <c r="K33" s="3"/>
      <c r="L33" s="3"/>
      <c r="M33" s="3"/>
      <c r="N33" s="3"/>
      <c r="O33" s="3"/>
      <c r="P33" s="3"/>
      <c r="Q33" s="3"/>
      <c r="R33" s="3"/>
    </row>
    <row r="34" spans="1:18" ht="15.75" customHeight="1" x14ac:dyDescent="0.25">
      <c r="A34" s="110" t="s">
        <v>110</v>
      </c>
      <c r="B34" s="110" t="s">
        <v>111</v>
      </c>
      <c r="C34" s="3"/>
      <c r="K34" s="3"/>
      <c r="L34" s="3"/>
      <c r="M34" s="3"/>
      <c r="N34" s="3"/>
      <c r="O34" s="3"/>
      <c r="P34" s="3"/>
      <c r="Q34" s="3"/>
      <c r="R34" s="3"/>
    </row>
    <row r="35" spans="1:18" ht="15.75" customHeight="1" x14ac:dyDescent="0.25">
      <c r="A35" s="110" t="s">
        <v>112</v>
      </c>
      <c r="B35" s="110" t="s">
        <v>113</v>
      </c>
      <c r="C35" s="3"/>
      <c r="K35" s="3"/>
      <c r="L35" s="3"/>
      <c r="M35" s="3"/>
      <c r="N35" s="3"/>
      <c r="O35" s="3"/>
      <c r="P35" s="3"/>
      <c r="Q35" s="3"/>
      <c r="R35" s="3"/>
    </row>
    <row r="36" spans="1:18" ht="15.75" customHeight="1" x14ac:dyDescent="0.25">
      <c r="A36" s="110" t="s">
        <v>114</v>
      </c>
      <c r="B36" s="110" t="s">
        <v>115</v>
      </c>
      <c r="C36" s="3"/>
      <c r="I36" s="3"/>
      <c r="J36" s="3"/>
      <c r="K36" s="3"/>
      <c r="L36" s="3"/>
      <c r="M36" s="3"/>
      <c r="N36" s="3"/>
      <c r="O36" s="3"/>
      <c r="P36" s="3"/>
      <c r="Q36" s="3"/>
      <c r="R36" s="3"/>
    </row>
    <row r="37" spans="1:18" ht="15.75" customHeight="1" x14ac:dyDescent="0.25">
      <c r="A37" s="110" t="s">
        <v>116</v>
      </c>
      <c r="B37" s="110" t="s">
        <v>117</v>
      </c>
      <c r="C37" s="3"/>
      <c r="D37" s="3"/>
      <c r="E37" s="3"/>
      <c r="F37" s="3"/>
      <c r="G37" s="3"/>
      <c r="H37" s="3"/>
      <c r="I37" s="3"/>
      <c r="J37" s="3"/>
      <c r="K37" s="3"/>
      <c r="L37" s="3"/>
      <c r="M37" s="3"/>
      <c r="N37" s="3"/>
      <c r="O37" s="3"/>
      <c r="P37" s="3"/>
      <c r="Q37" s="3"/>
      <c r="R37" s="3"/>
    </row>
    <row r="38" spans="1:18" ht="23.25" customHeight="1" x14ac:dyDescent="0.25">
      <c r="A38" s="110" t="s">
        <v>118</v>
      </c>
      <c r="B38" s="110" t="s">
        <v>119</v>
      </c>
      <c r="C38" s="3"/>
      <c r="J38" s="3"/>
      <c r="K38" s="3"/>
      <c r="L38" s="3"/>
      <c r="M38" s="3"/>
      <c r="N38" s="3"/>
      <c r="O38" s="3"/>
      <c r="P38" s="3"/>
      <c r="Q38" s="3"/>
      <c r="R38" s="3"/>
    </row>
    <row r="39" spans="1:18" ht="15.75" customHeight="1" x14ac:dyDescent="0.25">
      <c r="A39" s="110" t="s">
        <v>120</v>
      </c>
      <c r="B39" s="110" t="s">
        <v>121</v>
      </c>
      <c r="C39" s="3"/>
      <c r="J39" s="3"/>
      <c r="K39" s="3"/>
      <c r="L39" s="3"/>
      <c r="M39" s="3"/>
      <c r="N39" s="3"/>
      <c r="O39" s="3"/>
      <c r="P39" s="3"/>
      <c r="Q39" s="3"/>
      <c r="R39" s="3"/>
    </row>
    <row r="40" spans="1:18" ht="15.75" customHeight="1" x14ac:dyDescent="0.25">
      <c r="A40" s="110" t="s">
        <v>122</v>
      </c>
      <c r="B40" s="110" t="s">
        <v>123</v>
      </c>
      <c r="C40" s="3"/>
      <c r="J40" s="3"/>
      <c r="K40" s="3"/>
      <c r="L40" s="3"/>
      <c r="M40" s="3"/>
      <c r="N40" s="3"/>
      <c r="O40" s="3"/>
      <c r="P40" s="3"/>
      <c r="Q40" s="3"/>
      <c r="R40" s="3"/>
    </row>
    <row r="41" spans="1:18" ht="15.75" customHeight="1" x14ac:dyDescent="0.25">
      <c r="A41" s="110" t="s">
        <v>124</v>
      </c>
      <c r="B41" s="110" t="s">
        <v>125</v>
      </c>
      <c r="C41" s="3"/>
      <c r="D41" s="3"/>
      <c r="E41" s="3"/>
      <c r="F41" s="3"/>
      <c r="G41" s="3"/>
      <c r="H41" s="3"/>
      <c r="I41" s="3"/>
      <c r="J41" s="3"/>
      <c r="K41" s="3"/>
      <c r="L41" s="3"/>
      <c r="M41" s="3"/>
      <c r="N41" s="3"/>
      <c r="O41" s="3"/>
      <c r="P41" s="3"/>
      <c r="Q41" s="3"/>
      <c r="R41" s="3"/>
    </row>
    <row r="42" spans="1:18" ht="15.75" customHeight="1" x14ac:dyDescent="0.25">
      <c r="A42" s="110" t="s">
        <v>126</v>
      </c>
      <c r="B42" s="110" t="s">
        <v>127</v>
      </c>
      <c r="C42" s="3"/>
      <c r="D42" s="3"/>
      <c r="E42" s="3"/>
      <c r="F42" s="3"/>
      <c r="G42" s="3"/>
      <c r="H42" s="3"/>
      <c r="I42" s="3"/>
      <c r="J42" s="3"/>
      <c r="K42" s="3"/>
      <c r="L42" s="3"/>
      <c r="M42" s="3"/>
      <c r="N42" s="3"/>
      <c r="O42" s="3"/>
      <c r="P42" s="3"/>
      <c r="Q42" s="3"/>
      <c r="R42" s="3"/>
    </row>
    <row r="43" spans="1:18" ht="15.75" customHeight="1" x14ac:dyDescent="0.25">
      <c r="A43" s="110" t="s">
        <v>128</v>
      </c>
      <c r="B43" s="110" t="s">
        <v>129</v>
      </c>
      <c r="C43" s="3"/>
      <c r="D43" s="3"/>
      <c r="E43" s="3"/>
      <c r="F43" s="3"/>
      <c r="G43" s="3"/>
      <c r="H43" s="3"/>
      <c r="I43" s="3"/>
      <c r="J43" s="3"/>
      <c r="K43" s="3"/>
      <c r="L43" s="3"/>
      <c r="M43" s="3"/>
      <c r="N43" s="3"/>
      <c r="O43" s="3"/>
      <c r="P43" s="3"/>
      <c r="Q43" s="3"/>
      <c r="R43" s="3"/>
    </row>
    <row r="44" spans="1:18" ht="15.75" customHeight="1" x14ac:dyDescent="0.25">
      <c r="A44" s="110" t="s">
        <v>130</v>
      </c>
      <c r="B44" s="110" t="s">
        <v>131</v>
      </c>
      <c r="C44" s="3" t="s">
        <v>1487</v>
      </c>
      <c r="D44" s="3"/>
      <c r="E44" s="3"/>
      <c r="F44" s="3"/>
      <c r="G44" s="3"/>
      <c r="H44" s="3"/>
      <c r="I44" s="3"/>
      <c r="J44" s="3"/>
      <c r="K44" s="3"/>
      <c r="L44" s="3"/>
      <c r="M44" s="3"/>
      <c r="N44" s="3"/>
      <c r="O44" s="3"/>
      <c r="P44" s="3"/>
      <c r="Q44" s="3"/>
      <c r="R44" s="3"/>
    </row>
    <row r="45" spans="1:18" ht="15.75" customHeight="1" x14ac:dyDescent="0.25">
      <c r="A45" s="110" t="s">
        <v>132</v>
      </c>
      <c r="B45" s="110" t="s">
        <v>133</v>
      </c>
      <c r="C45" s="3"/>
      <c r="D45" s="3"/>
      <c r="E45" s="3"/>
      <c r="F45" s="3"/>
      <c r="G45" s="3"/>
      <c r="H45" s="3"/>
      <c r="I45" s="3"/>
      <c r="J45" s="3"/>
      <c r="K45" s="3"/>
      <c r="L45" s="3"/>
      <c r="M45" s="3"/>
      <c r="N45" s="3"/>
      <c r="O45" s="3"/>
      <c r="P45" s="3"/>
      <c r="Q45" s="3"/>
      <c r="R45" s="3"/>
    </row>
    <row r="46" spans="1:18" ht="15.75" customHeight="1" x14ac:dyDescent="0.25">
      <c r="A46" s="110" t="s">
        <v>134</v>
      </c>
      <c r="B46" s="110" t="s">
        <v>135</v>
      </c>
      <c r="C46" s="3"/>
      <c r="D46" s="3"/>
      <c r="E46" s="3"/>
      <c r="F46" s="3"/>
      <c r="G46" s="3"/>
      <c r="H46" s="3"/>
      <c r="I46" s="3"/>
      <c r="J46" s="3"/>
      <c r="K46" s="3"/>
      <c r="L46" s="3"/>
      <c r="M46" s="3"/>
      <c r="N46" s="3"/>
      <c r="O46" s="3"/>
      <c r="P46" s="3"/>
      <c r="Q46" s="3"/>
      <c r="R46" s="3"/>
    </row>
    <row r="47" spans="1:18" ht="15.75" customHeight="1" x14ac:dyDescent="0.25">
      <c r="A47" s="110" t="s">
        <v>136</v>
      </c>
      <c r="B47" s="110" t="s">
        <v>137</v>
      </c>
      <c r="C47" s="3"/>
      <c r="D47" s="3"/>
      <c r="E47" s="3"/>
      <c r="F47" s="3"/>
      <c r="G47" s="3"/>
      <c r="H47" s="3"/>
      <c r="I47" s="3"/>
      <c r="J47" s="3"/>
      <c r="K47" s="3"/>
      <c r="L47" s="3"/>
      <c r="M47" s="3"/>
      <c r="N47" s="3"/>
      <c r="O47" s="3"/>
      <c r="P47" s="3"/>
      <c r="Q47" s="3"/>
      <c r="R47" s="3"/>
    </row>
    <row r="48" spans="1:18" ht="15.75" customHeight="1" x14ac:dyDescent="0.25">
      <c r="A48" s="110" t="s">
        <v>138</v>
      </c>
      <c r="B48" s="110" t="s">
        <v>139</v>
      </c>
      <c r="C48" s="3"/>
      <c r="D48" s="3"/>
      <c r="E48" s="3"/>
      <c r="F48" s="3"/>
      <c r="G48" s="3"/>
      <c r="H48" s="3"/>
      <c r="I48" s="3"/>
      <c r="J48" s="3"/>
      <c r="K48" s="3"/>
      <c r="L48" s="3"/>
      <c r="M48" s="3"/>
      <c r="N48" s="3"/>
      <c r="O48" s="3"/>
      <c r="P48" s="3"/>
      <c r="Q48" s="3"/>
      <c r="R48" s="3"/>
    </row>
    <row r="49" spans="1:18" ht="15.75" customHeight="1" x14ac:dyDescent="0.25">
      <c r="A49" s="110" t="s">
        <v>140</v>
      </c>
      <c r="B49" s="110" t="s">
        <v>141</v>
      </c>
      <c r="C49" s="3"/>
      <c r="D49" s="3"/>
      <c r="E49" s="3"/>
      <c r="F49" s="3"/>
      <c r="G49" s="3"/>
      <c r="H49" s="3"/>
      <c r="I49" s="3"/>
      <c r="J49" s="3"/>
      <c r="K49" s="3"/>
      <c r="L49" s="3"/>
      <c r="M49" s="3"/>
      <c r="N49" s="3"/>
      <c r="O49" s="3"/>
      <c r="P49" s="3"/>
      <c r="Q49" s="3"/>
      <c r="R49" s="3"/>
    </row>
    <row r="50" spans="1:18" ht="15.75" customHeight="1" x14ac:dyDescent="0.25">
      <c r="A50" s="110" t="s">
        <v>142</v>
      </c>
      <c r="B50" s="110" t="s">
        <v>143</v>
      </c>
      <c r="C50" s="3"/>
      <c r="D50" s="3"/>
      <c r="E50" s="3"/>
      <c r="F50" s="3"/>
      <c r="G50" s="3"/>
      <c r="H50" s="3"/>
      <c r="I50" s="3"/>
      <c r="J50" s="3"/>
      <c r="K50" s="3"/>
      <c r="L50" s="3"/>
      <c r="M50" s="3"/>
      <c r="N50" s="3"/>
      <c r="O50" s="3"/>
      <c r="P50" s="3"/>
      <c r="Q50" s="3"/>
      <c r="R50" s="3"/>
    </row>
    <row r="51" spans="1:18" ht="15.75" customHeight="1" x14ac:dyDescent="0.25">
      <c r="A51" s="110" t="s">
        <v>144</v>
      </c>
      <c r="B51" s="110" t="s">
        <v>145</v>
      </c>
      <c r="C51" s="3"/>
      <c r="D51" s="3"/>
      <c r="E51" s="3"/>
      <c r="F51" s="3"/>
      <c r="G51" s="3"/>
      <c r="H51" s="3"/>
      <c r="I51" s="3"/>
      <c r="J51" s="3"/>
      <c r="K51" s="3"/>
      <c r="L51" s="3"/>
      <c r="M51" s="3"/>
      <c r="N51" s="3"/>
      <c r="O51" s="3"/>
      <c r="P51" s="3"/>
      <c r="Q51" s="3"/>
      <c r="R51" s="3"/>
    </row>
    <row r="52" spans="1:18" ht="15" customHeight="1" x14ac:dyDescent="0.25">
      <c r="A52" s="110" t="s">
        <v>146</v>
      </c>
      <c r="B52" s="110" t="s">
        <v>147</v>
      </c>
      <c r="C52" s="3"/>
      <c r="D52" s="3"/>
      <c r="E52" s="3"/>
      <c r="F52" s="3"/>
      <c r="G52" s="3"/>
      <c r="H52" s="3"/>
      <c r="I52" s="3"/>
      <c r="J52" s="3"/>
      <c r="K52" s="3"/>
      <c r="L52" s="3"/>
      <c r="M52" s="3"/>
      <c r="N52" s="3"/>
      <c r="O52" s="3"/>
      <c r="P52" s="3"/>
      <c r="Q52" s="3"/>
      <c r="R52" s="3"/>
    </row>
    <row r="53" spans="1:18" ht="15.75" customHeight="1" x14ac:dyDescent="0.25">
      <c r="A53" s="110" t="s">
        <v>148</v>
      </c>
      <c r="B53" s="110" t="s">
        <v>149</v>
      </c>
      <c r="C53" s="3"/>
      <c r="D53" s="3"/>
      <c r="E53" s="3"/>
      <c r="F53" s="3"/>
      <c r="G53" s="3"/>
      <c r="H53" s="3"/>
      <c r="I53" s="3"/>
      <c r="J53" s="3"/>
      <c r="K53" s="3"/>
      <c r="L53" s="3"/>
      <c r="M53" s="3"/>
      <c r="N53" s="3"/>
      <c r="O53" s="3"/>
      <c r="P53" s="3"/>
      <c r="Q53" s="3"/>
      <c r="R53" s="3"/>
    </row>
    <row r="54" spans="1:18" ht="15.75" customHeight="1" x14ac:dyDescent="0.25">
      <c r="A54" s="110" t="s">
        <v>150</v>
      </c>
      <c r="B54" s="110" t="s">
        <v>151</v>
      </c>
      <c r="C54" s="3"/>
      <c r="D54" s="3"/>
      <c r="E54" s="3"/>
      <c r="F54" s="3"/>
      <c r="G54" s="3"/>
      <c r="H54" s="3"/>
      <c r="I54" s="3"/>
      <c r="J54" s="3"/>
      <c r="K54" s="3"/>
      <c r="L54" s="3"/>
      <c r="M54" s="3"/>
      <c r="N54" s="3"/>
      <c r="O54" s="3"/>
      <c r="P54" s="3"/>
      <c r="Q54" s="3"/>
      <c r="R54" s="3"/>
    </row>
    <row r="55" spans="1:18" ht="15.75" customHeight="1" x14ac:dyDescent="0.25">
      <c r="A55" s="110" t="s">
        <v>152</v>
      </c>
      <c r="B55" s="110" t="s">
        <v>153</v>
      </c>
      <c r="C55" s="3"/>
      <c r="D55" s="3"/>
      <c r="E55" s="3"/>
      <c r="F55" s="3"/>
      <c r="G55" s="3"/>
      <c r="H55" s="3"/>
      <c r="I55" s="3"/>
      <c r="J55" s="3"/>
      <c r="K55" s="3"/>
      <c r="L55" s="3"/>
      <c r="M55" s="3"/>
      <c r="N55" s="3"/>
      <c r="O55" s="3"/>
      <c r="P55" s="3"/>
      <c r="Q55" s="3"/>
      <c r="R55" s="3"/>
    </row>
    <row r="56" spans="1:18" ht="15.75" customHeight="1" x14ac:dyDescent="0.25">
      <c r="A56" s="110" t="s">
        <v>154</v>
      </c>
      <c r="B56" s="110" t="s">
        <v>155</v>
      </c>
      <c r="C56" s="3"/>
      <c r="D56" s="3"/>
      <c r="E56" s="3"/>
      <c r="F56" s="3"/>
      <c r="G56" s="3"/>
      <c r="H56" s="3"/>
      <c r="I56" s="3"/>
      <c r="J56" s="3"/>
      <c r="K56" s="3"/>
      <c r="L56" s="3"/>
      <c r="M56" s="3"/>
      <c r="N56" s="3"/>
      <c r="O56" s="3"/>
      <c r="P56" s="3"/>
      <c r="Q56" s="3"/>
      <c r="R56" s="3"/>
    </row>
    <row r="57" spans="1:18" ht="15.75" customHeight="1" x14ac:dyDescent="0.25">
      <c r="A57" s="110" t="s">
        <v>156</v>
      </c>
      <c r="B57" s="110" t="s">
        <v>157</v>
      </c>
      <c r="C57" s="3"/>
      <c r="D57" s="3"/>
      <c r="E57" s="3"/>
      <c r="F57" s="3"/>
      <c r="G57" s="3"/>
      <c r="H57" s="3"/>
      <c r="I57" s="3"/>
      <c r="J57" s="3"/>
      <c r="K57" s="3"/>
      <c r="L57" s="3"/>
      <c r="M57" s="3"/>
      <c r="N57" s="3"/>
      <c r="O57" s="3"/>
      <c r="P57" s="3"/>
      <c r="Q57" s="3"/>
      <c r="R57" s="3"/>
    </row>
    <row r="58" spans="1:18" ht="15.75" customHeight="1" x14ac:dyDescent="0.25">
      <c r="A58" s="110" t="s">
        <v>158</v>
      </c>
      <c r="B58" s="110" t="s">
        <v>159</v>
      </c>
      <c r="C58" s="3"/>
      <c r="D58" s="3"/>
      <c r="E58" s="3"/>
      <c r="F58" s="3"/>
      <c r="G58" s="3"/>
      <c r="H58" s="3"/>
      <c r="I58" s="3"/>
      <c r="J58" s="3"/>
      <c r="K58" s="3"/>
      <c r="L58" s="3"/>
      <c r="M58" s="3"/>
      <c r="N58" s="3"/>
      <c r="O58" s="3"/>
      <c r="P58" s="3"/>
      <c r="Q58" s="3"/>
      <c r="R58" s="3"/>
    </row>
    <row r="59" spans="1:18" ht="15.75" customHeight="1" x14ac:dyDescent="0.25">
      <c r="A59" s="110" t="s">
        <v>160</v>
      </c>
      <c r="B59" s="110" t="s">
        <v>161</v>
      </c>
      <c r="C59" s="3"/>
      <c r="D59" s="3"/>
      <c r="E59" s="3"/>
      <c r="F59" s="3"/>
      <c r="G59" s="3"/>
      <c r="H59" s="3"/>
      <c r="I59" s="3"/>
      <c r="J59" s="3"/>
      <c r="K59" s="3"/>
      <c r="L59" s="3"/>
      <c r="M59" s="3"/>
      <c r="N59" s="3"/>
      <c r="O59" s="3"/>
      <c r="P59" s="3"/>
      <c r="Q59" s="3"/>
      <c r="R59" s="3"/>
    </row>
    <row r="60" spans="1:18" ht="15.75" customHeight="1" x14ac:dyDescent="0.25">
      <c r="A60" s="110" t="s">
        <v>162</v>
      </c>
      <c r="B60" s="110" t="s">
        <v>163</v>
      </c>
      <c r="C60" s="3"/>
      <c r="D60" s="3"/>
      <c r="E60" s="3"/>
      <c r="F60" s="3"/>
      <c r="G60" s="3"/>
      <c r="H60" s="3"/>
      <c r="I60" s="3"/>
      <c r="J60" s="3"/>
      <c r="K60" s="3"/>
      <c r="L60" s="3"/>
      <c r="M60" s="3"/>
      <c r="N60" s="3"/>
      <c r="O60" s="3"/>
      <c r="P60" s="3"/>
      <c r="Q60" s="3"/>
      <c r="R60" s="3"/>
    </row>
    <row r="61" spans="1:18" ht="15.75" customHeight="1" x14ac:dyDescent="0.25">
      <c r="A61" s="110" t="s">
        <v>164</v>
      </c>
      <c r="B61" s="110" t="s">
        <v>165</v>
      </c>
      <c r="C61" s="3"/>
      <c r="D61" s="3"/>
      <c r="E61" s="3"/>
      <c r="F61" s="3"/>
      <c r="G61" s="3"/>
      <c r="H61" s="3"/>
      <c r="I61" s="3"/>
      <c r="J61" s="3"/>
      <c r="K61" s="3"/>
      <c r="L61" s="3"/>
      <c r="M61" s="3"/>
      <c r="N61" s="3"/>
      <c r="O61" s="3"/>
      <c r="P61" s="3"/>
      <c r="Q61" s="3"/>
      <c r="R61" s="3"/>
    </row>
    <row r="62" spans="1:18" ht="15.75" customHeight="1" x14ac:dyDescent="0.25">
      <c r="A62" s="110" t="s">
        <v>166</v>
      </c>
      <c r="B62" s="110" t="s">
        <v>167</v>
      </c>
      <c r="C62" s="3"/>
      <c r="D62" s="3"/>
      <c r="E62" s="3"/>
      <c r="F62" s="3"/>
      <c r="G62" s="3"/>
      <c r="H62" s="3"/>
      <c r="I62" s="3"/>
      <c r="J62" s="3"/>
      <c r="K62" s="3"/>
      <c r="L62" s="3"/>
      <c r="M62" s="3"/>
      <c r="N62" s="3"/>
      <c r="O62" s="3"/>
      <c r="P62" s="3"/>
      <c r="Q62" s="3"/>
      <c r="R62" s="3"/>
    </row>
    <row r="63" spans="1:18" ht="15.75" customHeight="1" x14ac:dyDescent="0.25">
      <c r="A63" s="110" t="s">
        <v>168</v>
      </c>
      <c r="B63" s="110" t="s">
        <v>169</v>
      </c>
      <c r="C63" s="3"/>
      <c r="D63" s="3"/>
      <c r="E63" s="3"/>
      <c r="F63" s="3"/>
      <c r="G63" s="3"/>
      <c r="H63" s="3"/>
      <c r="I63" s="3"/>
      <c r="J63" s="3"/>
      <c r="K63" s="3"/>
      <c r="L63" s="3"/>
      <c r="M63" s="3"/>
      <c r="N63" s="3"/>
      <c r="O63" s="3"/>
      <c r="P63" s="3"/>
      <c r="Q63" s="3"/>
      <c r="R63" s="3"/>
    </row>
    <row r="64" spans="1:18" ht="15.75" customHeight="1" x14ac:dyDescent="0.25">
      <c r="A64" s="110" t="s">
        <v>170</v>
      </c>
      <c r="B64" s="110" t="s">
        <v>171</v>
      </c>
      <c r="C64" s="3"/>
      <c r="D64" s="3"/>
      <c r="E64" s="3"/>
      <c r="F64" s="3"/>
      <c r="G64" s="3"/>
      <c r="H64" s="3"/>
      <c r="I64" s="3"/>
      <c r="J64" s="3"/>
      <c r="K64" s="3"/>
      <c r="L64" s="3"/>
      <c r="M64" s="3"/>
      <c r="N64" s="3"/>
      <c r="O64" s="3"/>
      <c r="P64" s="3"/>
      <c r="Q64" s="3"/>
      <c r="R64" s="3"/>
    </row>
    <row r="65" spans="1:18" ht="15.75" customHeight="1" x14ac:dyDescent="0.25">
      <c r="A65" s="110" t="s">
        <v>172</v>
      </c>
      <c r="B65" s="110" t="s">
        <v>173</v>
      </c>
      <c r="C65" s="3"/>
      <c r="D65" s="3"/>
      <c r="E65" s="3"/>
      <c r="F65" s="3"/>
      <c r="G65" s="3"/>
      <c r="H65" s="3"/>
      <c r="I65" s="3"/>
      <c r="J65" s="3"/>
      <c r="K65" s="3"/>
      <c r="L65" s="3"/>
      <c r="M65" s="3"/>
      <c r="N65" s="3"/>
      <c r="O65" s="3"/>
      <c r="P65" s="3"/>
      <c r="Q65" s="3"/>
      <c r="R65" s="3"/>
    </row>
    <row r="66" spans="1:18" ht="15.75" customHeight="1" x14ac:dyDescent="0.25">
      <c r="A66" s="110" t="s">
        <v>174</v>
      </c>
      <c r="B66" s="110" t="s">
        <v>175</v>
      </c>
      <c r="C66" s="3"/>
      <c r="D66" s="3"/>
      <c r="E66" s="3"/>
      <c r="F66" s="3"/>
      <c r="G66" s="3"/>
      <c r="H66" s="3"/>
      <c r="I66" s="3"/>
      <c r="J66" s="3"/>
      <c r="K66" s="3"/>
      <c r="L66" s="3"/>
      <c r="M66" s="3"/>
      <c r="N66" s="3"/>
      <c r="O66" s="3"/>
      <c r="P66" s="3"/>
      <c r="Q66" s="3"/>
      <c r="R66" s="3"/>
    </row>
    <row r="67" spans="1:18" ht="15" customHeight="1" x14ac:dyDescent="0.25">
      <c r="A67" s="111"/>
      <c r="B67" s="111"/>
      <c r="C67" s="3"/>
      <c r="D67" s="3"/>
      <c r="E67" s="3"/>
      <c r="F67" s="3"/>
      <c r="G67" s="3"/>
      <c r="H67" s="3"/>
      <c r="I67" s="3"/>
      <c r="J67" s="3"/>
      <c r="K67" s="3"/>
      <c r="L67" s="3"/>
      <c r="M67" s="3"/>
      <c r="N67" s="3"/>
      <c r="O67" s="3"/>
      <c r="P67" s="3"/>
      <c r="Q67" s="3"/>
      <c r="R67" s="3"/>
    </row>
    <row r="68" spans="1:18" ht="15" customHeight="1" x14ac:dyDescent="0.25">
      <c r="A68" s="3"/>
      <c r="B68" s="3"/>
      <c r="C68" s="3"/>
      <c r="D68" s="3"/>
      <c r="E68" s="3"/>
      <c r="F68" s="3"/>
      <c r="G68" s="3"/>
      <c r="H68" s="3"/>
      <c r="I68" s="3"/>
      <c r="J68" s="3"/>
      <c r="K68" s="3"/>
      <c r="L68" s="3"/>
      <c r="M68" s="3"/>
      <c r="N68" s="3"/>
      <c r="O68" s="3"/>
      <c r="P68" s="3"/>
      <c r="Q68" s="3"/>
      <c r="R68" s="3"/>
    </row>
    <row r="69" spans="1:18" ht="15.75" customHeight="1" x14ac:dyDescent="0.25">
      <c r="A69" s="5" t="s">
        <v>176</v>
      </c>
      <c r="B69" s="5" t="s">
        <v>12</v>
      </c>
      <c r="C69" s="3"/>
      <c r="D69" s="3"/>
      <c r="E69" s="3"/>
      <c r="F69" s="3"/>
      <c r="G69" s="3"/>
      <c r="H69" s="3"/>
      <c r="I69" s="3"/>
      <c r="J69" s="3"/>
      <c r="K69" s="3"/>
      <c r="L69" s="3"/>
      <c r="M69" s="3"/>
      <c r="N69" s="3"/>
      <c r="O69" s="3"/>
      <c r="P69" s="3"/>
      <c r="Q69" s="3"/>
      <c r="R69" s="3"/>
    </row>
    <row r="70" spans="1:18" ht="15.75" customHeight="1" x14ac:dyDescent="0.25">
      <c r="A70" s="5" t="s">
        <v>177</v>
      </c>
      <c r="B70" s="5" t="s">
        <v>19</v>
      </c>
      <c r="C70" s="3"/>
      <c r="D70" s="3"/>
      <c r="E70" s="3"/>
      <c r="F70" s="3"/>
      <c r="G70" s="3"/>
      <c r="H70" s="3"/>
      <c r="I70" s="3"/>
      <c r="J70" s="3"/>
      <c r="K70" s="3"/>
      <c r="L70" s="3"/>
      <c r="M70" s="3"/>
      <c r="N70" s="3"/>
      <c r="O70" s="3"/>
      <c r="P70" s="3"/>
      <c r="Q70" s="3"/>
      <c r="R70" s="3"/>
    </row>
    <row r="71" spans="1:18" ht="15" customHeight="1" x14ac:dyDescent="0.25">
      <c r="A71" s="3"/>
      <c r="B71" s="3"/>
      <c r="C71" s="3"/>
      <c r="D71" s="3"/>
      <c r="E71" s="3"/>
      <c r="F71" s="3"/>
      <c r="G71" s="3"/>
      <c r="H71" s="3"/>
      <c r="I71" s="3"/>
      <c r="J71" s="3"/>
      <c r="K71" s="3"/>
      <c r="L71" s="3"/>
      <c r="M71" s="3"/>
      <c r="N71" s="3"/>
      <c r="O71" s="3"/>
      <c r="P71" s="3"/>
      <c r="Q71" s="3"/>
      <c r="R71" s="3"/>
    </row>
    <row r="72" spans="1:18" ht="15" customHeight="1" x14ac:dyDescent="0.25">
      <c r="A72" s="3"/>
      <c r="B72" s="3"/>
      <c r="C72" s="3"/>
      <c r="D72" s="3"/>
      <c r="E72" s="3"/>
      <c r="F72" s="3"/>
      <c r="G72" s="3"/>
      <c r="H72" s="3"/>
      <c r="I72" s="3"/>
      <c r="J72" s="3"/>
      <c r="K72" s="3"/>
      <c r="L72" s="3"/>
      <c r="M72" s="3"/>
      <c r="N72" s="3"/>
      <c r="O72" s="3"/>
      <c r="P72" s="3"/>
      <c r="Q72" s="3"/>
      <c r="R72" s="3"/>
    </row>
    <row r="73" spans="1:18" ht="15" customHeight="1" x14ac:dyDescent="0.25">
      <c r="A73" s="3"/>
      <c r="B73" s="3"/>
      <c r="C73" s="3"/>
      <c r="D73" s="3"/>
      <c r="E73" s="3"/>
      <c r="F73" s="3"/>
      <c r="G73" s="3"/>
      <c r="H73" s="3"/>
      <c r="I73" s="3"/>
      <c r="J73" s="3"/>
      <c r="K73" s="3"/>
      <c r="L73" s="3"/>
      <c r="M73" s="3"/>
      <c r="N73" s="3"/>
      <c r="O73" s="3"/>
      <c r="P73" s="3"/>
      <c r="Q73" s="3"/>
      <c r="R73" s="3"/>
    </row>
    <row r="74" spans="1:18" ht="15" customHeight="1" x14ac:dyDescent="0.25">
      <c r="A74" s="3"/>
      <c r="B74" s="3"/>
      <c r="C74" s="3"/>
      <c r="D74" s="3"/>
      <c r="E74" s="3"/>
      <c r="F74" s="3"/>
      <c r="G74" s="3"/>
      <c r="H74" s="3"/>
      <c r="I74" s="3"/>
      <c r="J74" s="3"/>
      <c r="K74" s="3"/>
      <c r="L74" s="3"/>
      <c r="M74" s="3"/>
      <c r="N74" s="3"/>
      <c r="O74" s="3"/>
      <c r="P74" s="3"/>
      <c r="Q74" s="3"/>
      <c r="R74" s="3"/>
    </row>
    <row r="75" spans="1:18" ht="15" customHeight="1" x14ac:dyDescent="0.25">
      <c r="A75" s="3"/>
      <c r="B75" s="3"/>
      <c r="C75" s="3"/>
      <c r="D75" s="3"/>
      <c r="E75" s="3"/>
      <c r="F75" s="3"/>
      <c r="G75" s="3"/>
      <c r="H75" s="3"/>
      <c r="I75" s="3"/>
      <c r="J75" s="3"/>
      <c r="K75" s="3"/>
      <c r="L75" s="3"/>
      <c r="M75" s="3"/>
      <c r="N75" s="3"/>
      <c r="O75" s="3"/>
      <c r="P75" s="3"/>
      <c r="Q75" s="3"/>
      <c r="R75" s="3"/>
    </row>
    <row r="76" spans="1:18" ht="15" customHeight="1" x14ac:dyDescent="0.25">
      <c r="A76" s="3"/>
      <c r="B76" s="3"/>
      <c r="C76" s="3"/>
      <c r="D76" s="3"/>
      <c r="E76" s="3"/>
      <c r="F76" s="3"/>
      <c r="G76" s="3"/>
      <c r="H76" s="3"/>
      <c r="I76" s="3"/>
      <c r="J76" s="3"/>
      <c r="K76" s="3"/>
      <c r="L76" s="3"/>
      <c r="M76" s="3"/>
      <c r="N76" s="3"/>
      <c r="O76" s="3"/>
      <c r="P76" s="3"/>
      <c r="Q76" s="3"/>
      <c r="R76" s="3"/>
    </row>
    <row r="77" spans="1:18" ht="15" customHeight="1" x14ac:dyDescent="0.25">
      <c r="A77" s="3"/>
      <c r="B77" s="3"/>
      <c r="C77" s="3"/>
      <c r="D77" s="3"/>
      <c r="E77" s="3"/>
      <c r="F77" s="3"/>
      <c r="G77" s="3"/>
      <c r="H77" s="3"/>
      <c r="I77" s="3"/>
      <c r="J77" s="3"/>
      <c r="K77" s="3"/>
      <c r="L77" s="3"/>
      <c r="M77" s="3"/>
      <c r="N77" s="3"/>
      <c r="O77" s="3"/>
      <c r="P77" s="3"/>
      <c r="Q77" s="3"/>
      <c r="R77" s="3"/>
    </row>
    <row r="78" spans="1:18" ht="15" customHeight="1" x14ac:dyDescent="0.25">
      <c r="A78" s="3"/>
      <c r="B78" s="3"/>
      <c r="C78" s="3"/>
      <c r="D78" s="3"/>
      <c r="E78" s="3"/>
      <c r="F78" s="3"/>
      <c r="G78" s="3"/>
      <c r="H78" s="3"/>
      <c r="I78" s="3"/>
      <c r="J78" s="3"/>
      <c r="K78" s="3"/>
      <c r="L78" s="3"/>
      <c r="M78" s="3"/>
      <c r="N78" s="3"/>
      <c r="O78" s="3"/>
      <c r="P78" s="3"/>
      <c r="Q78" s="3"/>
      <c r="R78" s="3"/>
    </row>
    <row r="79" spans="1:18" ht="15" customHeight="1" x14ac:dyDescent="0.25">
      <c r="A79" s="3"/>
      <c r="B79" s="3"/>
      <c r="C79" s="3"/>
      <c r="D79" s="3"/>
      <c r="E79" s="3"/>
      <c r="F79" s="3"/>
      <c r="G79" s="3"/>
      <c r="H79" s="3"/>
      <c r="I79" s="3"/>
      <c r="J79" s="3"/>
      <c r="K79" s="3"/>
      <c r="L79" s="3"/>
      <c r="M79" s="3"/>
      <c r="N79" s="3"/>
      <c r="O79" s="3"/>
      <c r="P79" s="3"/>
      <c r="Q79" s="3"/>
      <c r="R79" s="3"/>
    </row>
    <row r="80" spans="1:18" ht="15" customHeight="1" x14ac:dyDescent="0.25">
      <c r="A80" s="3"/>
      <c r="B80" s="3"/>
      <c r="C80" s="3"/>
      <c r="D80" s="3"/>
      <c r="E80" s="3"/>
      <c r="F80" s="3"/>
      <c r="G80" s="3"/>
      <c r="H80" s="3"/>
      <c r="I80" s="3"/>
      <c r="J80" s="3"/>
      <c r="K80" s="3"/>
      <c r="L80" s="3"/>
      <c r="M80" s="3"/>
      <c r="N80" s="3"/>
      <c r="O80" s="3"/>
      <c r="P80" s="3"/>
      <c r="Q80" s="3"/>
      <c r="R80" s="3"/>
    </row>
    <row r="81" spans="1:18" ht="15.75" customHeight="1" x14ac:dyDescent="0.25">
      <c r="A81" s="3"/>
      <c r="B81" s="3"/>
      <c r="C81" s="3"/>
      <c r="D81" s="3"/>
      <c r="E81" s="3"/>
      <c r="F81" s="3"/>
      <c r="G81" s="3"/>
      <c r="H81" s="3"/>
      <c r="I81" s="3"/>
      <c r="J81" s="3"/>
      <c r="K81" s="3"/>
      <c r="L81" s="3"/>
      <c r="M81" s="3"/>
      <c r="N81" s="3"/>
      <c r="O81" s="3"/>
      <c r="P81" s="3"/>
      <c r="Q81" s="3"/>
      <c r="R81" s="3"/>
    </row>
    <row r="82" spans="1:18" ht="15.75" customHeight="1" x14ac:dyDescent="0.25">
      <c r="A82" s="3"/>
      <c r="B82" s="3"/>
      <c r="C82" s="3"/>
      <c r="D82" s="3"/>
      <c r="E82" s="3"/>
      <c r="F82" s="3"/>
      <c r="G82" s="3"/>
      <c r="H82" s="3"/>
      <c r="I82" s="3"/>
      <c r="J82" s="3"/>
      <c r="K82" s="3"/>
      <c r="L82" s="3"/>
      <c r="M82" s="3"/>
      <c r="N82" s="3"/>
      <c r="O82" s="3"/>
      <c r="P82" s="3"/>
      <c r="Q82" s="3"/>
      <c r="R82" s="3"/>
    </row>
    <row r="83" spans="1:18" ht="15.75" customHeight="1" x14ac:dyDescent="0.25">
      <c r="A83" s="3"/>
      <c r="B83" s="3"/>
      <c r="C83" s="3"/>
      <c r="D83" s="3"/>
      <c r="E83" s="3"/>
      <c r="F83" s="3"/>
      <c r="G83" s="3"/>
      <c r="H83" s="3"/>
      <c r="I83" s="3"/>
      <c r="J83" s="3"/>
      <c r="K83" s="3"/>
      <c r="L83" s="3"/>
      <c r="M83" s="3"/>
      <c r="N83" s="3"/>
      <c r="O83" s="3"/>
      <c r="P83" s="3"/>
      <c r="Q83" s="3"/>
      <c r="R83" s="3"/>
    </row>
    <row r="84" spans="1:18" ht="15.75" customHeight="1" x14ac:dyDescent="0.25">
      <c r="A84" s="3"/>
      <c r="B84" s="3"/>
      <c r="C84" s="3"/>
      <c r="D84" s="3"/>
      <c r="E84" s="3"/>
      <c r="F84" s="3"/>
      <c r="G84" s="3"/>
      <c r="H84" s="3"/>
      <c r="I84" s="3"/>
      <c r="J84" s="3"/>
      <c r="K84" s="3"/>
      <c r="L84" s="3"/>
      <c r="M84" s="3"/>
      <c r="N84" s="3"/>
      <c r="O84" s="3"/>
      <c r="P84" s="3"/>
      <c r="Q84" s="3"/>
      <c r="R84" s="3"/>
    </row>
    <row r="85" spans="1:18" ht="15.75" customHeight="1" x14ac:dyDescent="0.25">
      <c r="A85" s="3"/>
      <c r="B85" s="3"/>
      <c r="C85" s="3"/>
      <c r="D85" s="3"/>
      <c r="E85" s="3"/>
      <c r="F85" s="3"/>
      <c r="G85" s="3"/>
      <c r="H85" s="3"/>
      <c r="I85" s="3"/>
      <c r="J85" s="3"/>
      <c r="K85" s="3"/>
      <c r="L85" s="3"/>
      <c r="M85" s="3"/>
      <c r="N85" s="3"/>
      <c r="O85" s="3"/>
      <c r="P85" s="3"/>
      <c r="Q85" s="3"/>
      <c r="R85" s="3"/>
    </row>
    <row r="86" spans="1:18" ht="15.75" customHeight="1" x14ac:dyDescent="0.25">
      <c r="A86" s="3"/>
      <c r="B86" s="3"/>
      <c r="C86" s="3"/>
      <c r="D86" s="3"/>
      <c r="E86" s="3"/>
      <c r="F86" s="3"/>
      <c r="G86" s="3"/>
      <c r="H86" s="3"/>
      <c r="I86" s="3"/>
      <c r="J86" s="3"/>
      <c r="K86" s="3"/>
      <c r="L86" s="3"/>
      <c r="M86" s="3"/>
      <c r="N86" s="3"/>
      <c r="O86" s="3"/>
      <c r="P86" s="3"/>
      <c r="Q86" s="3"/>
      <c r="R86" s="3"/>
    </row>
    <row r="87" spans="1:18" ht="15.75" customHeight="1" x14ac:dyDescent="0.25">
      <c r="A87" s="3"/>
      <c r="B87" s="3"/>
      <c r="C87" s="3"/>
      <c r="D87" s="3"/>
      <c r="E87" s="3"/>
      <c r="F87" s="3"/>
      <c r="G87" s="3"/>
      <c r="H87" s="3"/>
      <c r="I87" s="3"/>
      <c r="J87" s="3"/>
      <c r="K87" s="3"/>
      <c r="L87" s="3"/>
      <c r="M87" s="3"/>
      <c r="N87" s="3"/>
      <c r="O87" s="3"/>
      <c r="P87" s="3"/>
      <c r="Q87" s="3"/>
      <c r="R87" s="3"/>
    </row>
    <row r="88" spans="1:18" ht="15.75" customHeight="1" x14ac:dyDescent="0.25">
      <c r="A88" s="3"/>
      <c r="B88" s="3"/>
      <c r="C88" s="3"/>
      <c r="D88" s="3"/>
      <c r="E88" s="3"/>
      <c r="F88" s="3"/>
      <c r="G88" s="3"/>
      <c r="H88" s="3"/>
      <c r="I88" s="3"/>
      <c r="J88" s="3"/>
      <c r="K88" s="3"/>
      <c r="L88" s="3"/>
      <c r="M88" s="3"/>
      <c r="N88" s="3"/>
      <c r="O88" s="3"/>
      <c r="P88" s="3"/>
      <c r="Q88" s="3"/>
      <c r="R88" s="3"/>
    </row>
    <row r="89" spans="1:18" ht="15.75" customHeight="1" x14ac:dyDescent="0.25">
      <c r="A89" s="3"/>
      <c r="B89" s="3"/>
      <c r="C89" s="3"/>
      <c r="D89" s="3"/>
      <c r="E89" s="3"/>
      <c r="F89" s="3"/>
      <c r="G89" s="3"/>
      <c r="H89" s="3"/>
      <c r="I89" s="3"/>
      <c r="J89" s="3"/>
      <c r="K89" s="3"/>
      <c r="L89" s="3"/>
      <c r="M89" s="3"/>
      <c r="N89" s="3"/>
      <c r="O89" s="3"/>
      <c r="P89" s="3"/>
      <c r="Q89" s="3"/>
      <c r="R89" s="3"/>
    </row>
    <row r="90" spans="1:18" ht="15.75" customHeight="1" x14ac:dyDescent="0.25">
      <c r="A90" s="3"/>
      <c r="B90" s="3"/>
      <c r="C90" s="3"/>
      <c r="D90" s="3"/>
      <c r="E90" s="3"/>
      <c r="F90" s="3"/>
      <c r="G90" s="3"/>
      <c r="H90" s="3"/>
      <c r="I90" s="3"/>
      <c r="J90" s="3"/>
      <c r="K90" s="3"/>
      <c r="L90" s="3"/>
      <c r="M90" s="3"/>
      <c r="N90" s="3"/>
      <c r="O90" s="3"/>
      <c r="P90" s="3"/>
      <c r="Q90" s="3"/>
      <c r="R90" s="3"/>
    </row>
    <row r="91" spans="1:18" ht="15.75" customHeight="1" x14ac:dyDescent="0.25">
      <c r="A91" s="3"/>
      <c r="B91" s="3"/>
      <c r="C91" s="3"/>
      <c r="D91" s="3"/>
      <c r="E91" s="3"/>
      <c r="F91" s="3"/>
      <c r="G91" s="3"/>
      <c r="H91" s="3"/>
      <c r="I91" s="3"/>
      <c r="J91" s="3"/>
      <c r="K91" s="3"/>
      <c r="L91" s="3"/>
      <c r="M91" s="3"/>
      <c r="N91" s="3"/>
      <c r="O91" s="3"/>
      <c r="P91" s="3"/>
      <c r="Q91" s="3"/>
      <c r="R91" s="3"/>
    </row>
    <row r="92" spans="1:18" ht="15.75" customHeight="1" x14ac:dyDescent="0.25">
      <c r="A92" s="3"/>
      <c r="B92" s="3"/>
      <c r="C92" s="3"/>
      <c r="D92" s="3"/>
      <c r="E92" s="3"/>
      <c r="F92" s="3"/>
      <c r="G92" s="3"/>
      <c r="H92" s="3"/>
      <c r="I92" s="3"/>
      <c r="J92" s="3"/>
      <c r="K92" s="3"/>
      <c r="L92" s="3"/>
      <c r="M92" s="3"/>
      <c r="N92" s="3"/>
      <c r="O92" s="3"/>
      <c r="P92" s="3"/>
      <c r="Q92" s="3"/>
      <c r="R92" s="3"/>
    </row>
    <row r="93" spans="1:18" ht="15.75" customHeight="1" x14ac:dyDescent="0.25">
      <c r="A93" s="3"/>
      <c r="B93" s="3"/>
      <c r="C93" s="3"/>
      <c r="D93" s="3"/>
      <c r="E93" s="3"/>
      <c r="F93" s="3"/>
      <c r="G93" s="3"/>
      <c r="H93" s="3"/>
      <c r="I93" s="3"/>
      <c r="J93" s="3"/>
      <c r="K93" s="3"/>
      <c r="L93" s="3"/>
      <c r="M93" s="3"/>
      <c r="N93" s="3"/>
      <c r="O93" s="3"/>
      <c r="P93" s="3"/>
      <c r="Q93" s="3"/>
      <c r="R93" s="3"/>
    </row>
    <row r="94" spans="1:18" ht="15.75" customHeight="1" x14ac:dyDescent="0.25">
      <c r="A94" s="3"/>
      <c r="B94" s="3"/>
      <c r="C94" s="3"/>
      <c r="D94" s="3"/>
      <c r="E94" s="3"/>
      <c r="F94" s="3"/>
      <c r="G94" s="3"/>
      <c r="H94" s="3"/>
      <c r="I94" s="3"/>
      <c r="J94" s="3"/>
      <c r="K94" s="3"/>
      <c r="L94" s="3"/>
      <c r="M94" s="3"/>
      <c r="N94" s="3"/>
      <c r="O94" s="3"/>
      <c r="P94" s="3"/>
      <c r="Q94" s="3"/>
      <c r="R94" s="3"/>
    </row>
    <row r="95" spans="1:18" ht="15.75" customHeight="1" x14ac:dyDescent="0.25">
      <c r="A95" s="3"/>
      <c r="B95" s="3"/>
      <c r="C95" s="3"/>
      <c r="D95" s="3"/>
      <c r="E95" s="3"/>
      <c r="F95" s="3"/>
      <c r="G95" s="3"/>
      <c r="H95" s="3"/>
      <c r="I95" s="3"/>
      <c r="J95" s="3"/>
      <c r="K95" s="3"/>
      <c r="L95" s="3"/>
      <c r="M95" s="3"/>
      <c r="N95" s="3"/>
      <c r="O95" s="3"/>
      <c r="P95" s="3"/>
      <c r="Q95" s="3"/>
      <c r="R95" s="3"/>
    </row>
    <row r="96" spans="1:18" ht="15.75" customHeight="1" x14ac:dyDescent="0.25">
      <c r="A96" s="3"/>
      <c r="B96" s="3"/>
      <c r="C96" s="3"/>
      <c r="D96" s="3"/>
      <c r="E96" s="3"/>
      <c r="F96" s="3"/>
      <c r="G96" s="3"/>
      <c r="H96" s="3"/>
      <c r="I96" s="3"/>
      <c r="J96" s="3"/>
      <c r="K96" s="3"/>
      <c r="L96" s="3"/>
      <c r="M96" s="3"/>
      <c r="N96" s="3"/>
      <c r="O96" s="3"/>
      <c r="P96" s="3"/>
      <c r="Q96" s="3"/>
      <c r="R96" s="3"/>
    </row>
    <row r="97" spans="1:18" ht="15.75" customHeight="1" x14ac:dyDescent="0.25">
      <c r="A97" s="3"/>
      <c r="B97" s="3"/>
      <c r="C97" s="3"/>
      <c r="D97" s="3"/>
      <c r="E97" s="3"/>
      <c r="F97" s="3"/>
      <c r="G97" s="3"/>
      <c r="H97" s="3"/>
      <c r="I97" s="3"/>
      <c r="J97" s="3"/>
      <c r="K97" s="3"/>
      <c r="L97" s="3"/>
      <c r="M97" s="3"/>
      <c r="N97" s="3"/>
      <c r="O97" s="3"/>
      <c r="P97" s="3"/>
      <c r="Q97" s="3"/>
      <c r="R97" s="3"/>
    </row>
    <row r="98" spans="1:18" ht="15.75" customHeight="1" x14ac:dyDescent="0.25">
      <c r="A98" s="3"/>
      <c r="B98" s="3"/>
      <c r="C98" s="3"/>
      <c r="D98" s="3"/>
      <c r="E98" s="3"/>
      <c r="F98" s="3"/>
      <c r="G98" s="3"/>
      <c r="H98" s="3"/>
      <c r="I98" s="3"/>
      <c r="J98" s="3"/>
      <c r="K98" s="3"/>
      <c r="L98" s="3"/>
      <c r="M98" s="3"/>
      <c r="N98" s="3"/>
      <c r="O98" s="3"/>
      <c r="P98" s="3"/>
      <c r="Q98" s="3"/>
      <c r="R98" s="3"/>
    </row>
    <row r="99" spans="1:18" ht="15.75" customHeight="1" x14ac:dyDescent="0.25">
      <c r="A99" s="3"/>
      <c r="B99" s="3"/>
      <c r="C99" s="3"/>
      <c r="D99" s="3"/>
      <c r="E99" s="3"/>
      <c r="F99" s="3"/>
      <c r="G99" s="3"/>
      <c r="H99" s="3"/>
      <c r="I99" s="3"/>
      <c r="J99" s="3"/>
      <c r="K99" s="3"/>
      <c r="L99" s="3"/>
      <c r="M99" s="3"/>
      <c r="N99" s="3"/>
      <c r="O99" s="3"/>
      <c r="P99" s="3"/>
      <c r="Q99" s="3"/>
      <c r="R99" s="3"/>
    </row>
    <row r="100" spans="1:18" ht="15.75" customHeight="1" x14ac:dyDescent="0.25">
      <c r="A100" s="3"/>
      <c r="B100" s="3"/>
      <c r="C100" s="3"/>
      <c r="D100" s="3"/>
      <c r="E100" s="3"/>
      <c r="F100" s="3"/>
      <c r="G100" s="3"/>
      <c r="H100" s="3"/>
      <c r="I100" s="3"/>
      <c r="J100" s="3"/>
      <c r="K100" s="3"/>
      <c r="L100" s="3"/>
      <c r="M100" s="3"/>
      <c r="N100" s="3"/>
      <c r="O100" s="3"/>
      <c r="P100" s="3"/>
      <c r="Q100" s="3"/>
      <c r="R100" s="3"/>
    </row>
    <row r="101" spans="1:18" ht="15.75" customHeight="1" x14ac:dyDescent="0.25">
      <c r="A101" s="3"/>
      <c r="B101" s="3"/>
      <c r="C101" s="3"/>
      <c r="D101" s="3"/>
      <c r="E101" s="3"/>
      <c r="F101" s="3"/>
      <c r="G101" s="3"/>
      <c r="H101" s="3"/>
      <c r="I101" s="3"/>
      <c r="J101" s="3"/>
      <c r="K101" s="3"/>
      <c r="L101" s="3"/>
      <c r="M101" s="3"/>
      <c r="N101" s="3"/>
      <c r="O101" s="3"/>
      <c r="P101" s="3"/>
      <c r="Q101" s="3"/>
      <c r="R101" s="3"/>
    </row>
    <row r="102" spans="1:18" ht="15.75" customHeight="1" x14ac:dyDescent="0.25">
      <c r="A102" s="3"/>
      <c r="B102" s="3"/>
      <c r="C102" s="3"/>
      <c r="D102" s="3"/>
      <c r="E102" s="3"/>
      <c r="F102" s="3"/>
      <c r="G102" s="3"/>
      <c r="H102" s="3"/>
      <c r="I102" s="3"/>
      <c r="J102" s="3"/>
      <c r="K102" s="3"/>
      <c r="L102" s="3"/>
      <c r="M102" s="3"/>
      <c r="N102" s="3"/>
      <c r="O102" s="3"/>
      <c r="P102" s="3"/>
      <c r="Q102" s="3"/>
      <c r="R102" s="3"/>
    </row>
    <row r="103" spans="1:18" ht="15.75" customHeight="1" x14ac:dyDescent="0.25">
      <c r="A103" s="3"/>
      <c r="B103" s="3"/>
      <c r="C103" s="3"/>
      <c r="D103" s="3"/>
      <c r="E103" s="3"/>
      <c r="F103" s="3"/>
      <c r="G103" s="3"/>
      <c r="H103" s="3"/>
      <c r="I103" s="3"/>
      <c r="J103" s="3"/>
      <c r="K103" s="3"/>
      <c r="L103" s="3"/>
      <c r="M103" s="3"/>
      <c r="N103" s="3"/>
      <c r="O103" s="3"/>
      <c r="P103" s="3"/>
      <c r="Q103" s="3"/>
      <c r="R103" s="3"/>
    </row>
    <row r="104" spans="1:18" ht="15.75" customHeight="1" x14ac:dyDescent="0.25">
      <c r="A104" s="3"/>
      <c r="B104" s="3"/>
      <c r="C104" s="3"/>
      <c r="D104" s="3"/>
      <c r="E104" s="3"/>
      <c r="F104" s="3"/>
      <c r="G104" s="3"/>
      <c r="H104" s="3"/>
      <c r="I104" s="3"/>
      <c r="J104" s="3"/>
      <c r="K104" s="3"/>
      <c r="L104" s="3"/>
      <c r="M104" s="3"/>
      <c r="N104" s="3"/>
      <c r="O104" s="3"/>
      <c r="P104" s="3"/>
      <c r="Q104" s="3"/>
      <c r="R104" s="3"/>
    </row>
    <row r="105" spans="1:18" ht="15.75" customHeight="1" x14ac:dyDescent="0.25">
      <c r="A105" s="3"/>
      <c r="B105" s="3"/>
      <c r="C105" s="3"/>
      <c r="D105" s="3"/>
      <c r="E105" s="3"/>
      <c r="F105" s="3"/>
      <c r="G105" s="3"/>
      <c r="H105" s="3"/>
      <c r="I105" s="3"/>
      <c r="J105" s="3"/>
      <c r="K105" s="3"/>
      <c r="L105" s="3"/>
      <c r="M105" s="3"/>
      <c r="N105" s="3"/>
      <c r="O105" s="3"/>
      <c r="P105" s="3"/>
      <c r="Q105" s="3"/>
      <c r="R105" s="3"/>
    </row>
    <row r="106" spans="1:18" ht="15.75" customHeight="1" x14ac:dyDescent="0.25">
      <c r="A106" s="3"/>
      <c r="B106" s="3"/>
      <c r="C106" s="3"/>
      <c r="D106" s="3"/>
      <c r="E106" s="3"/>
      <c r="F106" s="3"/>
      <c r="G106" s="3"/>
      <c r="H106" s="3"/>
      <c r="I106" s="3"/>
      <c r="J106" s="3"/>
      <c r="K106" s="3"/>
      <c r="L106" s="3"/>
      <c r="M106" s="3"/>
      <c r="N106" s="3"/>
      <c r="O106" s="3"/>
      <c r="P106" s="3"/>
      <c r="Q106" s="3"/>
      <c r="R106" s="3"/>
    </row>
    <row r="107" spans="1:18" ht="15.75" customHeight="1" x14ac:dyDescent="0.25">
      <c r="A107" s="3"/>
      <c r="B107" s="3"/>
      <c r="C107" s="3"/>
      <c r="D107" s="3"/>
      <c r="E107" s="3"/>
      <c r="F107" s="3"/>
      <c r="G107" s="3"/>
      <c r="H107" s="3"/>
      <c r="I107" s="3"/>
      <c r="J107" s="3"/>
      <c r="K107" s="3"/>
      <c r="L107" s="3"/>
      <c r="M107" s="3"/>
      <c r="N107" s="3"/>
      <c r="O107" s="3"/>
      <c r="P107" s="3"/>
      <c r="Q107" s="3"/>
      <c r="R107" s="3"/>
    </row>
    <row r="108" spans="1:18" ht="15.75" customHeight="1" x14ac:dyDescent="0.25">
      <c r="A108" s="3"/>
      <c r="B108" s="3"/>
      <c r="C108" s="3"/>
      <c r="D108" s="3"/>
      <c r="E108" s="3"/>
      <c r="F108" s="3"/>
      <c r="G108" s="3"/>
      <c r="H108" s="3"/>
      <c r="I108" s="3"/>
      <c r="J108" s="3"/>
      <c r="K108" s="3"/>
      <c r="L108" s="3"/>
      <c r="M108" s="3"/>
      <c r="N108" s="3"/>
      <c r="O108" s="3"/>
      <c r="P108" s="3"/>
      <c r="Q108" s="3"/>
      <c r="R108" s="3"/>
    </row>
    <row r="109" spans="1:18" ht="15.75" customHeight="1" x14ac:dyDescent="0.25">
      <c r="A109" s="3"/>
      <c r="B109" s="3"/>
      <c r="C109" s="3"/>
      <c r="D109" s="3"/>
      <c r="E109" s="3"/>
      <c r="F109" s="3"/>
      <c r="G109" s="3"/>
      <c r="H109" s="3"/>
      <c r="I109" s="3"/>
      <c r="J109" s="3"/>
      <c r="K109" s="3"/>
      <c r="L109" s="3"/>
      <c r="M109" s="3"/>
      <c r="N109" s="3"/>
      <c r="O109" s="3"/>
      <c r="P109" s="3"/>
      <c r="Q109" s="3"/>
      <c r="R109" s="3"/>
    </row>
    <row r="110" spans="1:18" ht="15.75" customHeight="1" x14ac:dyDescent="0.25">
      <c r="A110" s="3"/>
      <c r="B110" s="3"/>
      <c r="C110" s="3"/>
      <c r="D110" s="3"/>
      <c r="E110" s="3"/>
      <c r="F110" s="3"/>
      <c r="G110" s="3"/>
      <c r="H110" s="3"/>
      <c r="I110" s="3"/>
      <c r="J110" s="3"/>
      <c r="K110" s="3"/>
      <c r="L110" s="3"/>
      <c r="M110" s="3"/>
      <c r="N110" s="3"/>
      <c r="O110" s="3"/>
      <c r="P110" s="3"/>
      <c r="Q110" s="3"/>
      <c r="R110" s="3"/>
    </row>
    <row r="111" spans="1:18" ht="15.75" customHeight="1" x14ac:dyDescent="0.25">
      <c r="A111" s="3"/>
      <c r="B111" s="3"/>
      <c r="C111" s="3"/>
      <c r="D111" s="3"/>
      <c r="E111" s="3"/>
      <c r="F111" s="3"/>
      <c r="G111" s="3"/>
      <c r="H111" s="3"/>
      <c r="I111" s="3"/>
      <c r="J111" s="3"/>
      <c r="K111" s="3"/>
      <c r="L111" s="3"/>
      <c r="M111" s="3"/>
      <c r="N111" s="3"/>
      <c r="O111" s="3"/>
      <c r="P111" s="3"/>
      <c r="Q111" s="3"/>
      <c r="R111" s="3"/>
    </row>
    <row r="112" spans="1:18" ht="15.75" customHeight="1" x14ac:dyDescent="0.25">
      <c r="A112" s="3"/>
      <c r="B112" s="3"/>
      <c r="C112" s="3"/>
      <c r="D112" s="3"/>
      <c r="E112" s="3"/>
      <c r="F112" s="3"/>
      <c r="G112" s="3"/>
      <c r="H112" s="3"/>
      <c r="I112" s="3"/>
      <c r="J112" s="3"/>
      <c r="K112" s="3"/>
      <c r="L112" s="3"/>
      <c r="M112" s="3"/>
      <c r="N112" s="3"/>
      <c r="O112" s="3"/>
      <c r="P112" s="3"/>
      <c r="Q112" s="3"/>
      <c r="R112" s="3"/>
    </row>
    <row r="113" spans="1:18" ht="15.75" customHeight="1" x14ac:dyDescent="0.25">
      <c r="A113" s="3"/>
      <c r="B113" s="3"/>
      <c r="C113" s="3"/>
      <c r="D113" s="3"/>
      <c r="E113" s="3"/>
      <c r="F113" s="3"/>
      <c r="G113" s="3"/>
      <c r="H113" s="3"/>
      <c r="I113" s="3"/>
      <c r="J113" s="3"/>
      <c r="K113" s="3"/>
      <c r="L113" s="3"/>
      <c r="M113" s="3"/>
      <c r="N113" s="3"/>
      <c r="O113" s="3"/>
      <c r="P113" s="3"/>
      <c r="Q113" s="3"/>
      <c r="R113" s="3"/>
    </row>
    <row r="114" spans="1:18" ht="15.75" customHeight="1" x14ac:dyDescent="0.25">
      <c r="A114" s="3"/>
      <c r="B114" s="3"/>
      <c r="C114" s="3"/>
      <c r="D114" s="3"/>
      <c r="E114" s="3"/>
      <c r="F114" s="3"/>
      <c r="G114" s="3"/>
      <c r="H114" s="3"/>
      <c r="I114" s="3"/>
      <c r="J114" s="3"/>
      <c r="K114" s="3"/>
      <c r="L114" s="3"/>
      <c r="M114" s="3"/>
      <c r="N114" s="3"/>
      <c r="O114" s="3"/>
      <c r="P114" s="3"/>
      <c r="Q114" s="3"/>
      <c r="R114" s="3"/>
    </row>
    <row r="115" spans="1:18" ht="15.75" customHeight="1" x14ac:dyDescent="0.25">
      <c r="A115" s="3"/>
      <c r="B115" s="3"/>
      <c r="C115" s="3"/>
      <c r="D115" s="3"/>
      <c r="E115" s="3"/>
      <c r="F115" s="3"/>
      <c r="G115" s="3"/>
      <c r="H115" s="3"/>
      <c r="I115" s="3"/>
      <c r="J115" s="3"/>
      <c r="K115" s="3"/>
      <c r="L115" s="3"/>
      <c r="M115" s="3"/>
      <c r="N115" s="3"/>
      <c r="O115" s="3"/>
      <c r="P115" s="3"/>
      <c r="Q115" s="3"/>
      <c r="R115" s="3"/>
    </row>
    <row r="116" spans="1:18" ht="15.75" customHeight="1" x14ac:dyDescent="0.25">
      <c r="A116" s="3"/>
      <c r="B116" s="3"/>
      <c r="C116" s="3"/>
      <c r="D116" s="3"/>
      <c r="E116" s="3"/>
      <c r="F116" s="3"/>
      <c r="G116" s="3"/>
      <c r="H116" s="3"/>
      <c r="I116" s="3"/>
      <c r="J116" s="3"/>
      <c r="K116" s="3"/>
      <c r="L116" s="3"/>
      <c r="M116" s="3"/>
      <c r="N116" s="3"/>
      <c r="O116" s="3"/>
      <c r="P116" s="3"/>
      <c r="Q116" s="3"/>
      <c r="R116" s="3"/>
    </row>
    <row r="117" spans="1:18" ht="15.75" customHeight="1" x14ac:dyDescent="0.25">
      <c r="A117" s="3"/>
      <c r="B117" s="3"/>
      <c r="C117" s="3"/>
      <c r="D117" s="3"/>
      <c r="E117" s="3"/>
      <c r="F117" s="3"/>
      <c r="G117" s="3"/>
      <c r="H117" s="3"/>
      <c r="I117" s="3"/>
      <c r="J117" s="3"/>
      <c r="K117" s="3"/>
      <c r="L117" s="3"/>
      <c r="M117" s="3"/>
      <c r="N117" s="3"/>
      <c r="O117" s="3"/>
      <c r="P117" s="3"/>
      <c r="Q117" s="3"/>
      <c r="R117" s="3"/>
    </row>
    <row r="118" spans="1:18" ht="15.75" customHeight="1" x14ac:dyDescent="0.25">
      <c r="A118" s="3"/>
      <c r="B118" s="3"/>
      <c r="C118" s="3"/>
      <c r="D118" s="3"/>
      <c r="E118" s="3"/>
      <c r="F118" s="3"/>
      <c r="G118" s="3"/>
      <c r="H118" s="3"/>
      <c r="I118" s="3"/>
      <c r="J118" s="3"/>
      <c r="K118" s="3"/>
      <c r="L118" s="3"/>
      <c r="M118" s="3"/>
      <c r="N118" s="3"/>
      <c r="O118" s="3"/>
      <c r="P118" s="3"/>
      <c r="Q118" s="3"/>
      <c r="R118" s="3"/>
    </row>
    <row r="119" spans="1:18" ht="15.75" customHeight="1" x14ac:dyDescent="0.25">
      <c r="A119" s="3"/>
      <c r="B119" s="3"/>
      <c r="C119" s="3"/>
      <c r="D119" s="3"/>
      <c r="E119" s="3"/>
      <c r="F119" s="3"/>
      <c r="G119" s="3"/>
      <c r="H119" s="3"/>
      <c r="I119" s="3"/>
      <c r="J119" s="3"/>
      <c r="K119" s="3"/>
      <c r="L119" s="3"/>
      <c r="M119" s="3"/>
      <c r="N119" s="3"/>
      <c r="O119" s="3"/>
      <c r="P119" s="3"/>
      <c r="Q119" s="3"/>
      <c r="R119" s="3"/>
    </row>
    <row r="120" spans="1:18" ht="15.75" customHeight="1" x14ac:dyDescent="0.25">
      <c r="A120" s="3"/>
      <c r="B120" s="3"/>
      <c r="C120" s="3"/>
      <c r="D120" s="3"/>
      <c r="E120" s="3"/>
      <c r="F120" s="3"/>
      <c r="G120" s="3"/>
      <c r="H120" s="3"/>
      <c r="I120" s="3"/>
      <c r="J120" s="3"/>
      <c r="K120" s="3"/>
      <c r="L120" s="3"/>
      <c r="M120" s="3"/>
      <c r="N120" s="3"/>
      <c r="O120" s="3"/>
      <c r="P120" s="3"/>
      <c r="Q120" s="3"/>
      <c r="R120" s="3"/>
    </row>
    <row r="121" spans="1:18" ht="15.75" customHeight="1" x14ac:dyDescent="0.25">
      <c r="A121" s="3"/>
      <c r="B121" s="3"/>
      <c r="C121" s="3"/>
      <c r="D121" s="3"/>
      <c r="E121" s="3"/>
      <c r="F121" s="3"/>
      <c r="G121" s="3"/>
      <c r="H121" s="3"/>
      <c r="I121" s="3"/>
      <c r="J121" s="3"/>
      <c r="K121" s="3"/>
      <c r="L121" s="3"/>
      <c r="M121" s="3"/>
      <c r="N121" s="3"/>
      <c r="O121" s="3"/>
      <c r="P121" s="3"/>
      <c r="Q121" s="3"/>
      <c r="R121" s="3"/>
    </row>
    <row r="122" spans="1:18" ht="15.75" customHeight="1" x14ac:dyDescent="0.25">
      <c r="A122" s="3"/>
      <c r="B122" s="3"/>
      <c r="C122" s="3"/>
      <c r="D122" s="3"/>
      <c r="E122" s="3"/>
      <c r="F122" s="3"/>
      <c r="G122" s="3"/>
      <c r="H122" s="3"/>
      <c r="I122" s="3"/>
      <c r="J122" s="3"/>
      <c r="K122" s="3"/>
      <c r="L122" s="3"/>
      <c r="M122" s="3"/>
      <c r="N122" s="3"/>
      <c r="O122" s="3"/>
      <c r="P122" s="3"/>
      <c r="Q122" s="3"/>
      <c r="R122" s="3"/>
    </row>
    <row r="123" spans="1:18" ht="15.75" customHeight="1" x14ac:dyDescent="0.25">
      <c r="A123" s="3"/>
      <c r="B123" s="3"/>
      <c r="C123" s="3"/>
      <c r="D123" s="3"/>
      <c r="E123" s="3"/>
      <c r="F123" s="3"/>
      <c r="G123" s="3"/>
      <c r="H123" s="3"/>
      <c r="I123" s="3"/>
      <c r="J123" s="3"/>
      <c r="K123" s="3"/>
      <c r="L123" s="3"/>
      <c r="M123" s="3"/>
      <c r="N123" s="3"/>
      <c r="O123" s="3"/>
      <c r="P123" s="3"/>
      <c r="Q123" s="3"/>
      <c r="R123" s="3"/>
    </row>
    <row r="124" spans="1:18" ht="15.75" customHeight="1" x14ac:dyDescent="0.25">
      <c r="A124" s="3"/>
      <c r="B124" s="3"/>
      <c r="C124" s="3"/>
      <c r="D124" s="3"/>
      <c r="E124" s="3"/>
      <c r="F124" s="3"/>
      <c r="G124" s="3"/>
      <c r="H124" s="3"/>
      <c r="I124" s="3"/>
      <c r="J124" s="3"/>
      <c r="K124" s="3"/>
      <c r="L124" s="3"/>
      <c r="M124" s="3"/>
      <c r="N124" s="3"/>
      <c r="O124" s="3"/>
      <c r="P124" s="3"/>
      <c r="Q124" s="3"/>
      <c r="R124" s="3"/>
    </row>
    <row r="125" spans="1:18" ht="15.75" customHeight="1" x14ac:dyDescent="0.25">
      <c r="A125" s="3"/>
      <c r="B125" s="3"/>
      <c r="C125" s="3"/>
      <c r="D125" s="3"/>
      <c r="E125" s="3"/>
      <c r="F125" s="3"/>
      <c r="G125" s="3"/>
      <c r="H125" s="3"/>
      <c r="I125" s="3"/>
      <c r="J125" s="3"/>
      <c r="K125" s="3"/>
      <c r="L125" s="3"/>
      <c r="M125" s="3"/>
      <c r="N125" s="3"/>
      <c r="O125" s="3"/>
      <c r="P125" s="3"/>
      <c r="Q125" s="3"/>
      <c r="R125" s="3"/>
    </row>
    <row r="126" spans="1:18" ht="15.75" customHeight="1" x14ac:dyDescent="0.25">
      <c r="A126" s="3"/>
      <c r="B126" s="3"/>
      <c r="C126" s="3"/>
      <c r="D126" s="3"/>
      <c r="E126" s="3"/>
      <c r="F126" s="3"/>
      <c r="G126" s="3"/>
      <c r="H126" s="3"/>
      <c r="I126" s="3"/>
      <c r="J126" s="3"/>
      <c r="K126" s="3"/>
      <c r="L126" s="3"/>
      <c r="M126" s="3"/>
      <c r="N126" s="3"/>
      <c r="O126" s="3"/>
      <c r="P126" s="3"/>
      <c r="Q126" s="3"/>
      <c r="R126" s="3"/>
    </row>
    <row r="127" spans="1:18" ht="15.75" customHeight="1" x14ac:dyDescent="0.25">
      <c r="A127" s="3"/>
      <c r="B127" s="3"/>
      <c r="C127" s="3"/>
      <c r="D127" s="3"/>
      <c r="E127" s="3"/>
      <c r="F127" s="3"/>
      <c r="G127" s="3"/>
      <c r="H127" s="3"/>
      <c r="I127" s="3"/>
      <c r="J127" s="3"/>
      <c r="K127" s="3"/>
      <c r="L127" s="3"/>
      <c r="M127" s="3"/>
      <c r="N127" s="3"/>
      <c r="O127" s="3"/>
      <c r="P127" s="3"/>
      <c r="Q127" s="3"/>
      <c r="R127" s="3"/>
    </row>
    <row r="128" spans="1:18" ht="15.75" customHeight="1" x14ac:dyDescent="0.25">
      <c r="A128" s="3"/>
      <c r="B128" s="3"/>
      <c r="C128" s="3"/>
      <c r="D128" s="3"/>
      <c r="E128" s="3"/>
      <c r="F128" s="3"/>
      <c r="G128" s="3"/>
      <c r="H128" s="3"/>
      <c r="I128" s="3"/>
      <c r="J128" s="3"/>
      <c r="K128" s="3"/>
      <c r="L128" s="3"/>
      <c r="M128" s="3"/>
      <c r="N128" s="3"/>
      <c r="O128" s="3"/>
      <c r="P128" s="3"/>
      <c r="Q128" s="3"/>
      <c r="R128" s="3"/>
    </row>
    <row r="129" spans="1:18" ht="15.75" customHeight="1" x14ac:dyDescent="0.25">
      <c r="A129" s="3"/>
      <c r="B129" s="3"/>
      <c r="C129" s="3"/>
      <c r="D129" s="3"/>
      <c r="E129" s="3"/>
      <c r="F129" s="3"/>
      <c r="G129" s="3"/>
      <c r="H129" s="3"/>
      <c r="I129" s="3"/>
      <c r="J129" s="3"/>
      <c r="K129" s="3"/>
      <c r="L129" s="3"/>
      <c r="M129" s="3"/>
      <c r="N129" s="3"/>
      <c r="O129" s="3"/>
      <c r="P129" s="3"/>
      <c r="Q129" s="3"/>
      <c r="R129" s="3"/>
    </row>
    <row r="130" spans="1:18" ht="15.75" customHeight="1" x14ac:dyDescent="0.25">
      <c r="A130" s="3"/>
      <c r="B130" s="3"/>
      <c r="C130" s="3"/>
      <c r="D130" s="3"/>
      <c r="E130" s="3"/>
      <c r="F130" s="3"/>
      <c r="G130" s="3"/>
      <c r="H130" s="3"/>
      <c r="I130" s="3"/>
      <c r="J130" s="3"/>
      <c r="K130" s="3"/>
      <c r="L130" s="3"/>
      <c r="M130" s="3"/>
      <c r="N130" s="3"/>
      <c r="O130" s="3"/>
      <c r="P130" s="3"/>
      <c r="Q130" s="3"/>
      <c r="R130" s="3"/>
    </row>
    <row r="131" spans="1:18" ht="15.75" customHeight="1" x14ac:dyDescent="0.25">
      <c r="A131" s="3"/>
      <c r="B131" s="3"/>
      <c r="C131" s="3"/>
      <c r="D131" s="3"/>
      <c r="E131" s="3"/>
      <c r="F131" s="3"/>
      <c r="G131" s="3"/>
      <c r="H131" s="3"/>
      <c r="I131" s="3"/>
      <c r="J131" s="3"/>
      <c r="K131" s="3"/>
      <c r="L131" s="3"/>
      <c r="M131" s="3"/>
      <c r="N131" s="3"/>
      <c r="O131" s="3"/>
      <c r="P131" s="3"/>
      <c r="Q131" s="3"/>
      <c r="R131" s="3"/>
    </row>
    <row r="132" spans="1:18" ht="15.75" customHeight="1" x14ac:dyDescent="0.25">
      <c r="A132" s="3"/>
      <c r="B132" s="3"/>
      <c r="C132" s="3"/>
      <c r="D132" s="3"/>
      <c r="E132" s="3"/>
      <c r="F132" s="3"/>
      <c r="G132" s="3"/>
      <c r="H132" s="3"/>
      <c r="I132" s="3"/>
      <c r="J132" s="3"/>
      <c r="K132" s="3"/>
      <c r="L132" s="3"/>
      <c r="M132" s="3"/>
      <c r="N132" s="3"/>
      <c r="O132" s="3"/>
      <c r="P132" s="3"/>
      <c r="Q132" s="3"/>
      <c r="R132" s="3"/>
    </row>
    <row r="133" spans="1:18" ht="15.75" customHeight="1" x14ac:dyDescent="0.25">
      <c r="A133" s="3"/>
      <c r="B133" s="3"/>
      <c r="C133" s="3"/>
      <c r="D133" s="3"/>
      <c r="E133" s="3"/>
      <c r="F133" s="3"/>
      <c r="G133" s="3"/>
      <c r="H133" s="3"/>
      <c r="I133" s="3"/>
      <c r="J133" s="3"/>
      <c r="K133" s="3"/>
      <c r="L133" s="3"/>
      <c r="M133" s="3"/>
      <c r="N133" s="3"/>
      <c r="O133" s="3"/>
      <c r="P133" s="3"/>
      <c r="Q133" s="3"/>
      <c r="R133" s="3"/>
    </row>
    <row r="134" spans="1:18" ht="15.75" customHeight="1" x14ac:dyDescent="0.25">
      <c r="A134" s="3"/>
      <c r="B134" s="3"/>
      <c r="C134" s="3"/>
      <c r="D134" s="3"/>
      <c r="E134" s="3"/>
      <c r="F134" s="3"/>
      <c r="G134" s="3"/>
      <c r="H134" s="3"/>
      <c r="I134" s="3"/>
      <c r="J134" s="3"/>
      <c r="K134" s="3"/>
      <c r="L134" s="3"/>
      <c r="M134" s="3"/>
      <c r="N134" s="3"/>
      <c r="O134" s="3"/>
      <c r="P134" s="3"/>
      <c r="Q134" s="3"/>
      <c r="R134" s="3"/>
    </row>
    <row r="135" spans="1:18" ht="15.75" customHeight="1" x14ac:dyDescent="0.25">
      <c r="A135" s="3"/>
      <c r="B135" s="3"/>
      <c r="C135" s="3"/>
      <c r="D135" s="3"/>
      <c r="E135" s="3"/>
      <c r="F135" s="3"/>
      <c r="G135" s="3"/>
      <c r="H135" s="3"/>
      <c r="I135" s="3"/>
      <c r="J135" s="3"/>
      <c r="K135" s="3"/>
      <c r="L135" s="3"/>
      <c r="M135" s="3"/>
      <c r="N135" s="3"/>
      <c r="O135" s="3"/>
      <c r="P135" s="3"/>
      <c r="Q135" s="3"/>
      <c r="R135" s="3"/>
    </row>
    <row r="136" spans="1:18" ht="15.75" customHeight="1" x14ac:dyDescent="0.25">
      <c r="A136" s="3"/>
      <c r="B136" s="3"/>
      <c r="C136" s="3"/>
      <c r="D136" s="3"/>
      <c r="E136" s="3"/>
      <c r="F136" s="3"/>
      <c r="G136" s="3"/>
      <c r="H136" s="3"/>
      <c r="I136" s="3"/>
      <c r="J136" s="3"/>
      <c r="K136" s="3"/>
      <c r="L136" s="3"/>
      <c r="M136" s="3"/>
      <c r="N136" s="3"/>
      <c r="O136" s="3"/>
      <c r="P136" s="3"/>
      <c r="Q136" s="3"/>
      <c r="R136" s="3"/>
    </row>
    <row r="137" spans="1:18" ht="15.75" customHeight="1" x14ac:dyDescent="0.25">
      <c r="A137" s="3"/>
      <c r="B137" s="3"/>
      <c r="C137" s="3"/>
      <c r="D137" s="3"/>
      <c r="E137" s="3"/>
      <c r="F137" s="3"/>
      <c r="G137" s="3"/>
      <c r="H137" s="3"/>
      <c r="I137" s="3"/>
      <c r="J137" s="3"/>
      <c r="K137" s="3"/>
      <c r="L137" s="3"/>
      <c r="M137" s="3"/>
      <c r="N137" s="3"/>
      <c r="O137" s="3"/>
      <c r="P137" s="3"/>
      <c r="Q137" s="3"/>
      <c r="R137" s="3"/>
    </row>
    <row r="138" spans="1:18" ht="15.75" customHeight="1" x14ac:dyDescent="0.25">
      <c r="A138" s="3"/>
      <c r="B138" s="3"/>
      <c r="C138" s="3"/>
      <c r="D138" s="3"/>
      <c r="E138" s="3"/>
      <c r="F138" s="3"/>
      <c r="G138" s="3"/>
      <c r="H138" s="3"/>
      <c r="I138" s="3"/>
      <c r="J138" s="3"/>
      <c r="K138" s="3"/>
      <c r="L138" s="3"/>
      <c r="M138" s="3"/>
      <c r="N138" s="3"/>
      <c r="O138" s="3"/>
      <c r="P138" s="3"/>
      <c r="Q138" s="3"/>
      <c r="R138" s="3"/>
    </row>
    <row r="139" spans="1:18" ht="15.75" customHeight="1" x14ac:dyDescent="0.25">
      <c r="A139" s="3"/>
      <c r="B139" s="3"/>
      <c r="C139" s="3"/>
      <c r="D139" s="3"/>
      <c r="E139" s="3"/>
      <c r="F139" s="3"/>
      <c r="G139" s="3"/>
      <c r="H139" s="3"/>
      <c r="I139" s="3"/>
      <c r="J139" s="3"/>
      <c r="K139" s="3"/>
      <c r="L139" s="3"/>
      <c r="M139" s="3"/>
      <c r="N139" s="3"/>
      <c r="O139" s="3"/>
      <c r="P139" s="3"/>
      <c r="Q139" s="3"/>
      <c r="R139" s="3"/>
    </row>
    <row r="140" spans="1:18" ht="15.75" customHeight="1" x14ac:dyDescent="0.25">
      <c r="A140" s="3"/>
      <c r="B140" s="3"/>
      <c r="C140" s="3"/>
      <c r="D140" s="3"/>
      <c r="E140" s="3"/>
      <c r="F140" s="3"/>
      <c r="G140" s="3"/>
      <c r="H140" s="3"/>
      <c r="I140" s="3"/>
      <c r="J140" s="3"/>
      <c r="K140" s="3"/>
      <c r="L140" s="3"/>
      <c r="M140" s="3"/>
      <c r="N140" s="3"/>
      <c r="O140" s="3"/>
      <c r="P140" s="3"/>
      <c r="Q140" s="3"/>
      <c r="R140" s="3"/>
    </row>
    <row r="141" spans="1:18" ht="15.75" customHeight="1" x14ac:dyDescent="0.25">
      <c r="A141" s="3"/>
      <c r="B141" s="3"/>
      <c r="C141" s="3"/>
      <c r="D141" s="3"/>
      <c r="E141" s="3"/>
      <c r="F141" s="3"/>
      <c r="G141" s="3"/>
      <c r="H141" s="3"/>
      <c r="I141" s="3"/>
      <c r="J141" s="3"/>
      <c r="K141" s="3"/>
      <c r="L141" s="3"/>
      <c r="M141" s="3"/>
      <c r="N141" s="3"/>
      <c r="O141" s="3"/>
      <c r="P141" s="3"/>
      <c r="Q141" s="3"/>
      <c r="R141" s="3"/>
    </row>
    <row r="142" spans="1:18" ht="15.75" customHeight="1" x14ac:dyDescent="0.25">
      <c r="A142" s="3"/>
      <c r="B142" s="3"/>
      <c r="C142" s="3"/>
      <c r="D142" s="3"/>
      <c r="E142" s="3"/>
      <c r="F142" s="3"/>
      <c r="G142" s="3"/>
      <c r="H142" s="3"/>
      <c r="I142" s="3"/>
      <c r="J142" s="3"/>
      <c r="K142" s="3"/>
      <c r="L142" s="3"/>
      <c r="M142" s="3"/>
      <c r="N142" s="3"/>
      <c r="O142" s="3"/>
      <c r="P142" s="3"/>
      <c r="Q142" s="3"/>
      <c r="R142" s="3"/>
    </row>
    <row r="143" spans="1:18" ht="15.75" customHeight="1" x14ac:dyDescent="0.25">
      <c r="A143" s="3"/>
      <c r="B143" s="3"/>
      <c r="C143" s="3"/>
      <c r="D143" s="3"/>
      <c r="E143" s="3"/>
      <c r="F143" s="3"/>
      <c r="G143" s="3"/>
      <c r="H143" s="3"/>
      <c r="I143" s="3"/>
      <c r="J143" s="3"/>
      <c r="K143" s="3"/>
      <c r="L143" s="3"/>
      <c r="M143" s="3"/>
      <c r="N143" s="3"/>
      <c r="O143" s="3"/>
      <c r="P143" s="3"/>
      <c r="Q143" s="3"/>
      <c r="R143" s="3"/>
    </row>
    <row r="144" spans="1:18" ht="15.75" customHeight="1" x14ac:dyDescent="0.25">
      <c r="A144" s="3"/>
      <c r="B144" s="3"/>
      <c r="C144" s="3"/>
      <c r="D144" s="3"/>
      <c r="E144" s="3"/>
      <c r="F144" s="3"/>
      <c r="G144" s="3"/>
      <c r="H144" s="3"/>
      <c r="I144" s="3"/>
      <c r="J144" s="3"/>
      <c r="K144" s="3"/>
      <c r="L144" s="3"/>
      <c r="M144" s="3"/>
      <c r="N144" s="3"/>
      <c r="O144" s="3"/>
      <c r="P144" s="3"/>
      <c r="Q144" s="3"/>
      <c r="R144" s="3"/>
    </row>
    <row r="145" spans="1:18" ht="15.75" customHeight="1" x14ac:dyDescent="0.25">
      <c r="A145" s="3"/>
      <c r="B145" s="3"/>
      <c r="C145" s="3"/>
      <c r="D145" s="3"/>
      <c r="E145" s="3"/>
      <c r="F145" s="3"/>
      <c r="G145" s="3"/>
      <c r="H145" s="3"/>
      <c r="I145" s="3"/>
      <c r="J145" s="3"/>
      <c r="K145" s="3"/>
      <c r="L145" s="3"/>
      <c r="M145" s="3"/>
      <c r="N145" s="3"/>
      <c r="O145" s="3"/>
      <c r="P145" s="3"/>
      <c r="Q145" s="3"/>
      <c r="R145" s="3"/>
    </row>
    <row r="146" spans="1:18" ht="15.75" customHeight="1" x14ac:dyDescent="0.25">
      <c r="A146" s="3"/>
      <c r="B146" s="3"/>
      <c r="C146" s="3"/>
      <c r="D146" s="3"/>
      <c r="E146" s="3"/>
      <c r="F146" s="3"/>
      <c r="G146" s="3"/>
      <c r="H146" s="3"/>
      <c r="I146" s="3"/>
      <c r="J146" s="3"/>
      <c r="K146" s="3"/>
      <c r="L146" s="3"/>
      <c r="M146" s="3"/>
      <c r="N146" s="3"/>
      <c r="O146" s="3"/>
      <c r="P146" s="3"/>
      <c r="Q146" s="3"/>
      <c r="R146" s="3"/>
    </row>
    <row r="147" spans="1:18" ht="15.75" customHeight="1" x14ac:dyDescent="0.25">
      <c r="A147" s="3"/>
      <c r="B147" s="3"/>
      <c r="C147" s="3"/>
      <c r="D147" s="3"/>
      <c r="E147" s="3"/>
      <c r="F147" s="3"/>
      <c r="G147" s="3"/>
      <c r="H147" s="3"/>
      <c r="I147" s="3"/>
      <c r="J147" s="3"/>
      <c r="K147" s="3"/>
      <c r="L147" s="3"/>
      <c r="M147" s="3"/>
      <c r="N147" s="3"/>
      <c r="O147" s="3"/>
      <c r="P147" s="3"/>
      <c r="Q147" s="3"/>
      <c r="R147" s="3"/>
    </row>
    <row r="148" spans="1:18" ht="15.75" customHeight="1" x14ac:dyDescent="0.25">
      <c r="A148" s="3"/>
      <c r="B148" s="3"/>
      <c r="C148" s="3"/>
      <c r="D148" s="3"/>
      <c r="E148" s="3"/>
      <c r="F148" s="3"/>
      <c r="G148" s="3"/>
      <c r="H148" s="3"/>
      <c r="I148" s="3"/>
      <c r="J148" s="3"/>
      <c r="K148" s="3"/>
      <c r="L148" s="3"/>
      <c r="M148" s="3"/>
      <c r="N148" s="3"/>
      <c r="O148" s="3"/>
      <c r="P148" s="3"/>
      <c r="Q148" s="3"/>
      <c r="R148" s="3"/>
    </row>
    <row r="149" spans="1:18" ht="15.75" customHeight="1" x14ac:dyDescent="0.25">
      <c r="A149" s="3"/>
      <c r="B149" s="3"/>
      <c r="C149" s="3"/>
      <c r="D149" s="3"/>
      <c r="E149" s="3"/>
      <c r="F149" s="3"/>
      <c r="G149" s="3"/>
      <c r="H149" s="3"/>
      <c r="I149" s="3"/>
      <c r="J149" s="3"/>
      <c r="K149" s="3"/>
      <c r="L149" s="3"/>
      <c r="M149" s="3"/>
      <c r="N149" s="3"/>
      <c r="O149" s="3"/>
      <c r="P149" s="3"/>
      <c r="Q149" s="3"/>
      <c r="R149" s="3"/>
    </row>
    <row r="150" spans="1:18" ht="15.75" customHeight="1" x14ac:dyDescent="0.25">
      <c r="A150" s="3"/>
      <c r="B150" s="3"/>
      <c r="C150" s="3"/>
      <c r="D150" s="3"/>
      <c r="E150" s="3"/>
      <c r="F150" s="3"/>
      <c r="G150" s="3"/>
      <c r="H150" s="3"/>
      <c r="I150" s="3"/>
      <c r="J150" s="3"/>
      <c r="K150" s="3"/>
      <c r="L150" s="3"/>
      <c r="M150" s="3"/>
      <c r="N150" s="3"/>
      <c r="O150" s="3"/>
      <c r="P150" s="3"/>
      <c r="Q150" s="3"/>
      <c r="R150" s="3"/>
    </row>
    <row r="151" spans="1:18" ht="15.75" customHeight="1" x14ac:dyDescent="0.25">
      <c r="A151" s="3"/>
      <c r="B151" s="3"/>
      <c r="C151" s="3"/>
      <c r="D151" s="3"/>
      <c r="E151" s="3"/>
      <c r="F151" s="3"/>
      <c r="G151" s="3"/>
      <c r="H151" s="3"/>
      <c r="I151" s="3"/>
      <c r="J151" s="3"/>
      <c r="K151" s="3"/>
      <c r="L151" s="3"/>
      <c r="M151" s="3"/>
      <c r="N151" s="3"/>
      <c r="O151" s="3"/>
      <c r="P151" s="3"/>
      <c r="Q151" s="3"/>
      <c r="R151" s="3"/>
    </row>
    <row r="152" spans="1:18" ht="15.75" customHeight="1" x14ac:dyDescent="0.25">
      <c r="A152" s="3"/>
      <c r="B152" s="3"/>
      <c r="C152" s="3"/>
      <c r="D152" s="3"/>
      <c r="E152" s="3"/>
      <c r="F152" s="3"/>
      <c r="G152" s="3"/>
      <c r="H152" s="3"/>
      <c r="I152" s="3"/>
      <c r="J152" s="3"/>
      <c r="K152" s="3"/>
      <c r="L152" s="3"/>
      <c r="M152" s="3"/>
      <c r="N152" s="3"/>
      <c r="O152" s="3"/>
      <c r="P152" s="3"/>
      <c r="Q152" s="3"/>
      <c r="R152" s="3"/>
    </row>
    <row r="153" spans="1:18" ht="15.75" customHeight="1" x14ac:dyDescent="0.25">
      <c r="A153" s="3"/>
      <c r="B153" s="3"/>
      <c r="C153" s="3"/>
      <c r="D153" s="3"/>
      <c r="E153" s="3"/>
      <c r="F153" s="3"/>
      <c r="G153" s="3"/>
      <c r="H153" s="3"/>
      <c r="I153" s="3"/>
      <c r="J153" s="3"/>
      <c r="K153" s="3"/>
      <c r="L153" s="3"/>
      <c r="M153" s="3"/>
      <c r="N153" s="3"/>
      <c r="O153" s="3"/>
      <c r="P153" s="3"/>
      <c r="Q153" s="3"/>
      <c r="R153" s="3"/>
    </row>
    <row r="154" spans="1:18" ht="15.75" customHeight="1" x14ac:dyDescent="0.25">
      <c r="A154" s="3"/>
      <c r="B154" s="3"/>
      <c r="C154" s="3"/>
      <c r="D154" s="3"/>
      <c r="E154" s="3"/>
      <c r="F154" s="3"/>
      <c r="G154" s="3"/>
      <c r="H154" s="3"/>
      <c r="I154" s="3"/>
      <c r="J154" s="3"/>
      <c r="K154" s="3"/>
      <c r="L154" s="3"/>
      <c r="M154" s="3"/>
      <c r="N154" s="3"/>
      <c r="O154" s="3"/>
      <c r="P154" s="3"/>
      <c r="Q154" s="3"/>
      <c r="R154" s="3"/>
    </row>
    <row r="155" spans="1:18" ht="15.75" customHeight="1" x14ac:dyDescent="0.25">
      <c r="A155" s="3"/>
      <c r="B155" s="3"/>
      <c r="C155" s="3"/>
      <c r="D155" s="3"/>
      <c r="E155" s="3"/>
      <c r="F155" s="3"/>
      <c r="G155" s="3"/>
      <c r="H155" s="3"/>
      <c r="I155" s="3"/>
      <c r="J155" s="3"/>
      <c r="K155" s="3"/>
      <c r="L155" s="3"/>
      <c r="M155" s="3"/>
      <c r="N155" s="3"/>
      <c r="O155" s="3"/>
      <c r="P155" s="3"/>
      <c r="Q155" s="3"/>
      <c r="R155" s="3"/>
    </row>
    <row r="156" spans="1:18" ht="15.75" customHeight="1" x14ac:dyDescent="0.25">
      <c r="A156" s="3"/>
      <c r="B156" s="3"/>
      <c r="C156" s="3"/>
      <c r="D156" s="3"/>
      <c r="E156" s="3"/>
      <c r="F156" s="3"/>
      <c r="G156" s="3"/>
      <c r="H156" s="3"/>
      <c r="I156" s="3"/>
      <c r="J156" s="3"/>
      <c r="K156" s="3"/>
      <c r="L156" s="3"/>
      <c r="M156" s="3"/>
      <c r="N156" s="3"/>
      <c r="O156" s="3"/>
      <c r="P156" s="3"/>
      <c r="Q156" s="3"/>
      <c r="R156" s="3"/>
    </row>
    <row r="157" spans="1:18" ht="15.75" customHeight="1" x14ac:dyDescent="0.25">
      <c r="A157" s="3"/>
      <c r="B157" s="3"/>
      <c r="C157" s="3"/>
      <c r="D157" s="3"/>
      <c r="E157" s="3"/>
      <c r="F157" s="3"/>
      <c r="G157" s="3"/>
      <c r="H157" s="3"/>
      <c r="I157" s="3"/>
      <c r="J157" s="3"/>
      <c r="K157" s="3"/>
      <c r="L157" s="3"/>
      <c r="M157" s="3"/>
      <c r="N157" s="3"/>
      <c r="O157" s="3"/>
      <c r="P157" s="3"/>
      <c r="Q157" s="3"/>
      <c r="R157" s="3"/>
    </row>
    <row r="158" spans="1:18" ht="15.75" customHeight="1" x14ac:dyDescent="0.25">
      <c r="A158" s="3"/>
      <c r="B158" s="3"/>
      <c r="C158" s="3"/>
      <c r="D158" s="3"/>
      <c r="E158" s="3"/>
      <c r="F158" s="3"/>
      <c r="G158" s="3"/>
      <c r="H158" s="3"/>
      <c r="I158" s="3"/>
      <c r="J158" s="3"/>
      <c r="K158" s="3"/>
      <c r="L158" s="3"/>
      <c r="M158" s="3"/>
      <c r="N158" s="3"/>
      <c r="O158" s="3"/>
      <c r="P158" s="3"/>
      <c r="Q158" s="3"/>
      <c r="R158" s="3"/>
    </row>
    <row r="159" spans="1:18" ht="15.75" customHeight="1" x14ac:dyDescent="0.25">
      <c r="A159" s="3"/>
      <c r="B159" s="3"/>
      <c r="C159" s="3"/>
      <c r="D159" s="3"/>
      <c r="E159" s="3"/>
      <c r="F159" s="3"/>
      <c r="G159" s="3"/>
      <c r="H159" s="3"/>
      <c r="I159" s="3"/>
      <c r="J159" s="3"/>
      <c r="K159" s="3"/>
      <c r="L159" s="3"/>
      <c r="M159" s="3"/>
      <c r="N159" s="3"/>
      <c r="O159" s="3"/>
      <c r="P159" s="3"/>
      <c r="Q159" s="3"/>
      <c r="R159" s="3"/>
    </row>
    <row r="160" spans="1:18" ht="15.75" customHeight="1" x14ac:dyDescent="0.25">
      <c r="A160" s="3"/>
      <c r="B160" s="3"/>
      <c r="C160" s="3"/>
      <c r="D160" s="3"/>
      <c r="E160" s="3"/>
      <c r="F160" s="3"/>
      <c r="G160" s="3"/>
      <c r="H160" s="3"/>
      <c r="I160" s="3"/>
      <c r="J160" s="3"/>
      <c r="K160" s="3"/>
      <c r="L160" s="3"/>
      <c r="M160" s="3"/>
      <c r="N160" s="3"/>
      <c r="O160" s="3"/>
      <c r="P160" s="3"/>
      <c r="Q160" s="3"/>
      <c r="R160" s="3"/>
    </row>
    <row r="161" spans="1:18" ht="15.75" customHeight="1" x14ac:dyDescent="0.25">
      <c r="A161" s="3"/>
      <c r="B161" s="3"/>
      <c r="C161" s="3"/>
      <c r="D161" s="3"/>
      <c r="E161" s="3"/>
      <c r="F161" s="3"/>
      <c r="G161" s="3"/>
      <c r="H161" s="3"/>
      <c r="I161" s="3"/>
      <c r="J161" s="3"/>
      <c r="K161" s="3"/>
      <c r="L161" s="3"/>
      <c r="M161" s="3"/>
      <c r="N161" s="3"/>
      <c r="O161" s="3"/>
      <c r="P161" s="3"/>
      <c r="Q161" s="3"/>
      <c r="R161" s="3"/>
    </row>
    <row r="162" spans="1:18" ht="15.75" customHeight="1" x14ac:dyDescent="0.25">
      <c r="A162" s="3"/>
      <c r="B162" s="3"/>
      <c r="C162" s="3"/>
      <c r="D162" s="3"/>
      <c r="E162" s="3"/>
      <c r="F162" s="3"/>
      <c r="G162" s="3"/>
      <c r="H162" s="3"/>
      <c r="I162" s="3"/>
      <c r="J162" s="3"/>
      <c r="K162" s="3"/>
      <c r="L162" s="3"/>
      <c r="M162" s="3"/>
      <c r="N162" s="3"/>
      <c r="O162" s="3"/>
      <c r="P162" s="3"/>
      <c r="Q162" s="3"/>
      <c r="R162" s="3"/>
    </row>
    <row r="163" spans="1:18" ht="15.75" customHeight="1" x14ac:dyDescent="0.25">
      <c r="A163" s="3"/>
      <c r="B163" s="3"/>
      <c r="C163" s="3"/>
      <c r="D163" s="3"/>
      <c r="E163" s="3"/>
      <c r="F163" s="3"/>
      <c r="G163" s="3"/>
      <c r="H163" s="3"/>
      <c r="I163" s="3"/>
      <c r="J163" s="3"/>
      <c r="K163" s="3"/>
      <c r="L163" s="3"/>
      <c r="M163" s="3"/>
      <c r="N163" s="3"/>
      <c r="O163" s="3"/>
      <c r="P163" s="3"/>
      <c r="Q163" s="3"/>
      <c r="R163" s="3"/>
    </row>
    <row r="164" spans="1:18" ht="15.75" customHeight="1" x14ac:dyDescent="0.25">
      <c r="A164" s="3"/>
      <c r="B164" s="3"/>
      <c r="C164" s="3"/>
      <c r="D164" s="3"/>
      <c r="E164" s="3"/>
      <c r="F164" s="3"/>
      <c r="G164" s="3"/>
      <c r="H164" s="3"/>
      <c r="I164" s="3"/>
      <c r="J164" s="3"/>
      <c r="K164" s="3"/>
      <c r="L164" s="3"/>
      <c r="M164" s="3"/>
      <c r="N164" s="3"/>
      <c r="O164" s="3"/>
      <c r="P164" s="3"/>
      <c r="Q164" s="3"/>
      <c r="R164" s="3"/>
    </row>
    <row r="165" spans="1:18" ht="15.75" customHeight="1" x14ac:dyDescent="0.25">
      <c r="A165" s="3"/>
      <c r="B165" s="3"/>
      <c r="C165" s="3"/>
      <c r="D165" s="3"/>
      <c r="E165" s="3"/>
      <c r="F165" s="3"/>
      <c r="G165" s="3"/>
      <c r="H165" s="3"/>
      <c r="I165" s="3"/>
      <c r="J165" s="3"/>
      <c r="K165" s="3"/>
      <c r="L165" s="3"/>
      <c r="M165" s="3"/>
      <c r="N165" s="3"/>
      <c r="O165" s="3"/>
      <c r="P165" s="3"/>
      <c r="Q165" s="3"/>
      <c r="R165" s="3"/>
    </row>
    <row r="166" spans="1:18" ht="15.75" customHeight="1" x14ac:dyDescent="0.25">
      <c r="A166" s="3"/>
      <c r="B166" s="3"/>
      <c r="C166" s="3"/>
      <c r="D166" s="3"/>
      <c r="E166" s="3"/>
      <c r="F166" s="3"/>
      <c r="G166" s="3"/>
      <c r="H166" s="3"/>
      <c r="I166" s="3"/>
      <c r="J166" s="3"/>
      <c r="K166" s="3"/>
      <c r="L166" s="3"/>
      <c r="M166" s="3"/>
      <c r="N166" s="3"/>
      <c r="O166" s="3"/>
      <c r="P166" s="3"/>
      <c r="Q166" s="3"/>
      <c r="R166" s="3"/>
    </row>
    <row r="167" spans="1:18" ht="15.75" customHeight="1" x14ac:dyDescent="0.25">
      <c r="A167" s="3"/>
      <c r="B167" s="3"/>
      <c r="C167" s="3"/>
      <c r="D167" s="3"/>
      <c r="E167" s="3"/>
      <c r="F167" s="3"/>
      <c r="G167" s="3"/>
      <c r="H167" s="3"/>
      <c r="I167" s="3"/>
      <c r="J167" s="3"/>
      <c r="K167" s="3"/>
      <c r="L167" s="3"/>
      <c r="M167" s="3"/>
      <c r="N167" s="3"/>
      <c r="O167" s="3"/>
      <c r="P167" s="3"/>
      <c r="Q167" s="3"/>
      <c r="R167" s="3"/>
    </row>
    <row r="168" spans="1:18" ht="15.75" customHeight="1" x14ac:dyDescent="0.25">
      <c r="A168" s="3"/>
      <c r="B168" s="3"/>
      <c r="C168" s="3"/>
      <c r="D168" s="3"/>
      <c r="E168" s="3"/>
      <c r="F168" s="3"/>
      <c r="G168" s="3"/>
      <c r="H168" s="3"/>
      <c r="I168" s="3"/>
      <c r="J168" s="3"/>
      <c r="K168" s="3"/>
      <c r="L168" s="3"/>
      <c r="M168" s="3"/>
      <c r="N168" s="3"/>
      <c r="O168" s="3"/>
      <c r="P168" s="3"/>
      <c r="Q168" s="3"/>
      <c r="R168" s="3"/>
    </row>
    <row r="169" spans="1:18" ht="15.75" customHeight="1" x14ac:dyDescent="0.25">
      <c r="A169" s="3"/>
      <c r="B169" s="3"/>
      <c r="C169" s="3"/>
      <c r="D169" s="3"/>
      <c r="E169" s="3"/>
      <c r="F169" s="3"/>
      <c r="G169" s="3"/>
      <c r="H169" s="3"/>
      <c r="I169" s="3"/>
      <c r="J169" s="3"/>
      <c r="K169" s="3"/>
      <c r="L169" s="3"/>
      <c r="M169" s="3"/>
      <c r="N169" s="3"/>
      <c r="O169" s="3"/>
      <c r="P169" s="3"/>
      <c r="Q169" s="3"/>
      <c r="R169" s="3"/>
    </row>
    <row r="170" spans="1:18" ht="15.75" customHeight="1" x14ac:dyDescent="0.25">
      <c r="A170" s="3"/>
      <c r="B170" s="3"/>
      <c r="C170" s="3"/>
      <c r="D170" s="3"/>
      <c r="E170" s="3"/>
      <c r="F170" s="3"/>
      <c r="G170" s="3"/>
      <c r="H170" s="3"/>
      <c r="I170" s="3"/>
      <c r="J170" s="3"/>
      <c r="K170" s="3"/>
      <c r="L170" s="3"/>
      <c r="M170" s="3"/>
      <c r="N170" s="3"/>
      <c r="O170" s="3"/>
      <c r="P170" s="3"/>
      <c r="Q170" s="3"/>
      <c r="R170" s="3"/>
    </row>
    <row r="171" spans="1:18" ht="15.75" customHeight="1" x14ac:dyDescent="0.25">
      <c r="A171" s="3"/>
      <c r="B171" s="3"/>
      <c r="C171" s="3"/>
      <c r="D171" s="3"/>
      <c r="E171" s="3"/>
      <c r="F171" s="3"/>
      <c r="G171" s="3"/>
      <c r="H171" s="3"/>
      <c r="I171" s="3"/>
      <c r="J171" s="3"/>
      <c r="K171" s="3"/>
      <c r="L171" s="3"/>
      <c r="M171" s="3"/>
      <c r="N171" s="3"/>
      <c r="O171" s="3"/>
      <c r="P171" s="3"/>
      <c r="Q171" s="3"/>
      <c r="R171" s="3"/>
    </row>
    <row r="172" spans="1:18" ht="15.75" customHeight="1" x14ac:dyDescent="0.25">
      <c r="A172" s="3"/>
      <c r="B172" s="3"/>
      <c r="C172" s="3"/>
      <c r="D172" s="3"/>
      <c r="E172" s="3"/>
      <c r="F172" s="3"/>
      <c r="G172" s="3"/>
      <c r="H172" s="3"/>
      <c r="I172" s="3"/>
      <c r="J172" s="3"/>
      <c r="K172" s="3"/>
      <c r="L172" s="3"/>
      <c r="M172" s="3"/>
      <c r="N172" s="3"/>
      <c r="O172" s="3"/>
      <c r="P172" s="3"/>
      <c r="Q172" s="3"/>
      <c r="R172" s="3"/>
    </row>
    <row r="173" spans="1:18" ht="15.75" customHeight="1" x14ac:dyDescent="0.25">
      <c r="A173" s="3"/>
      <c r="B173" s="3"/>
      <c r="C173" s="3"/>
      <c r="D173" s="3"/>
      <c r="E173" s="3"/>
      <c r="F173" s="3"/>
      <c r="G173" s="3"/>
      <c r="H173" s="3"/>
      <c r="I173" s="3"/>
      <c r="J173" s="3"/>
      <c r="K173" s="3"/>
      <c r="L173" s="3"/>
      <c r="M173" s="3"/>
      <c r="N173" s="3"/>
      <c r="O173" s="3"/>
      <c r="P173" s="3"/>
      <c r="Q173" s="3"/>
      <c r="R173" s="3"/>
    </row>
    <row r="174" spans="1:18" ht="15.75" customHeight="1" x14ac:dyDescent="0.25">
      <c r="A174" s="3"/>
      <c r="B174" s="3"/>
      <c r="C174" s="3"/>
      <c r="D174" s="3"/>
      <c r="E174" s="3"/>
      <c r="F174" s="3"/>
      <c r="G174" s="3"/>
      <c r="H174" s="3"/>
      <c r="I174" s="3"/>
      <c r="J174" s="3"/>
      <c r="K174" s="3"/>
      <c r="L174" s="3"/>
      <c r="M174" s="3"/>
      <c r="N174" s="3"/>
      <c r="O174" s="3"/>
      <c r="P174" s="3"/>
      <c r="Q174" s="3"/>
      <c r="R174" s="3"/>
    </row>
    <row r="175" spans="1:18" ht="15.75" customHeight="1" x14ac:dyDescent="0.25">
      <c r="A175" s="3"/>
      <c r="B175" s="3"/>
      <c r="C175" s="3"/>
      <c r="D175" s="3"/>
      <c r="E175" s="3"/>
      <c r="F175" s="3"/>
      <c r="G175" s="3"/>
      <c r="H175" s="3"/>
      <c r="I175" s="3"/>
      <c r="J175" s="3"/>
      <c r="K175" s="3"/>
      <c r="L175" s="3"/>
      <c r="M175" s="3"/>
      <c r="N175" s="3"/>
      <c r="O175" s="3"/>
      <c r="P175" s="3"/>
      <c r="Q175" s="3"/>
      <c r="R175" s="3"/>
    </row>
    <row r="176" spans="1:18" ht="15.75" customHeight="1" x14ac:dyDescent="0.25">
      <c r="A176" s="3"/>
      <c r="B176" s="3"/>
      <c r="C176" s="3"/>
      <c r="D176" s="3"/>
      <c r="E176" s="3"/>
      <c r="F176" s="3"/>
      <c r="G176" s="3"/>
      <c r="H176" s="3"/>
      <c r="I176" s="3"/>
      <c r="J176" s="3"/>
      <c r="K176" s="3"/>
      <c r="L176" s="3"/>
      <c r="M176" s="3"/>
      <c r="N176" s="3"/>
      <c r="O176" s="3"/>
      <c r="P176" s="3"/>
      <c r="Q176" s="3"/>
      <c r="R176" s="3"/>
    </row>
    <row r="177" spans="1:18" ht="15.75" customHeight="1" x14ac:dyDescent="0.25">
      <c r="A177" s="3"/>
      <c r="B177" s="3"/>
      <c r="C177" s="3"/>
      <c r="D177" s="3"/>
      <c r="E177" s="3"/>
      <c r="F177" s="3"/>
      <c r="G177" s="3"/>
      <c r="H177" s="3"/>
      <c r="I177" s="3"/>
      <c r="J177" s="3"/>
      <c r="K177" s="3"/>
      <c r="L177" s="3"/>
      <c r="M177" s="3"/>
      <c r="N177" s="3"/>
      <c r="O177" s="3"/>
      <c r="P177" s="3"/>
      <c r="Q177" s="3"/>
      <c r="R177" s="3"/>
    </row>
    <row r="178" spans="1:18" ht="15.75" customHeight="1" x14ac:dyDescent="0.25">
      <c r="A178" s="3"/>
      <c r="B178" s="3"/>
      <c r="C178" s="3"/>
      <c r="D178" s="3"/>
      <c r="E178" s="3"/>
      <c r="F178" s="3"/>
      <c r="G178" s="3"/>
      <c r="H178" s="3"/>
      <c r="I178" s="3"/>
      <c r="J178" s="3"/>
      <c r="K178" s="3"/>
      <c r="L178" s="3"/>
      <c r="M178" s="3"/>
      <c r="N178" s="3"/>
      <c r="O178" s="3"/>
      <c r="P178" s="3"/>
      <c r="Q178" s="3"/>
      <c r="R178" s="3"/>
    </row>
    <row r="179" spans="1:18" ht="15.75" customHeight="1" x14ac:dyDescent="0.25">
      <c r="A179" s="3"/>
      <c r="B179" s="3"/>
      <c r="C179" s="3"/>
      <c r="D179" s="3"/>
      <c r="E179" s="3"/>
      <c r="F179" s="3"/>
      <c r="G179" s="3"/>
      <c r="H179" s="3"/>
      <c r="I179" s="3"/>
      <c r="J179" s="3"/>
      <c r="K179" s="3"/>
      <c r="L179" s="3"/>
      <c r="M179" s="3"/>
      <c r="N179" s="3"/>
      <c r="O179" s="3"/>
      <c r="P179" s="3"/>
      <c r="Q179" s="3"/>
      <c r="R179" s="3"/>
    </row>
    <row r="180" spans="1:18" ht="15.75" customHeight="1" x14ac:dyDescent="0.25">
      <c r="A180" s="3"/>
      <c r="B180" s="3"/>
      <c r="C180" s="3"/>
      <c r="D180" s="3"/>
      <c r="E180" s="3"/>
      <c r="F180" s="3"/>
      <c r="G180" s="3"/>
      <c r="H180" s="3"/>
      <c r="I180" s="3"/>
      <c r="J180" s="3"/>
      <c r="K180" s="3"/>
      <c r="L180" s="3"/>
      <c r="M180" s="3"/>
      <c r="N180" s="3"/>
      <c r="O180" s="3"/>
      <c r="P180" s="3"/>
      <c r="Q180" s="3"/>
      <c r="R180" s="3"/>
    </row>
    <row r="181" spans="1:18" ht="15.75" customHeight="1" x14ac:dyDescent="0.25">
      <c r="A181" s="3"/>
      <c r="B181" s="3"/>
      <c r="C181" s="3"/>
      <c r="D181" s="3"/>
      <c r="E181" s="3"/>
      <c r="F181" s="3"/>
      <c r="G181" s="3"/>
      <c r="H181" s="3"/>
      <c r="I181" s="3"/>
      <c r="J181" s="3"/>
      <c r="K181" s="3"/>
      <c r="L181" s="3"/>
      <c r="M181" s="3"/>
      <c r="N181" s="3"/>
      <c r="O181" s="3"/>
      <c r="P181" s="3"/>
      <c r="Q181" s="3"/>
      <c r="R181" s="3"/>
    </row>
    <row r="182" spans="1:18" ht="15.75" customHeight="1" x14ac:dyDescent="0.25">
      <c r="A182" s="3"/>
      <c r="B182" s="3"/>
      <c r="C182" s="3"/>
      <c r="D182" s="3"/>
      <c r="E182" s="3"/>
      <c r="F182" s="3"/>
      <c r="G182" s="3"/>
      <c r="H182" s="3"/>
      <c r="I182" s="3"/>
      <c r="J182" s="3"/>
      <c r="K182" s="3"/>
      <c r="L182" s="3"/>
      <c r="M182" s="3"/>
      <c r="N182" s="3"/>
      <c r="O182" s="3"/>
      <c r="P182" s="3"/>
      <c r="Q182" s="3"/>
      <c r="R182" s="3"/>
    </row>
    <row r="183" spans="1:18" ht="15.75" customHeight="1" x14ac:dyDescent="0.25">
      <c r="A183" s="3"/>
      <c r="B183" s="3"/>
      <c r="C183" s="3"/>
      <c r="D183" s="3"/>
      <c r="E183" s="3"/>
      <c r="F183" s="3"/>
      <c r="G183" s="3"/>
      <c r="H183" s="3"/>
      <c r="I183" s="3"/>
      <c r="J183" s="3"/>
      <c r="K183" s="3"/>
      <c r="L183" s="3"/>
      <c r="M183" s="3"/>
      <c r="N183" s="3"/>
      <c r="O183" s="3"/>
      <c r="P183" s="3"/>
      <c r="Q183" s="3"/>
      <c r="R183" s="3"/>
    </row>
    <row r="184" spans="1:18" ht="15.75" customHeight="1" x14ac:dyDescent="0.25">
      <c r="A184" s="3"/>
      <c r="B184" s="3"/>
      <c r="C184" s="3"/>
      <c r="D184" s="3"/>
      <c r="E184" s="3"/>
      <c r="F184" s="3"/>
      <c r="G184" s="3"/>
      <c r="H184" s="3"/>
      <c r="I184" s="3"/>
      <c r="J184" s="3"/>
      <c r="K184" s="3"/>
      <c r="L184" s="3"/>
      <c r="M184" s="3"/>
      <c r="N184" s="3"/>
      <c r="O184" s="3"/>
      <c r="P184" s="3"/>
      <c r="Q184" s="3"/>
      <c r="R184" s="3"/>
    </row>
    <row r="185" spans="1:18" ht="15.75" customHeight="1" x14ac:dyDescent="0.25">
      <c r="A185" s="3"/>
      <c r="B185" s="3"/>
      <c r="C185" s="3"/>
      <c r="D185" s="3"/>
      <c r="E185" s="3"/>
      <c r="F185" s="3"/>
      <c r="G185" s="3"/>
      <c r="H185" s="3"/>
      <c r="I185" s="3"/>
      <c r="J185" s="3"/>
      <c r="K185" s="3"/>
      <c r="L185" s="3"/>
      <c r="M185" s="3"/>
      <c r="N185" s="3"/>
      <c r="O185" s="3"/>
      <c r="P185" s="3"/>
      <c r="Q185" s="3"/>
      <c r="R185" s="3"/>
    </row>
    <row r="186" spans="1:18" ht="15.75" customHeight="1" x14ac:dyDescent="0.25">
      <c r="A186" s="3"/>
      <c r="B186" s="3"/>
      <c r="C186" s="3"/>
      <c r="D186" s="3"/>
      <c r="E186" s="3"/>
      <c r="F186" s="3"/>
      <c r="G186" s="3"/>
      <c r="H186" s="3"/>
      <c r="I186" s="3"/>
      <c r="J186" s="3"/>
      <c r="K186" s="3"/>
      <c r="L186" s="3"/>
      <c r="M186" s="3"/>
      <c r="N186" s="3"/>
      <c r="O186" s="3"/>
      <c r="P186" s="3"/>
      <c r="Q186" s="3"/>
      <c r="R186" s="3"/>
    </row>
    <row r="187" spans="1:18" ht="15.75" customHeight="1" x14ac:dyDescent="0.25">
      <c r="A187" s="3"/>
      <c r="B187" s="3"/>
      <c r="C187" s="3"/>
      <c r="D187" s="3"/>
      <c r="E187" s="3"/>
      <c r="F187" s="3"/>
      <c r="G187" s="3"/>
      <c r="H187" s="3"/>
      <c r="I187" s="3"/>
      <c r="J187" s="3"/>
      <c r="K187" s="3"/>
      <c r="L187" s="3"/>
      <c r="M187" s="3"/>
      <c r="N187" s="3"/>
      <c r="O187" s="3"/>
      <c r="P187" s="3"/>
      <c r="Q187" s="3"/>
      <c r="R187" s="3"/>
    </row>
    <row r="188" spans="1:18" ht="15.75" customHeight="1" x14ac:dyDescent="0.25">
      <c r="A188" s="3"/>
      <c r="B188" s="3"/>
      <c r="C188" s="3"/>
      <c r="D188" s="3"/>
      <c r="E188" s="3"/>
      <c r="F188" s="3"/>
      <c r="G188" s="3"/>
      <c r="H188" s="3"/>
      <c r="I188" s="3"/>
      <c r="J188" s="3"/>
      <c r="K188" s="3"/>
      <c r="L188" s="3"/>
      <c r="M188" s="3"/>
      <c r="N188" s="3"/>
      <c r="O188" s="3"/>
      <c r="P188" s="3"/>
      <c r="Q188" s="3"/>
      <c r="R188" s="3"/>
    </row>
    <row r="189" spans="1:18" ht="15.75" customHeight="1" x14ac:dyDescent="0.25">
      <c r="A189" s="3"/>
      <c r="B189" s="3"/>
      <c r="C189" s="3"/>
      <c r="D189" s="3"/>
      <c r="E189" s="3"/>
      <c r="F189" s="3"/>
      <c r="G189" s="3"/>
      <c r="H189" s="3"/>
      <c r="I189" s="3"/>
      <c r="J189" s="3"/>
      <c r="K189" s="3"/>
      <c r="L189" s="3"/>
      <c r="M189" s="3"/>
      <c r="N189" s="3"/>
      <c r="O189" s="3"/>
      <c r="P189" s="3"/>
      <c r="Q189" s="3"/>
      <c r="R189" s="3"/>
    </row>
    <row r="190" spans="1:18" ht="15.75" customHeight="1" x14ac:dyDescent="0.25">
      <c r="A190" s="3"/>
      <c r="B190" s="3"/>
      <c r="C190" s="3"/>
      <c r="D190" s="3"/>
      <c r="E190" s="3"/>
      <c r="F190" s="3"/>
      <c r="G190" s="3"/>
      <c r="H190" s="3"/>
      <c r="I190" s="3"/>
      <c r="J190" s="3"/>
      <c r="K190" s="3"/>
      <c r="L190" s="3"/>
      <c r="M190" s="3"/>
      <c r="N190" s="3"/>
      <c r="O190" s="3"/>
      <c r="P190" s="3"/>
      <c r="Q190" s="3"/>
      <c r="R190" s="3"/>
    </row>
    <row r="191" spans="1:18" ht="15.75" customHeight="1" x14ac:dyDescent="0.25">
      <c r="A191" s="3"/>
      <c r="B191" s="3"/>
      <c r="C191" s="3"/>
      <c r="D191" s="3"/>
      <c r="E191" s="3"/>
      <c r="F191" s="3"/>
      <c r="G191" s="3"/>
      <c r="H191" s="3"/>
      <c r="I191" s="3"/>
      <c r="J191" s="3"/>
      <c r="K191" s="3"/>
      <c r="L191" s="3"/>
      <c r="M191" s="3"/>
      <c r="N191" s="3"/>
      <c r="O191" s="3"/>
      <c r="P191" s="3"/>
      <c r="Q191" s="3"/>
      <c r="R191" s="3"/>
    </row>
    <row r="192" spans="1:18" ht="15.75" customHeight="1" x14ac:dyDescent="0.25">
      <c r="A192" s="3"/>
      <c r="B192" s="3"/>
      <c r="C192" s="3"/>
      <c r="D192" s="3"/>
      <c r="E192" s="3"/>
      <c r="F192" s="3"/>
      <c r="G192" s="3"/>
      <c r="H192" s="3"/>
      <c r="I192" s="3"/>
      <c r="J192" s="3"/>
      <c r="K192" s="3"/>
      <c r="L192" s="3"/>
      <c r="M192" s="3"/>
      <c r="N192" s="3"/>
      <c r="O192" s="3"/>
      <c r="P192" s="3"/>
      <c r="Q192" s="3"/>
      <c r="R192" s="3"/>
    </row>
    <row r="193" spans="1:18" ht="15.75" customHeight="1" x14ac:dyDescent="0.25">
      <c r="A193" s="3"/>
      <c r="B193" s="3"/>
      <c r="C193" s="3"/>
      <c r="D193" s="3"/>
      <c r="E193" s="3"/>
      <c r="F193" s="3"/>
      <c r="G193" s="3"/>
      <c r="H193" s="3"/>
      <c r="I193" s="3"/>
      <c r="J193" s="3"/>
      <c r="K193" s="3"/>
      <c r="L193" s="3"/>
      <c r="M193" s="3"/>
      <c r="N193" s="3"/>
      <c r="O193" s="3"/>
      <c r="P193" s="3"/>
      <c r="Q193" s="3"/>
      <c r="R193" s="3"/>
    </row>
    <row r="194" spans="1:18" ht="15.75" customHeight="1" x14ac:dyDescent="0.25">
      <c r="A194" s="3"/>
      <c r="B194" s="3"/>
      <c r="C194" s="3"/>
      <c r="D194" s="3"/>
      <c r="E194" s="3"/>
      <c r="F194" s="3"/>
      <c r="G194" s="3"/>
      <c r="H194" s="3"/>
      <c r="I194" s="3"/>
      <c r="J194" s="3"/>
      <c r="K194" s="3"/>
      <c r="L194" s="3"/>
      <c r="M194" s="3"/>
      <c r="N194" s="3"/>
      <c r="O194" s="3"/>
      <c r="P194" s="3"/>
      <c r="Q194" s="3"/>
      <c r="R194" s="3"/>
    </row>
    <row r="195" spans="1:18" ht="15.75" customHeight="1" x14ac:dyDescent="0.25">
      <c r="A195" s="3"/>
      <c r="B195" s="3"/>
      <c r="C195" s="3"/>
      <c r="D195" s="3"/>
      <c r="E195" s="3"/>
      <c r="F195" s="3"/>
      <c r="G195" s="3"/>
      <c r="H195" s="3"/>
      <c r="I195" s="3"/>
      <c r="J195" s="3"/>
      <c r="K195" s="3"/>
      <c r="L195" s="3"/>
      <c r="M195" s="3"/>
      <c r="N195" s="3"/>
      <c r="O195" s="3"/>
      <c r="P195" s="3"/>
      <c r="Q195" s="3"/>
      <c r="R195" s="3"/>
    </row>
    <row r="196" spans="1:18" ht="15.75" customHeight="1" x14ac:dyDescent="0.25">
      <c r="A196" s="3"/>
      <c r="B196" s="3"/>
      <c r="C196" s="3"/>
      <c r="D196" s="3"/>
      <c r="E196" s="3"/>
      <c r="F196" s="3"/>
      <c r="G196" s="3"/>
      <c r="H196" s="3"/>
      <c r="I196" s="3"/>
      <c r="J196" s="3"/>
      <c r="K196" s="3"/>
      <c r="L196" s="3"/>
      <c r="M196" s="3"/>
      <c r="N196" s="3"/>
      <c r="O196" s="3"/>
      <c r="P196" s="3"/>
      <c r="Q196" s="3"/>
      <c r="R196" s="3"/>
    </row>
    <row r="197" spans="1:18" ht="15.75" customHeight="1" x14ac:dyDescent="0.25">
      <c r="A197" s="3"/>
      <c r="B197" s="3"/>
      <c r="C197" s="3"/>
      <c r="D197" s="3"/>
      <c r="E197" s="3"/>
      <c r="F197" s="3"/>
      <c r="G197" s="3"/>
      <c r="H197" s="3"/>
      <c r="I197" s="3"/>
      <c r="J197" s="3"/>
      <c r="K197" s="3"/>
      <c r="L197" s="3"/>
      <c r="M197" s="3"/>
      <c r="N197" s="3"/>
      <c r="O197" s="3"/>
      <c r="P197" s="3"/>
      <c r="Q197" s="3"/>
      <c r="R197" s="3"/>
    </row>
    <row r="198" spans="1:18" ht="15.75" customHeight="1" x14ac:dyDescent="0.25">
      <c r="A198" s="3"/>
      <c r="B198" s="3"/>
      <c r="C198" s="3"/>
      <c r="D198" s="3"/>
      <c r="E198" s="3"/>
      <c r="F198" s="3"/>
      <c r="G198" s="3"/>
      <c r="H198" s="3"/>
      <c r="I198" s="3"/>
      <c r="J198" s="3"/>
      <c r="K198" s="3"/>
      <c r="L198" s="3"/>
      <c r="M198" s="3"/>
      <c r="N198" s="3"/>
      <c r="O198" s="3"/>
      <c r="P198" s="3"/>
      <c r="Q198" s="3"/>
      <c r="R198" s="3"/>
    </row>
    <row r="199" spans="1:18" ht="15.75" customHeight="1" x14ac:dyDescent="0.25">
      <c r="A199" s="3"/>
      <c r="B199" s="3"/>
      <c r="C199" s="3"/>
      <c r="D199" s="3"/>
      <c r="E199" s="3"/>
      <c r="F199" s="3"/>
      <c r="G199" s="3"/>
      <c r="H199" s="3"/>
      <c r="I199" s="3"/>
      <c r="J199" s="3"/>
      <c r="K199" s="3"/>
      <c r="L199" s="3"/>
      <c r="M199" s="3"/>
      <c r="N199" s="3"/>
      <c r="O199" s="3"/>
      <c r="P199" s="3"/>
      <c r="Q199" s="3"/>
      <c r="R199" s="3"/>
    </row>
    <row r="200" spans="1:18" ht="15.75" customHeight="1" x14ac:dyDescent="0.25">
      <c r="A200" s="3"/>
      <c r="B200" s="3"/>
      <c r="C200" s="3"/>
      <c r="D200" s="3"/>
      <c r="E200" s="3"/>
      <c r="F200" s="3"/>
      <c r="G200" s="3"/>
      <c r="H200" s="3"/>
      <c r="I200" s="3"/>
      <c r="J200" s="3"/>
      <c r="K200" s="3"/>
      <c r="L200" s="3"/>
      <c r="M200" s="3"/>
      <c r="N200" s="3"/>
      <c r="O200" s="3"/>
      <c r="P200" s="3"/>
      <c r="Q200" s="3"/>
      <c r="R200" s="3"/>
    </row>
    <row r="201" spans="1:18" ht="15.75" customHeight="1" x14ac:dyDescent="0.25">
      <c r="A201" s="3"/>
      <c r="B201" s="3"/>
      <c r="C201" s="3"/>
      <c r="D201" s="3"/>
      <c r="E201" s="3"/>
      <c r="F201" s="3"/>
      <c r="G201" s="3"/>
      <c r="H201" s="3"/>
      <c r="I201" s="3"/>
      <c r="J201" s="3"/>
      <c r="K201" s="3"/>
      <c r="L201" s="3"/>
      <c r="M201" s="3"/>
      <c r="N201" s="3"/>
      <c r="O201" s="3"/>
      <c r="P201" s="3"/>
      <c r="Q201" s="3"/>
      <c r="R201" s="3"/>
    </row>
    <row r="202" spans="1:18" ht="15.75" customHeight="1" x14ac:dyDescent="0.25">
      <c r="A202" s="3"/>
      <c r="B202" s="3"/>
      <c r="C202" s="3"/>
      <c r="D202" s="3"/>
      <c r="E202" s="3"/>
      <c r="F202" s="3"/>
      <c r="G202" s="3"/>
      <c r="H202" s="3"/>
      <c r="I202" s="3"/>
      <c r="J202" s="3"/>
      <c r="K202" s="3"/>
      <c r="L202" s="3"/>
      <c r="M202" s="3"/>
      <c r="N202" s="3"/>
      <c r="O202" s="3"/>
      <c r="P202" s="3"/>
      <c r="Q202" s="3"/>
      <c r="R202" s="3"/>
    </row>
    <row r="203" spans="1:18" ht="15.75" customHeight="1" x14ac:dyDescent="0.25">
      <c r="A203" s="3"/>
      <c r="B203" s="3"/>
      <c r="C203" s="3"/>
      <c r="D203" s="3"/>
      <c r="E203" s="3"/>
      <c r="F203" s="3"/>
      <c r="G203" s="3"/>
      <c r="H203" s="3"/>
      <c r="I203" s="3"/>
      <c r="J203" s="3"/>
      <c r="K203" s="3"/>
      <c r="L203" s="3"/>
      <c r="M203" s="3"/>
      <c r="N203" s="3"/>
      <c r="O203" s="3"/>
      <c r="P203" s="3"/>
      <c r="Q203" s="3"/>
      <c r="R203" s="3"/>
    </row>
    <row r="204" spans="1:18" ht="15.75" customHeight="1" x14ac:dyDescent="0.25">
      <c r="A204" s="3"/>
      <c r="B204" s="3"/>
      <c r="C204" s="3"/>
      <c r="D204" s="3"/>
      <c r="E204" s="3"/>
      <c r="F204" s="3"/>
      <c r="G204" s="3"/>
      <c r="H204" s="3"/>
      <c r="I204" s="3"/>
      <c r="J204" s="3"/>
      <c r="K204" s="3"/>
      <c r="L204" s="3"/>
      <c r="M204" s="3"/>
      <c r="N204" s="3"/>
      <c r="O204" s="3"/>
      <c r="P204" s="3"/>
      <c r="Q204" s="3"/>
      <c r="R204" s="3"/>
    </row>
    <row r="205" spans="1:18" ht="15.75" customHeight="1" x14ac:dyDescent="0.25">
      <c r="A205" s="3"/>
      <c r="B205" s="3"/>
      <c r="C205" s="3"/>
      <c r="D205" s="3"/>
      <c r="E205" s="3"/>
      <c r="F205" s="3"/>
      <c r="G205" s="3"/>
      <c r="H205" s="3"/>
      <c r="I205" s="3"/>
      <c r="J205" s="3"/>
      <c r="K205" s="3"/>
      <c r="L205" s="3"/>
      <c r="M205" s="3"/>
      <c r="N205" s="3"/>
      <c r="O205" s="3"/>
      <c r="P205" s="3"/>
      <c r="Q205" s="3"/>
      <c r="R205" s="3"/>
    </row>
    <row r="206" spans="1:18" ht="15.75" customHeight="1" x14ac:dyDescent="0.25">
      <c r="A206" s="3"/>
      <c r="B206" s="3"/>
      <c r="C206" s="3"/>
      <c r="D206" s="3"/>
      <c r="E206" s="3"/>
      <c r="F206" s="3"/>
      <c r="G206" s="3"/>
      <c r="H206" s="3"/>
      <c r="I206" s="3"/>
      <c r="J206" s="3"/>
      <c r="K206" s="3"/>
      <c r="L206" s="3"/>
      <c r="M206" s="3"/>
      <c r="N206" s="3"/>
      <c r="O206" s="3"/>
      <c r="P206" s="3"/>
      <c r="Q206" s="3"/>
      <c r="R206" s="3"/>
    </row>
    <row r="207" spans="1:18" ht="15.75" customHeight="1" x14ac:dyDescent="0.25">
      <c r="A207" s="3"/>
      <c r="B207" s="3"/>
      <c r="C207" s="3"/>
      <c r="D207" s="3"/>
      <c r="E207" s="3"/>
      <c r="F207" s="3"/>
      <c r="G207" s="3"/>
      <c r="H207" s="3"/>
      <c r="I207" s="3"/>
      <c r="J207" s="3"/>
      <c r="K207" s="3"/>
      <c r="L207" s="3"/>
      <c r="M207" s="3"/>
      <c r="N207" s="3"/>
      <c r="O207" s="3"/>
      <c r="P207" s="3"/>
      <c r="Q207" s="3"/>
      <c r="R207" s="3"/>
    </row>
    <row r="208" spans="1:18" ht="15.75" customHeight="1" x14ac:dyDescent="0.25">
      <c r="A208" s="3"/>
      <c r="B208" s="3"/>
      <c r="C208" s="3"/>
      <c r="D208" s="3"/>
      <c r="E208" s="3"/>
      <c r="F208" s="3"/>
      <c r="G208" s="3"/>
      <c r="H208" s="3"/>
      <c r="I208" s="3"/>
      <c r="J208" s="3"/>
      <c r="K208" s="3"/>
      <c r="L208" s="3"/>
      <c r="M208" s="3"/>
      <c r="N208" s="3"/>
      <c r="O208" s="3"/>
      <c r="P208" s="3"/>
      <c r="Q208" s="3"/>
      <c r="R208" s="3"/>
    </row>
    <row r="209" spans="1:18" ht="15.75" customHeight="1" x14ac:dyDescent="0.25">
      <c r="A209" s="3"/>
      <c r="B209" s="3"/>
      <c r="C209" s="3"/>
      <c r="D209" s="3"/>
      <c r="E209" s="3"/>
      <c r="F209" s="3"/>
      <c r="G209" s="3"/>
      <c r="H209" s="3"/>
      <c r="I209" s="3"/>
      <c r="J209" s="3"/>
      <c r="K209" s="3"/>
      <c r="L209" s="3"/>
      <c r="M209" s="3"/>
      <c r="N209" s="3"/>
      <c r="O209" s="3"/>
      <c r="P209" s="3"/>
      <c r="Q209" s="3"/>
      <c r="R209" s="3"/>
    </row>
    <row r="210" spans="1:18" ht="15.75" customHeight="1" x14ac:dyDescent="0.25">
      <c r="A210" s="3"/>
      <c r="B210" s="3"/>
      <c r="C210" s="3"/>
      <c r="D210" s="3"/>
      <c r="E210" s="3"/>
      <c r="F210" s="3"/>
      <c r="G210" s="3"/>
      <c r="H210" s="3"/>
      <c r="I210" s="3"/>
      <c r="J210" s="3"/>
      <c r="K210" s="3"/>
      <c r="L210" s="3"/>
      <c r="M210" s="3"/>
      <c r="N210" s="3"/>
      <c r="O210" s="3"/>
      <c r="P210" s="3"/>
      <c r="Q210" s="3"/>
      <c r="R210" s="3"/>
    </row>
    <row r="211" spans="1:18" ht="15.75" customHeight="1" x14ac:dyDescent="0.25">
      <c r="A211" s="3"/>
      <c r="B211" s="3"/>
      <c r="C211" s="3"/>
      <c r="D211" s="3"/>
      <c r="E211" s="3"/>
      <c r="F211" s="3"/>
      <c r="G211" s="3"/>
      <c r="H211" s="3"/>
      <c r="I211" s="3"/>
      <c r="J211" s="3"/>
      <c r="K211" s="3"/>
      <c r="L211" s="3"/>
      <c r="M211" s="3"/>
      <c r="N211" s="3"/>
      <c r="O211" s="3"/>
      <c r="P211" s="3"/>
      <c r="Q211" s="3"/>
      <c r="R211" s="3"/>
    </row>
    <row r="212" spans="1:18" ht="15.75" customHeight="1" x14ac:dyDescent="0.25">
      <c r="A212" s="3"/>
      <c r="B212" s="3"/>
      <c r="C212" s="3"/>
      <c r="D212" s="3"/>
      <c r="E212" s="3"/>
      <c r="F212" s="3"/>
      <c r="G212" s="3"/>
      <c r="H212" s="3"/>
      <c r="I212" s="3"/>
      <c r="J212" s="3"/>
      <c r="K212" s="3"/>
      <c r="L212" s="3"/>
      <c r="M212" s="3"/>
      <c r="N212" s="3"/>
      <c r="O212" s="3"/>
      <c r="P212" s="3"/>
      <c r="Q212" s="3"/>
      <c r="R212" s="3"/>
    </row>
    <row r="213" spans="1:18" ht="15.75" customHeight="1" x14ac:dyDescent="0.25">
      <c r="A213" s="3"/>
      <c r="B213" s="3"/>
      <c r="C213" s="3"/>
      <c r="D213" s="3"/>
      <c r="E213" s="3"/>
      <c r="F213" s="3"/>
      <c r="G213" s="3"/>
      <c r="H213" s="3"/>
      <c r="I213" s="3"/>
      <c r="J213" s="3"/>
      <c r="K213" s="3"/>
      <c r="L213" s="3"/>
      <c r="M213" s="3"/>
      <c r="N213" s="3"/>
      <c r="O213" s="3"/>
      <c r="P213" s="3"/>
      <c r="Q213" s="3"/>
      <c r="R213" s="3"/>
    </row>
    <row r="214" spans="1:18" ht="15.75" customHeight="1" x14ac:dyDescent="0.25">
      <c r="A214" s="3"/>
      <c r="B214" s="3"/>
      <c r="C214" s="3"/>
      <c r="D214" s="3"/>
      <c r="E214" s="3"/>
      <c r="F214" s="3"/>
      <c r="G214" s="3"/>
      <c r="H214" s="3"/>
      <c r="I214" s="3"/>
      <c r="J214" s="3"/>
      <c r="K214" s="3"/>
      <c r="L214" s="3"/>
      <c r="M214" s="3"/>
      <c r="N214" s="3"/>
      <c r="O214" s="3"/>
      <c r="P214" s="3"/>
      <c r="Q214" s="3"/>
      <c r="R214" s="3"/>
    </row>
    <row r="215" spans="1:18" ht="15.75" customHeight="1" x14ac:dyDescent="0.25">
      <c r="A215" s="3"/>
      <c r="B215" s="3"/>
      <c r="C215" s="3"/>
      <c r="D215" s="3"/>
      <c r="E215" s="3"/>
      <c r="F215" s="3"/>
      <c r="G215" s="3"/>
      <c r="H215" s="3"/>
      <c r="I215" s="3"/>
      <c r="J215" s="3"/>
      <c r="K215" s="3"/>
      <c r="L215" s="3"/>
      <c r="M215" s="3"/>
      <c r="N215" s="3"/>
      <c r="O215" s="3"/>
      <c r="P215" s="3"/>
      <c r="Q215" s="3"/>
      <c r="R215" s="3"/>
    </row>
    <row r="216" spans="1:18" ht="15.75" customHeight="1" x14ac:dyDescent="0.25">
      <c r="A216" s="3"/>
      <c r="B216" s="3"/>
      <c r="C216" s="3"/>
      <c r="D216" s="3"/>
      <c r="E216" s="3"/>
      <c r="F216" s="3"/>
      <c r="G216" s="3"/>
      <c r="H216" s="3"/>
      <c r="I216" s="3"/>
      <c r="J216" s="3"/>
      <c r="K216" s="3"/>
      <c r="L216" s="3"/>
      <c r="M216" s="3"/>
      <c r="N216" s="3"/>
      <c r="O216" s="3"/>
      <c r="P216" s="3"/>
      <c r="Q216" s="3"/>
      <c r="R216" s="3"/>
    </row>
    <row r="217" spans="1:18" ht="15.75" customHeight="1" x14ac:dyDescent="0.25">
      <c r="A217" s="3"/>
      <c r="B217" s="3"/>
      <c r="C217" s="3"/>
      <c r="D217" s="3"/>
      <c r="E217" s="3"/>
      <c r="F217" s="3"/>
      <c r="G217" s="3"/>
      <c r="H217" s="3"/>
      <c r="I217" s="3"/>
      <c r="J217" s="3"/>
      <c r="K217" s="3"/>
      <c r="L217" s="3"/>
      <c r="M217" s="3"/>
      <c r="N217" s="3"/>
      <c r="O217" s="3"/>
      <c r="P217" s="3"/>
      <c r="Q217" s="3"/>
      <c r="R217" s="3"/>
    </row>
    <row r="218" spans="1:18" ht="15.75" customHeight="1" x14ac:dyDescent="0.25">
      <c r="A218" s="3"/>
      <c r="B218" s="3"/>
      <c r="C218" s="3"/>
      <c r="D218" s="3"/>
      <c r="E218" s="3"/>
      <c r="F218" s="3"/>
      <c r="G218" s="3"/>
      <c r="H218" s="3"/>
      <c r="I218" s="3"/>
      <c r="J218" s="3"/>
      <c r="K218" s="3"/>
      <c r="L218" s="3"/>
      <c r="M218" s="3"/>
      <c r="N218" s="3"/>
      <c r="O218" s="3"/>
      <c r="P218" s="3"/>
      <c r="Q218" s="3"/>
      <c r="R218" s="3"/>
    </row>
    <row r="219" spans="1:18" ht="15.75" customHeight="1" x14ac:dyDescent="0.25">
      <c r="A219" s="3"/>
      <c r="B219" s="3"/>
      <c r="C219" s="3"/>
      <c r="D219" s="3"/>
      <c r="E219" s="3"/>
      <c r="F219" s="3"/>
      <c r="G219" s="3"/>
      <c r="H219" s="3"/>
      <c r="I219" s="3"/>
      <c r="J219" s="3"/>
      <c r="K219" s="3"/>
      <c r="L219" s="3"/>
      <c r="M219" s="3"/>
      <c r="N219" s="3"/>
      <c r="O219" s="3"/>
      <c r="P219" s="3"/>
      <c r="Q219" s="3"/>
      <c r="R219" s="3"/>
    </row>
    <row r="220" spans="1:18" ht="15.75" customHeight="1" x14ac:dyDescent="0.25">
      <c r="A220" s="3"/>
      <c r="B220" s="3"/>
      <c r="C220" s="3"/>
      <c r="D220" s="3"/>
      <c r="E220" s="3"/>
      <c r="F220" s="3"/>
      <c r="G220" s="3"/>
      <c r="H220" s="3"/>
      <c r="I220" s="3"/>
      <c r="J220" s="3"/>
      <c r="K220" s="3"/>
      <c r="L220" s="3"/>
      <c r="M220" s="3"/>
      <c r="N220" s="3"/>
      <c r="O220" s="3"/>
      <c r="P220" s="3"/>
      <c r="Q220" s="3"/>
      <c r="R220" s="3"/>
    </row>
    <row r="221" spans="1:18" ht="15.75" customHeight="1" x14ac:dyDescent="0.25">
      <c r="A221" s="3"/>
      <c r="B221" s="3"/>
      <c r="C221" s="3"/>
      <c r="D221" s="3"/>
      <c r="E221" s="3"/>
      <c r="F221" s="3"/>
      <c r="G221" s="3"/>
      <c r="H221" s="3"/>
      <c r="I221" s="3"/>
      <c r="J221" s="3"/>
      <c r="K221" s="3"/>
      <c r="L221" s="3"/>
      <c r="M221" s="3"/>
      <c r="N221" s="3"/>
      <c r="O221" s="3"/>
      <c r="P221" s="3"/>
      <c r="Q221" s="3"/>
      <c r="R221" s="3"/>
    </row>
    <row r="222" spans="1:18" ht="15.75" customHeight="1" x14ac:dyDescent="0.25">
      <c r="A222" s="3"/>
      <c r="B222" s="3"/>
      <c r="C222" s="3"/>
      <c r="D222" s="3"/>
      <c r="E222" s="3"/>
      <c r="F222" s="3"/>
      <c r="G222" s="3"/>
      <c r="H222" s="3"/>
      <c r="I222" s="3"/>
      <c r="J222" s="3"/>
      <c r="K222" s="3"/>
      <c r="L222" s="3"/>
      <c r="M222" s="3"/>
      <c r="N222" s="3"/>
      <c r="O222" s="3"/>
      <c r="P222" s="3"/>
      <c r="Q222" s="3"/>
      <c r="R222" s="3"/>
    </row>
    <row r="223" spans="1:18" ht="15.75" customHeight="1" x14ac:dyDescent="0.25">
      <c r="A223" s="3"/>
      <c r="B223" s="3"/>
      <c r="C223" s="3"/>
      <c r="D223" s="3"/>
      <c r="E223" s="3"/>
      <c r="F223" s="3"/>
      <c r="G223" s="3"/>
      <c r="H223" s="3"/>
      <c r="I223" s="3"/>
      <c r="J223" s="3"/>
      <c r="K223" s="3"/>
      <c r="L223" s="3"/>
      <c r="M223" s="3"/>
      <c r="N223" s="3"/>
      <c r="O223" s="3"/>
      <c r="P223" s="3"/>
      <c r="Q223" s="3"/>
      <c r="R223" s="3"/>
    </row>
    <row r="224" spans="1:18" ht="15.75" customHeight="1" x14ac:dyDescent="0.25">
      <c r="A224" s="3"/>
      <c r="B224" s="3"/>
      <c r="C224" s="3"/>
      <c r="D224" s="3"/>
      <c r="E224" s="3"/>
      <c r="F224" s="3"/>
      <c r="G224" s="3"/>
      <c r="H224" s="3"/>
      <c r="I224" s="3"/>
      <c r="J224" s="3"/>
      <c r="K224" s="3"/>
      <c r="L224" s="3"/>
      <c r="M224" s="3"/>
      <c r="N224" s="3"/>
      <c r="O224" s="3"/>
      <c r="P224" s="3"/>
      <c r="Q224" s="3"/>
      <c r="R224" s="3"/>
    </row>
    <row r="225" spans="1:18" ht="15.75" customHeight="1" x14ac:dyDescent="0.25">
      <c r="A225" s="3"/>
      <c r="B225" s="3"/>
      <c r="C225" s="3"/>
      <c r="D225" s="3"/>
      <c r="E225" s="3"/>
      <c r="F225" s="3"/>
      <c r="G225" s="3"/>
      <c r="H225" s="3"/>
      <c r="I225" s="3"/>
      <c r="J225" s="3"/>
      <c r="K225" s="3"/>
      <c r="L225" s="3"/>
      <c r="M225" s="3"/>
      <c r="N225" s="3"/>
      <c r="O225" s="3"/>
      <c r="P225" s="3"/>
      <c r="Q225" s="3"/>
      <c r="R225" s="3"/>
    </row>
    <row r="226" spans="1:18" ht="15.75" customHeight="1" x14ac:dyDescent="0.25">
      <c r="A226" s="3"/>
      <c r="B226" s="3"/>
      <c r="C226" s="3"/>
      <c r="D226" s="3"/>
      <c r="E226" s="3"/>
      <c r="F226" s="3"/>
      <c r="G226" s="3"/>
      <c r="H226" s="3"/>
      <c r="I226" s="3"/>
      <c r="J226" s="3"/>
      <c r="K226" s="3"/>
      <c r="L226" s="3"/>
      <c r="M226" s="3"/>
      <c r="N226" s="3"/>
      <c r="O226" s="3"/>
      <c r="P226" s="3"/>
      <c r="Q226" s="3"/>
      <c r="R226" s="3"/>
    </row>
    <row r="227" spans="1:18" ht="15.75" customHeight="1" x14ac:dyDescent="0.25">
      <c r="A227" s="3"/>
      <c r="B227" s="3"/>
      <c r="C227" s="3"/>
      <c r="D227" s="3"/>
      <c r="E227" s="3"/>
      <c r="F227" s="3"/>
      <c r="G227" s="3"/>
      <c r="H227" s="3"/>
      <c r="I227" s="3"/>
      <c r="J227" s="3"/>
      <c r="K227" s="3"/>
      <c r="L227" s="3"/>
      <c r="M227" s="3"/>
      <c r="N227" s="3"/>
      <c r="O227" s="3"/>
      <c r="P227" s="3"/>
      <c r="Q227" s="3"/>
      <c r="R227" s="3"/>
    </row>
    <row r="228" spans="1:18" ht="15.75" customHeight="1" x14ac:dyDescent="0.25">
      <c r="A228" s="3"/>
      <c r="B228" s="3"/>
      <c r="C228" s="3"/>
      <c r="D228" s="3"/>
      <c r="E228" s="3"/>
      <c r="F228" s="3"/>
      <c r="G228" s="3"/>
      <c r="H228" s="3"/>
      <c r="I228" s="3"/>
      <c r="J228" s="3"/>
      <c r="K228" s="3"/>
      <c r="L228" s="3"/>
      <c r="M228" s="3"/>
      <c r="N228" s="3"/>
      <c r="O228" s="3"/>
      <c r="P228" s="3"/>
      <c r="Q228" s="3"/>
      <c r="R228" s="3"/>
    </row>
    <row r="229" spans="1:18" ht="15.75" customHeight="1" x14ac:dyDescent="0.25">
      <c r="A229" s="3"/>
      <c r="B229" s="3"/>
      <c r="C229" s="3"/>
      <c r="D229" s="3"/>
      <c r="E229" s="3"/>
      <c r="F229" s="3"/>
      <c r="G229" s="3"/>
      <c r="H229" s="3"/>
      <c r="I229" s="3"/>
      <c r="J229" s="3"/>
      <c r="K229" s="3"/>
      <c r="L229" s="3"/>
      <c r="M229" s="3"/>
      <c r="N229" s="3"/>
      <c r="O229" s="3"/>
      <c r="P229" s="3"/>
      <c r="Q229" s="3"/>
      <c r="R229" s="3"/>
    </row>
    <row r="230" spans="1:18" ht="15.75" customHeight="1" x14ac:dyDescent="0.25">
      <c r="A230" s="3"/>
      <c r="B230" s="3"/>
      <c r="C230" s="3"/>
      <c r="D230" s="3"/>
      <c r="E230" s="3"/>
      <c r="F230" s="3"/>
      <c r="G230" s="3"/>
      <c r="H230" s="3"/>
      <c r="I230" s="3"/>
      <c r="J230" s="3"/>
      <c r="K230" s="3"/>
      <c r="L230" s="3"/>
      <c r="M230" s="3"/>
      <c r="N230" s="3"/>
      <c r="O230" s="3"/>
      <c r="P230" s="3"/>
      <c r="Q230" s="3"/>
      <c r="R230" s="3"/>
    </row>
    <row r="231" spans="1:18" ht="15.75" customHeight="1" x14ac:dyDescent="0.25">
      <c r="A231" s="3"/>
      <c r="B231" s="3"/>
      <c r="C231" s="3"/>
      <c r="D231" s="3"/>
      <c r="E231" s="3"/>
      <c r="F231" s="3"/>
      <c r="G231" s="3"/>
      <c r="H231" s="3"/>
      <c r="I231" s="3"/>
      <c r="J231" s="3"/>
      <c r="K231" s="3"/>
      <c r="L231" s="3"/>
      <c r="M231" s="3"/>
      <c r="N231" s="3"/>
      <c r="O231" s="3"/>
      <c r="P231" s="3"/>
      <c r="Q231" s="3"/>
      <c r="R231" s="3"/>
    </row>
    <row r="232" spans="1:18" ht="15.75" customHeight="1" x14ac:dyDescent="0.25">
      <c r="A232" s="3"/>
      <c r="B232" s="3"/>
      <c r="C232" s="3"/>
      <c r="D232" s="3"/>
      <c r="E232" s="3"/>
      <c r="F232" s="3"/>
      <c r="G232" s="3"/>
      <c r="H232" s="3"/>
      <c r="I232" s="3"/>
      <c r="J232" s="3"/>
      <c r="K232" s="3"/>
      <c r="L232" s="3"/>
      <c r="M232" s="3"/>
      <c r="N232" s="3"/>
      <c r="O232" s="3"/>
      <c r="P232" s="3"/>
      <c r="Q232" s="3"/>
      <c r="R232" s="3"/>
    </row>
    <row r="233" spans="1:18" ht="15.75" customHeight="1" x14ac:dyDescent="0.25">
      <c r="A233" s="3"/>
      <c r="B233" s="3"/>
      <c r="C233" s="3"/>
      <c r="D233" s="3"/>
      <c r="E233" s="3"/>
      <c r="F233" s="3"/>
      <c r="G233" s="3"/>
      <c r="H233" s="3"/>
      <c r="I233" s="3"/>
      <c r="J233" s="3"/>
      <c r="K233" s="3"/>
      <c r="L233" s="3"/>
      <c r="M233" s="3"/>
      <c r="N233" s="3"/>
      <c r="O233" s="3"/>
      <c r="P233" s="3"/>
      <c r="Q233" s="3"/>
      <c r="R233" s="3"/>
    </row>
    <row r="234" spans="1:18" ht="15.75" customHeight="1" x14ac:dyDescent="0.25">
      <c r="A234" s="3"/>
      <c r="B234" s="3"/>
      <c r="C234" s="3"/>
      <c r="D234" s="3"/>
      <c r="E234" s="3"/>
      <c r="F234" s="3"/>
      <c r="G234" s="3"/>
      <c r="H234" s="3"/>
      <c r="I234" s="3"/>
      <c r="J234" s="3"/>
      <c r="K234" s="3"/>
      <c r="L234" s="3"/>
      <c r="M234" s="3"/>
      <c r="N234" s="3"/>
      <c r="O234" s="3"/>
      <c r="P234" s="3"/>
      <c r="Q234" s="3"/>
      <c r="R234" s="3"/>
    </row>
    <row r="235" spans="1:18" ht="15.75" customHeight="1" x14ac:dyDescent="0.25">
      <c r="A235" s="3"/>
      <c r="B235" s="3"/>
      <c r="C235" s="3"/>
      <c r="D235" s="3"/>
      <c r="E235" s="3"/>
      <c r="F235" s="3"/>
      <c r="G235" s="3"/>
      <c r="H235" s="3"/>
      <c r="I235" s="3"/>
      <c r="J235" s="3"/>
      <c r="K235" s="3"/>
      <c r="L235" s="3"/>
      <c r="M235" s="3"/>
      <c r="N235" s="3"/>
      <c r="O235" s="3"/>
      <c r="P235" s="3"/>
      <c r="Q235" s="3"/>
      <c r="R235" s="3"/>
    </row>
    <row r="236" spans="1:18" ht="15.75" customHeight="1" x14ac:dyDescent="0.25">
      <c r="A236" s="3"/>
      <c r="B236" s="3"/>
      <c r="C236" s="3"/>
      <c r="D236" s="3"/>
      <c r="E236" s="3"/>
      <c r="F236" s="3"/>
      <c r="G236" s="3"/>
      <c r="H236" s="3"/>
      <c r="I236" s="3"/>
      <c r="J236" s="3"/>
      <c r="K236" s="3"/>
      <c r="L236" s="3"/>
      <c r="M236" s="3"/>
      <c r="N236" s="3"/>
      <c r="O236" s="3"/>
      <c r="P236" s="3"/>
      <c r="Q236" s="3"/>
      <c r="R236" s="3"/>
    </row>
    <row r="237" spans="1:18" ht="15.75" customHeight="1" x14ac:dyDescent="0.25">
      <c r="A237" s="3"/>
      <c r="B237" s="3"/>
      <c r="C237" s="3"/>
      <c r="D237" s="3"/>
      <c r="E237" s="3"/>
      <c r="F237" s="3"/>
      <c r="G237" s="3"/>
      <c r="H237" s="3"/>
      <c r="I237" s="3"/>
      <c r="J237" s="3"/>
      <c r="K237" s="3"/>
      <c r="L237" s="3"/>
      <c r="M237" s="3"/>
      <c r="N237" s="3"/>
      <c r="O237" s="3"/>
      <c r="P237" s="3"/>
      <c r="Q237" s="3"/>
      <c r="R237" s="3"/>
    </row>
    <row r="238" spans="1:18" ht="15.75" customHeight="1" x14ac:dyDescent="0.25">
      <c r="A238" s="3"/>
      <c r="B238" s="3"/>
      <c r="C238" s="3"/>
      <c r="D238" s="3"/>
      <c r="E238" s="3"/>
      <c r="F238" s="3"/>
      <c r="G238" s="3"/>
      <c r="H238" s="3"/>
      <c r="I238" s="3"/>
      <c r="J238" s="3"/>
      <c r="K238" s="3"/>
      <c r="L238" s="3"/>
      <c r="M238" s="3"/>
      <c r="N238" s="3"/>
      <c r="O238" s="3"/>
      <c r="P238" s="3"/>
      <c r="Q238" s="3"/>
      <c r="R238" s="3"/>
    </row>
    <row r="239" spans="1:18" ht="15.75" customHeight="1" x14ac:dyDescent="0.25">
      <c r="A239" s="3"/>
      <c r="B239" s="3"/>
      <c r="C239" s="3"/>
      <c r="D239" s="3"/>
      <c r="E239" s="3"/>
      <c r="F239" s="3"/>
      <c r="G239" s="3"/>
      <c r="H239" s="3"/>
      <c r="I239" s="3"/>
      <c r="J239" s="3"/>
      <c r="K239" s="3"/>
      <c r="L239" s="3"/>
      <c r="M239" s="3"/>
      <c r="N239" s="3"/>
      <c r="O239" s="3"/>
      <c r="P239" s="3"/>
      <c r="Q239" s="3"/>
      <c r="R239" s="3"/>
    </row>
    <row r="240" spans="1:18" ht="15.75" customHeight="1" x14ac:dyDescent="0.25">
      <c r="A240" s="3"/>
      <c r="B240" s="3"/>
      <c r="C240" s="3"/>
      <c r="D240" s="3"/>
      <c r="E240" s="3"/>
      <c r="F240" s="3"/>
      <c r="G240" s="3"/>
      <c r="H240" s="3"/>
      <c r="I240" s="3"/>
      <c r="J240" s="3"/>
      <c r="K240" s="3"/>
      <c r="L240" s="3"/>
      <c r="M240" s="3"/>
      <c r="N240" s="3"/>
      <c r="O240" s="3"/>
      <c r="P240" s="3"/>
      <c r="Q240" s="3"/>
      <c r="R240" s="3"/>
    </row>
    <row r="241" spans="1:18" ht="15.75" customHeight="1" x14ac:dyDescent="0.25">
      <c r="A241" s="3"/>
      <c r="B241" s="3"/>
      <c r="C241" s="3"/>
      <c r="D241" s="3"/>
      <c r="E241" s="3"/>
      <c r="F241" s="3"/>
      <c r="G241" s="3"/>
      <c r="H241" s="3"/>
      <c r="I241" s="3"/>
      <c r="J241" s="3"/>
      <c r="K241" s="3"/>
      <c r="L241" s="3"/>
      <c r="M241" s="3"/>
      <c r="N241" s="3"/>
      <c r="O241" s="3"/>
      <c r="P241" s="3"/>
      <c r="Q241" s="3"/>
      <c r="R241" s="3"/>
    </row>
    <row r="242" spans="1:18" ht="15.75" customHeight="1" x14ac:dyDescent="0.25">
      <c r="A242" s="3"/>
      <c r="B242" s="3"/>
      <c r="C242" s="3"/>
      <c r="D242" s="3"/>
      <c r="E242" s="3"/>
      <c r="F242" s="3"/>
      <c r="G242" s="3"/>
      <c r="H242" s="3"/>
      <c r="I242" s="3"/>
      <c r="J242" s="3"/>
      <c r="K242" s="3"/>
      <c r="L242" s="3"/>
      <c r="M242" s="3"/>
      <c r="N242" s="3"/>
      <c r="O242" s="3"/>
      <c r="P242" s="3"/>
      <c r="Q242" s="3"/>
      <c r="R242" s="3"/>
    </row>
    <row r="243" spans="1:18" ht="15.75" customHeight="1" x14ac:dyDescent="0.25">
      <c r="A243" s="3"/>
      <c r="B243" s="3"/>
      <c r="C243" s="3"/>
      <c r="D243" s="3"/>
      <c r="E243" s="3"/>
      <c r="F243" s="3"/>
      <c r="G243" s="3"/>
      <c r="H243" s="3"/>
      <c r="I243" s="3"/>
      <c r="J243" s="3"/>
      <c r="K243" s="3"/>
      <c r="L243" s="3"/>
      <c r="M243" s="3"/>
      <c r="N243" s="3"/>
      <c r="O243" s="3"/>
      <c r="P243" s="3"/>
      <c r="Q243" s="3"/>
      <c r="R243" s="3"/>
    </row>
    <row r="244" spans="1:18" ht="15.75" customHeight="1" x14ac:dyDescent="0.25">
      <c r="A244" s="3"/>
      <c r="B244" s="3"/>
      <c r="C244" s="3"/>
      <c r="D244" s="3"/>
      <c r="E244" s="3"/>
      <c r="F244" s="3"/>
      <c r="G244" s="3"/>
      <c r="H244" s="3"/>
      <c r="I244" s="3"/>
      <c r="J244" s="3"/>
      <c r="K244" s="3"/>
      <c r="L244" s="3"/>
      <c r="M244" s="3"/>
      <c r="N244" s="3"/>
      <c r="O244" s="3"/>
      <c r="P244" s="3"/>
      <c r="Q244" s="3"/>
      <c r="R244" s="3"/>
    </row>
    <row r="245" spans="1:18" ht="15.75" customHeight="1" x14ac:dyDescent="0.25">
      <c r="A245" s="3"/>
      <c r="B245" s="3"/>
      <c r="C245" s="3"/>
      <c r="D245" s="3"/>
      <c r="E245" s="3"/>
      <c r="F245" s="3"/>
      <c r="G245" s="3"/>
      <c r="H245" s="3"/>
      <c r="I245" s="3"/>
      <c r="J245" s="3"/>
      <c r="K245" s="3"/>
      <c r="L245" s="3"/>
      <c r="M245" s="3"/>
      <c r="N245" s="3"/>
      <c r="O245" s="3"/>
      <c r="P245" s="3"/>
      <c r="Q245" s="3"/>
      <c r="R245" s="3"/>
    </row>
    <row r="246" spans="1:18" ht="15.75" customHeight="1" x14ac:dyDescent="0.25">
      <c r="A246" s="3"/>
      <c r="B246" s="3"/>
      <c r="C246" s="3"/>
      <c r="D246" s="3"/>
      <c r="E246" s="3"/>
      <c r="F246" s="3"/>
      <c r="G246" s="3"/>
      <c r="H246" s="3"/>
      <c r="I246" s="3"/>
      <c r="J246" s="3"/>
      <c r="K246" s="3"/>
      <c r="L246" s="3"/>
      <c r="M246" s="3"/>
      <c r="N246" s="3"/>
      <c r="O246" s="3"/>
      <c r="P246" s="3"/>
      <c r="Q246" s="3"/>
      <c r="R246" s="3"/>
    </row>
    <row r="247" spans="1:18" ht="15.75" customHeight="1" x14ac:dyDescent="0.25">
      <c r="A247" s="3"/>
      <c r="B247" s="3"/>
      <c r="C247" s="3"/>
      <c r="D247" s="3"/>
      <c r="E247" s="3"/>
      <c r="F247" s="3"/>
      <c r="G247" s="3"/>
      <c r="H247" s="3"/>
      <c r="I247" s="3"/>
      <c r="J247" s="3"/>
      <c r="K247" s="3"/>
      <c r="L247" s="3"/>
      <c r="M247" s="3"/>
      <c r="N247" s="3"/>
      <c r="O247" s="3"/>
      <c r="P247" s="3"/>
      <c r="Q247" s="3"/>
      <c r="R247" s="3"/>
    </row>
    <row r="248" spans="1:18" ht="15.75" customHeight="1" x14ac:dyDescent="0.25">
      <c r="A248" s="3"/>
      <c r="B248" s="3"/>
      <c r="C248" s="3"/>
      <c r="D248" s="3"/>
      <c r="E248" s="3"/>
      <c r="F248" s="3"/>
      <c r="G248" s="3"/>
      <c r="H248" s="3"/>
      <c r="I248" s="3"/>
      <c r="J248" s="3"/>
      <c r="K248" s="3"/>
      <c r="L248" s="3"/>
      <c r="M248" s="3"/>
      <c r="N248" s="3"/>
      <c r="O248" s="3"/>
      <c r="P248" s="3"/>
      <c r="Q248" s="3"/>
      <c r="R248" s="3"/>
    </row>
    <row r="249" spans="1:18" ht="15.75" customHeight="1" x14ac:dyDescent="0.25">
      <c r="A249" s="3"/>
      <c r="B249" s="3"/>
      <c r="C249" s="3"/>
      <c r="D249" s="3"/>
      <c r="E249" s="3"/>
      <c r="F249" s="3"/>
      <c r="G249" s="3"/>
      <c r="H249" s="3"/>
      <c r="I249" s="3"/>
      <c r="J249" s="3"/>
      <c r="K249" s="3"/>
      <c r="L249" s="3"/>
      <c r="M249" s="3"/>
      <c r="N249" s="3"/>
      <c r="O249" s="3"/>
      <c r="P249" s="3"/>
      <c r="Q249" s="3"/>
      <c r="R249" s="3"/>
    </row>
    <row r="250" spans="1:18" ht="15.75" customHeight="1" x14ac:dyDescent="0.25">
      <c r="A250" s="3"/>
      <c r="B250" s="3"/>
      <c r="C250" s="3"/>
      <c r="D250" s="3"/>
      <c r="E250" s="3"/>
      <c r="F250" s="3"/>
      <c r="G250" s="3"/>
      <c r="H250" s="3"/>
      <c r="I250" s="3"/>
      <c r="J250" s="3"/>
      <c r="K250" s="3"/>
      <c r="L250" s="3"/>
      <c r="M250" s="3"/>
      <c r="N250" s="3"/>
      <c r="O250" s="3"/>
      <c r="P250" s="3"/>
      <c r="Q250" s="3"/>
      <c r="R250" s="3"/>
    </row>
    <row r="251" spans="1:18" ht="15.75" customHeight="1" x14ac:dyDescent="0.25">
      <c r="A251" s="3"/>
      <c r="B251" s="3"/>
      <c r="C251" s="3"/>
      <c r="D251" s="3"/>
      <c r="E251" s="3"/>
      <c r="F251" s="3"/>
      <c r="G251" s="3"/>
      <c r="H251" s="3"/>
      <c r="I251" s="3"/>
      <c r="J251" s="3"/>
      <c r="K251" s="3"/>
      <c r="L251" s="3"/>
      <c r="M251" s="3"/>
      <c r="N251" s="3"/>
      <c r="O251" s="3"/>
      <c r="P251" s="3"/>
      <c r="Q251" s="3"/>
      <c r="R251" s="3"/>
    </row>
    <row r="252" spans="1:18" ht="15.75" customHeight="1" x14ac:dyDescent="0.25">
      <c r="A252" s="3"/>
      <c r="B252" s="3"/>
      <c r="C252" s="3"/>
      <c r="D252" s="3"/>
      <c r="E252" s="3"/>
      <c r="F252" s="3"/>
      <c r="G252" s="3"/>
      <c r="H252" s="3"/>
      <c r="I252" s="3"/>
      <c r="J252" s="3"/>
      <c r="K252" s="3"/>
      <c r="L252" s="3"/>
      <c r="M252" s="3"/>
      <c r="N252" s="3"/>
      <c r="O252" s="3"/>
      <c r="P252" s="3"/>
      <c r="Q252" s="3"/>
      <c r="R252" s="3"/>
    </row>
    <row r="253" spans="1:18" ht="15.75" customHeight="1" x14ac:dyDescent="0.25">
      <c r="A253" s="3"/>
      <c r="B253" s="3"/>
      <c r="C253" s="3"/>
      <c r="D253" s="3"/>
      <c r="E253" s="3"/>
      <c r="F253" s="3"/>
      <c r="G253" s="3"/>
      <c r="H253" s="3"/>
      <c r="I253" s="3"/>
      <c r="J253" s="3"/>
      <c r="K253" s="3"/>
      <c r="L253" s="3"/>
      <c r="M253" s="3"/>
      <c r="N253" s="3"/>
      <c r="O253" s="3"/>
      <c r="P253" s="3"/>
      <c r="Q253" s="3"/>
      <c r="R253" s="3"/>
    </row>
    <row r="254" spans="1:18" ht="15.75" customHeight="1" x14ac:dyDescent="0.25">
      <c r="A254" s="3"/>
      <c r="B254" s="3"/>
      <c r="C254" s="3"/>
      <c r="D254" s="3"/>
      <c r="E254" s="3"/>
      <c r="F254" s="3"/>
      <c r="G254" s="3"/>
      <c r="H254" s="3"/>
      <c r="I254" s="3"/>
      <c r="J254" s="3"/>
      <c r="K254" s="3"/>
      <c r="L254" s="3"/>
      <c r="M254" s="3"/>
      <c r="N254" s="3"/>
      <c r="O254" s="3"/>
      <c r="P254" s="3"/>
      <c r="Q254" s="3"/>
      <c r="R254" s="3"/>
    </row>
    <row r="255" spans="1:18" ht="15.75" customHeight="1" x14ac:dyDescent="0.25">
      <c r="A255" s="3"/>
      <c r="B255" s="3"/>
      <c r="C255" s="3"/>
      <c r="D255" s="3"/>
      <c r="E255" s="3"/>
      <c r="F255" s="3"/>
      <c r="G255" s="3"/>
      <c r="H255" s="3"/>
      <c r="I255" s="3"/>
      <c r="J255" s="3"/>
      <c r="K255" s="3"/>
      <c r="L255" s="3"/>
      <c r="M255" s="3"/>
      <c r="N255" s="3"/>
      <c r="O255" s="3"/>
      <c r="P255" s="3"/>
      <c r="Q255" s="3"/>
      <c r="R255" s="3"/>
    </row>
    <row r="256" spans="1:18" ht="15.75" customHeight="1" x14ac:dyDescent="0.25">
      <c r="A256" s="3"/>
      <c r="B256" s="3"/>
      <c r="C256" s="3"/>
      <c r="D256" s="3"/>
      <c r="E256" s="3"/>
      <c r="F256" s="3"/>
      <c r="G256" s="3"/>
      <c r="H256" s="3"/>
      <c r="I256" s="3"/>
      <c r="J256" s="3"/>
      <c r="K256" s="3"/>
      <c r="L256" s="3"/>
      <c r="M256" s="3"/>
      <c r="N256" s="3"/>
      <c r="O256" s="3"/>
      <c r="P256" s="3"/>
      <c r="Q256" s="3"/>
      <c r="R256" s="3"/>
    </row>
    <row r="257" spans="1:18" ht="15.75" customHeight="1" x14ac:dyDescent="0.25">
      <c r="A257" s="3"/>
      <c r="B257" s="3"/>
      <c r="C257" s="3"/>
      <c r="D257" s="3"/>
      <c r="E257" s="3"/>
      <c r="F257" s="3"/>
      <c r="G257" s="3"/>
      <c r="H257" s="3"/>
      <c r="I257" s="3"/>
      <c r="J257" s="3"/>
      <c r="K257" s="3"/>
      <c r="L257" s="3"/>
      <c r="M257" s="3"/>
      <c r="N257" s="3"/>
      <c r="O257" s="3"/>
      <c r="P257" s="3"/>
      <c r="Q257" s="3"/>
      <c r="R257" s="3"/>
    </row>
    <row r="258" spans="1:18" ht="15.75" customHeight="1" x14ac:dyDescent="0.25">
      <c r="A258" s="3"/>
      <c r="B258" s="3"/>
      <c r="C258" s="3"/>
      <c r="D258" s="3"/>
      <c r="E258" s="3"/>
      <c r="F258" s="3"/>
      <c r="G258" s="3"/>
      <c r="H258" s="3"/>
      <c r="I258" s="3"/>
      <c r="J258" s="3"/>
      <c r="K258" s="3"/>
      <c r="L258" s="3"/>
      <c r="M258" s="3"/>
      <c r="N258" s="3"/>
      <c r="O258" s="3"/>
      <c r="P258" s="3"/>
      <c r="Q258" s="3"/>
      <c r="R258" s="3"/>
    </row>
    <row r="259" spans="1:18" ht="15.75" customHeight="1" x14ac:dyDescent="0.25">
      <c r="A259" s="3"/>
      <c r="B259" s="3"/>
      <c r="C259" s="3"/>
      <c r="D259" s="3"/>
      <c r="E259" s="3"/>
      <c r="F259" s="3"/>
      <c r="G259" s="3"/>
      <c r="H259" s="3"/>
      <c r="I259" s="3"/>
      <c r="J259" s="3"/>
      <c r="K259" s="3"/>
      <c r="L259" s="3"/>
      <c r="M259" s="3"/>
      <c r="N259" s="3"/>
      <c r="O259" s="3"/>
      <c r="P259" s="3"/>
      <c r="Q259" s="3"/>
      <c r="R259" s="3"/>
    </row>
    <row r="260" spans="1:18" ht="15.75" customHeight="1" x14ac:dyDescent="0.25">
      <c r="A260" s="3"/>
      <c r="B260" s="3"/>
      <c r="C260" s="3"/>
      <c r="D260" s="3"/>
      <c r="E260" s="3"/>
      <c r="F260" s="3"/>
      <c r="G260" s="3"/>
      <c r="H260" s="3"/>
      <c r="I260" s="3"/>
      <c r="J260" s="3"/>
      <c r="K260" s="3"/>
      <c r="L260" s="3"/>
      <c r="M260" s="3"/>
      <c r="N260" s="3"/>
      <c r="O260" s="3"/>
      <c r="P260" s="3"/>
      <c r="Q260" s="3"/>
      <c r="R260" s="3"/>
    </row>
    <row r="261" spans="1:18" ht="15.75" customHeight="1" x14ac:dyDescent="0.25">
      <c r="A261" s="3"/>
      <c r="B261" s="3"/>
      <c r="C261" s="3"/>
      <c r="D261" s="3"/>
      <c r="E261" s="3"/>
      <c r="F261" s="3"/>
      <c r="G261" s="3"/>
      <c r="H261" s="3"/>
      <c r="I261" s="3"/>
      <c r="J261" s="3"/>
      <c r="K261" s="3"/>
      <c r="L261" s="3"/>
      <c r="M261" s="3"/>
      <c r="N261" s="3"/>
      <c r="O261" s="3"/>
      <c r="P261" s="3"/>
      <c r="Q261" s="3"/>
      <c r="R261" s="3"/>
    </row>
    <row r="262" spans="1:18" ht="15.75" customHeight="1" x14ac:dyDescent="0.25">
      <c r="A262" s="3"/>
      <c r="B262" s="3"/>
      <c r="C262" s="3"/>
      <c r="D262" s="3"/>
      <c r="E262" s="3"/>
      <c r="F262" s="3"/>
      <c r="G262" s="3"/>
      <c r="H262" s="3"/>
      <c r="I262" s="3"/>
      <c r="J262" s="3"/>
      <c r="K262" s="3"/>
      <c r="L262" s="3"/>
      <c r="M262" s="3"/>
      <c r="N262" s="3"/>
      <c r="O262" s="3"/>
      <c r="P262" s="3"/>
      <c r="Q262" s="3"/>
      <c r="R262" s="3"/>
    </row>
    <row r="263" spans="1:18" ht="15.75" customHeight="1" x14ac:dyDescent="0.25">
      <c r="A263" s="3"/>
      <c r="B263" s="3"/>
      <c r="C263" s="3"/>
      <c r="D263" s="3"/>
      <c r="E263" s="3"/>
      <c r="F263" s="3"/>
      <c r="G263" s="3"/>
      <c r="H263" s="3"/>
      <c r="I263" s="3"/>
      <c r="J263" s="3"/>
      <c r="K263" s="3"/>
      <c r="L263" s="3"/>
      <c r="M263" s="3"/>
      <c r="N263" s="3"/>
      <c r="O263" s="3"/>
      <c r="P263" s="3"/>
      <c r="Q263" s="3"/>
      <c r="R263" s="3"/>
    </row>
    <row r="264" spans="1:18" ht="15.75" customHeight="1" x14ac:dyDescent="0.25">
      <c r="A264" s="3"/>
      <c r="B264" s="3"/>
      <c r="C264" s="3"/>
      <c r="D264" s="3"/>
      <c r="E264" s="3"/>
      <c r="F264" s="3"/>
      <c r="G264" s="3"/>
      <c r="H264" s="3"/>
      <c r="I264" s="3"/>
      <c r="J264" s="3"/>
      <c r="K264" s="3"/>
      <c r="L264" s="3"/>
      <c r="M264" s="3"/>
      <c r="N264" s="3"/>
      <c r="O264" s="3"/>
      <c r="P264" s="3"/>
      <c r="Q264" s="3"/>
      <c r="R264" s="3"/>
    </row>
    <row r="265" spans="1:18" ht="15.75" customHeight="1" x14ac:dyDescent="0.25">
      <c r="A265" s="3"/>
      <c r="B265" s="3"/>
      <c r="C265" s="3"/>
      <c r="D265" s="3"/>
      <c r="E265" s="3"/>
      <c r="F265" s="3"/>
      <c r="G265" s="3"/>
      <c r="H265" s="3"/>
      <c r="I265" s="3"/>
      <c r="J265" s="3"/>
      <c r="K265" s="3"/>
      <c r="L265" s="3"/>
      <c r="M265" s="3"/>
      <c r="N265" s="3"/>
      <c r="O265" s="3"/>
      <c r="P265" s="3"/>
      <c r="Q265" s="3"/>
      <c r="R265" s="3"/>
    </row>
    <row r="266" spans="1:18" ht="15.75" customHeight="1" x14ac:dyDescent="0.25">
      <c r="A266" s="3"/>
      <c r="B266" s="3"/>
      <c r="C266" s="3"/>
      <c r="D266" s="3"/>
      <c r="E266" s="3"/>
      <c r="F266" s="3"/>
      <c r="G266" s="3"/>
      <c r="H266" s="3"/>
      <c r="I266" s="3"/>
      <c r="J266" s="3"/>
      <c r="K266" s="3"/>
      <c r="L266" s="3"/>
      <c r="M266" s="3"/>
      <c r="N266" s="3"/>
      <c r="O266" s="3"/>
      <c r="P266" s="3"/>
      <c r="Q266" s="3"/>
      <c r="R266" s="3"/>
    </row>
    <row r="267" spans="1:18" ht="15.75" customHeight="1" x14ac:dyDescent="0.25">
      <c r="A267" s="3"/>
      <c r="B267" s="3"/>
      <c r="C267" s="3"/>
      <c r="D267" s="3"/>
      <c r="E267" s="3"/>
      <c r="F267" s="3"/>
      <c r="G267" s="3"/>
      <c r="H267" s="3"/>
      <c r="I267" s="3"/>
      <c r="J267" s="3"/>
      <c r="K267" s="3"/>
      <c r="L267" s="3"/>
      <c r="M267" s="3"/>
      <c r="N267" s="3"/>
      <c r="O267" s="3"/>
      <c r="P267" s="3"/>
      <c r="Q267" s="3"/>
      <c r="R267" s="3"/>
    </row>
    <row r="268" spans="1:18" ht="15.75" customHeight="1" x14ac:dyDescent="0.25">
      <c r="A268" s="3"/>
      <c r="B268" s="3"/>
      <c r="C268" s="3"/>
      <c r="D268" s="3"/>
      <c r="E268" s="3"/>
      <c r="F268" s="3"/>
      <c r="G268" s="3"/>
      <c r="H268" s="3"/>
      <c r="I268" s="3"/>
      <c r="J268" s="3"/>
      <c r="K268" s="3"/>
      <c r="L268" s="3"/>
      <c r="M268" s="3"/>
      <c r="N268" s="3"/>
      <c r="O268" s="3"/>
      <c r="P268" s="3"/>
      <c r="Q268" s="3"/>
      <c r="R268" s="3"/>
    </row>
    <row r="269" spans="1:18" ht="15.75" customHeight="1" x14ac:dyDescent="0.25">
      <c r="A269" s="3"/>
      <c r="B269" s="3"/>
      <c r="C269" s="3"/>
      <c r="D269" s="3"/>
      <c r="E269" s="3"/>
      <c r="F269" s="3"/>
      <c r="G269" s="3"/>
      <c r="H269" s="3"/>
      <c r="I269" s="3"/>
      <c r="J269" s="3"/>
      <c r="K269" s="3"/>
      <c r="L269" s="3"/>
      <c r="M269" s="3"/>
      <c r="N269" s="3"/>
      <c r="O269" s="3"/>
      <c r="P269" s="3"/>
      <c r="Q269" s="3"/>
      <c r="R269" s="3"/>
    </row>
    <row r="270" spans="1:18" ht="15.75" customHeight="1" x14ac:dyDescent="0.25">
      <c r="A270" s="3"/>
      <c r="B270" s="3"/>
      <c r="C270" s="3"/>
      <c r="D270" s="3"/>
      <c r="E270" s="3"/>
      <c r="F270" s="3"/>
      <c r="G270" s="3"/>
      <c r="H270" s="3"/>
      <c r="I270" s="3"/>
      <c r="J270" s="3"/>
      <c r="K270" s="3"/>
      <c r="L270" s="3"/>
      <c r="M270" s="3"/>
      <c r="N270" s="3"/>
      <c r="O270" s="3"/>
      <c r="P270" s="3"/>
      <c r="Q270" s="3"/>
      <c r="R270" s="3"/>
    </row>
    <row r="271" spans="1:18" ht="15.75" customHeight="1" x14ac:dyDescent="0.25"/>
    <row r="272" spans="1:18"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6" zoomScale="160" zoomScaleNormal="160" workbookViewId="0">
      <selection activeCell="A22" sqref="A22"/>
    </sheetView>
  </sheetViews>
  <sheetFormatPr baseColWidth="10" defaultColWidth="14.42578125" defaultRowHeight="15" customHeight="1" x14ac:dyDescent="0.25"/>
  <cols>
    <col min="1" max="1" width="126.5703125" customWidth="1"/>
    <col min="2" max="6" width="10.7109375" customWidth="1"/>
  </cols>
  <sheetData>
    <row r="1" spans="1:1" x14ac:dyDescent="0.25">
      <c r="A1" s="20" t="s">
        <v>178</v>
      </c>
    </row>
    <row r="2" spans="1:1" x14ac:dyDescent="0.25">
      <c r="A2" s="21"/>
    </row>
    <row r="3" spans="1:1" x14ac:dyDescent="0.25">
      <c r="A3" s="22" t="s">
        <v>179</v>
      </c>
    </row>
    <row r="4" spans="1:1" x14ac:dyDescent="0.25">
      <c r="A4" s="21"/>
    </row>
    <row r="5" spans="1:1" ht="30" x14ac:dyDescent="0.25">
      <c r="A5" s="22" t="s">
        <v>180</v>
      </c>
    </row>
    <row r="6" spans="1:1" ht="30" x14ac:dyDescent="0.25">
      <c r="A6" s="23" t="s">
        <v>181</v>
      </c>
    </row>
    <row r="7" spans="1:1" x14ac:dyDescent="0.25">
      <c r="A7" s="23" t="s">
        <v>182</v>
      </c>
    </row>
    <row r="8" spans="1:1" ht="30" x14ac:dyDescent="0.25">
      <c r="A8" s="24" t="s">
        <v>183</v>
      </c>
    </row>
    <row r="9" spans="1:1" ht="30" x14ac:dyDescent="0.25">
      <c r="A9" s="24" t="s">
        <v>184</v>
      </c>
    </row>
    <row r="10" spans="1:1" ht="30" x14ac:dyDescent="0.25">
      <c r="A10" s="24" t="s">
        <v>185</v>
      </c>
    </row>
    <row r="11" spans="1:1" x14ac:dyDescent="0.25">
      <c r="A11" s="21"/>
    </row>
    <row r="12" spans="1:1" x14ac:dyDescent="0.25">
      <c r="A12" s="21"/>
    </row>
    <row r="13" spans="1:1" x14ac:dyDescent="0.25">
      <c r="A13" s="21"/>
    </row>
    <row r="14" spans="1:1" x14ac:dyDescent="0.25">
      <c r="A14" s="25" t="s">
        <v>186</v>
      </c>
    </row>
    <row r="15" spans="1:1" x14ac:dyDescent="0.25">
      <c r="A15" s="26" t="s">
        <v>187</v>
      </c>
    </row>
    <row r="16" spans="1:1" x14ac:dyDescent="0.25">
      <c r="A16" s="27"/>
    </row>
    <row r="17" spans="1:1" x14ac:dyDescent="0.25">
      <c r="A17" s="27"/>
    </row>
    <row r="18" spans="1:1" ht="103.5" customHeight="1" x14ac:dyDescent="0.25">
      <c r="A18" s="26"/>
    </row>
    <row r="19" spans="1:1" ht="15.75" customHeight="1" x14ac:dyDescent="0.25">
      <c r="A19" s="27"/>
    </row>
    <row r="20" spans="1:1" ht="15.75" customHeight="1" x14ac:dyDescent="0.25">
      <c r="A20" s="27"/>
    </row>
    <row r="21" spans="1:1" ht="15.75" customHeight="1" x14ac:dyDescent="0.25">
      <c r="A21" s="27"/>
    </row>
    <row r="22" spans="1:1" ht="15.75" customHeight="1" x14ac:dyDescent="0.25">
      <c r="A22" s="27"/>
    </row>
    <row r="23" spans="1:1" ht="15.75" customHeight="1" x14ac:dyDescent="0.25">
      <c r="A23" s="27"/>
    </row>
    <row r="24" spans="1:1" ht="15.75" customHeight="1" x14ac:dyDescent="0.25">
      <c r="A24" s="27"/>
    </row>
    <row r="25" spans="1:1" ht="15.75" customHeight="1" x14ac:dyDescent="0.25">
      <c r="A25" s="27"/>
    </row>
    <row r="26" spans="1:1" ht="27.75" customHeight="1" x14ac:dyDescent="0.25">
      <c r="A26" s="27"/>
    </row>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68"/>
  <sheetViews>
    <sheetView topLeftCell="L1" zoomScale="145" zoomScaleNormal="145" workbookViewId="0">
      <selection activeCell="S1" sqref="S1"/>
    </sheetView>
  </sheetViews>
  <sheetFormatPr baseColWidth="10" defaultColWidth="14.42578125" defaultRowHeight="15" customHeight="1" x14ac:dyDescent="0.25"/>
  <cols>
    <col min="1" max="1" width="8.85546875" customWidth="1"/>
    <col min="2" max="2" width="16.28515625" customWidth="1"/>
    <col min="3" max="3" width="36.85546875" customWidth="1"/>
    <col min="4" max="4" width="17" customWidth="1"/>
    <col min="5" max="5" width="13.5703125" customWidth="1"/>
    <col min="6" max="6" width="18" customWidth="1"/>
    <col min="7" max="7" width="18.140625" customWidth="1"/>
    <col min="8" max="8" width="19.85546875" customWidth="1"/>
    <col min="9" max="9" width="79.7109375" customWidth="1"/>
    <col min="10" max="10" width="31.140625" customWidth="1"/>
    <col min="11" max="11" width="24.28515625" customWidth="1"/>
    <col min="12" max="12" width="23.85546875" customWidth="1"/>
    <col min="13" max="13" width="29.28515625" customWidth="1"/>
    <col min="14" max="14" width="31.5703125" customWidth="1"/>
    <col min="15" max="15" width="42.7109375" customWidth="1"/>
    <col min="16" max="16" width="28.85546875" customWidth="1"/>
    <col min="17" max="17" width="24.42578125" customWidth="1"/>
    <col min="18" max="18" width="37.42578125" customWidth="1"/>
  </cols>
  <sheetData>
    <row r="1" spans="1:18" ht="24" x14ac:dyDescent="0.25">
      <c r="A1" s="28" t="s">
        <v>188</v>
      </c>
      <c r="B1" s="29" t="s">
        <v>189</v>
      </c>
      <c r="C1" s="28" t="s">
        <v>190</v>
      </c>
      <c r="D1" s="30" t="s">
        <v>88</v>
      </c>
      <c r="E1" s="30" t="s">
        <v>90</v>
      </c>
      <c r="F1" s="30" t="s">
        <v>91</v>
      </c>
      <c r="G1" s="31" t="s">
        <v>89</v>
      </c>
      <c r="H1" s="32" t="s">
        <v>191</v>
      </c>
      <c r="I1" s="30" t="s">
        <v>192</v>
      </c>
      <c r="J1" s="30" t="s">
        <v>193</v>
      </c>
      <c r="K1" s="30" t="s">
        <v>194</v>
      </c>
      <c r="L1" s="30" t="s">
        <v>195</v>
      </c>
      <c r="M1" s="30" t="s">
        <v>196</v>
      </c>
      <c r="N1" s="30" t="s">
        <v>197</v>
      </c>
      <c r="O1" s="108" t="s">
        <v>198</v>
      </c>
      <c r="P1" s="30" t="s">
        <v>199</v>
      </c>
      <c r="Q1" s="30" t="s">
        <v>200</v>
      </c>
      <c r="R1" s="30" t="s">
        <v>201</v>
      </c>
    </row>
    <row r="2" spans="1:18" ht="73.5" customHeight="1" x14ac:dyDescent="0.25">
      <c r="A2" s="33" t="s">
        <v>95</v>
      </c>
      <c r="B2" s="34" t="s">
        <v>202</v>
      </c>
      <c r="C2" s="32" t="str">
        <f>CONCATENATE(VLOOKUP($D2,CODIFICACIÓN_DPA!$A$2:$B$66,2,FALSE),VLOOKUP($G2,CODIFICACIÓN_DPA!$D$2:$E$6,2,FALSE),CONCATENATE(VLOOKUP($E2,CODIFICACIÓN_DPA!$G$2:$H$3,2,FALSE),VLOOKUP($F2,CODIFICACIÓN_DPA!$J$2:$K$10,2,FALSE)),A2)</f>
        <v>170154CO0205001</v>
      </c>
      <c r="D2" s="32" t="s">
        <v>116</v>
      </c>
      <c r="E2" s="32" t="s">
        <v>19</v>
      </c>
      <c r="F2" s="32" t="s">
        <v>38</v>
      </c>
      <c r="G2" s="32" t="s">
        <v>36</v>
      </c>
      <c r="H2" s="32" t="s">
        <v>203</v>
      </c>
      <c r="I2" s="32" t="s">
        <v>204</v>
      </c>
      <c r="J2" s="32" t="s">
        <v>205</v>
      </c>
      <c r="K2" s="35">
        <v>-2.0786319106067101E-2</v>
      </c>
      <c r="L2" s="35">
        <v>-78.553247946918503</v>
      </c>
      <c r="M2" s="32" t="s">
        <v>206</v>
      </c>
      <c r="N2" s="32" t="s">
        <v>207</v>
      </c>
      <c r="O2" s="32" t="s">
        <v>208</v>
      </c>
      <c r="P2" s="32" t="s">
        <v>209</v>
      </c>
      <c r="Q2" s="32" t="s">
        <v>210</v>
      </c>
      <c r="R2" s="36" t="s">
        <v>211</v>
      </c>
    </row>
    <row r="3" spans="1:18" ht="96" x14ac:dyDescent="0.25">
      <c r="A3" s="32" t="s">
        <v>212</v>
      </c>
      <c r="B3" s="34" t="s">
        <v>202</v>
      </c>
      <c r="C3" s="32" t="str">
        <f>CONCATENATE(VLOOKUP($D3,CODIFICACIÓN_DPA!$A$2:$B$66,2,FALSE),VLOOKUP($G3,CODIFICACIÓN_DPA!$D$2:$E$6,2,FALSE),CONCATENATE(VLOOKUP($E3,CODIFICACIÓN_DPA!$G$2:$H$3,2,FALSE),VLOOKUP($F3,CODIFICACIÓN_DPA!$J$2:$K$10,2,FALSE)),A3)</f>
        <v>170155CO0204002</v>
      </c>
      <c r="D3" s="32" t="s">
        <v>118</v>
      </c>
      <c r="E3" s="32" t="s">
        <v>19</v>
      </c>
      <c r="F3" s="32" t="s">
        <v>32</v>
      </c>
      <c r="G3" s="32" t="s">
        <v>36</v>
      </c>
      <c r="H3" s="32" t="s">
        <v>213</v>
      </c>
      <c r="I3" s="37" t="s">
        <v>214</v>
      </c>
      <c r="J3" s="32" t="s">
        <v>215</v>
      </c>
      <c r="K3" s="35">
        <v>-5.7963558484494498E-2</v>
      </c>
      <c r="L3" s="35">
        <v>-78.449686507951697</v>
      </c>
      <c r="M3" s="32"/>
      <c r="N3" s="32" t="s">
        <v>216</v>
      </c>
      <c r="O3" s="32" t="s">
        <v>217</v>
      </c>
      <c r="P3" s="32" t="s">
        <v>218</v>
      </c>
      <c r="Q3" s="32"/>
      <c r="R3" s="32" t="s">
        <v>219</v>
      </c>
    </row>
    <row r="4" spans="1:18" ht="84" x14ac:dyDescent="0.25">
      <c r="A4" s="32" t="s">
        <v>220</v>
      </c>
      <c r="B4" s="34" t="s">
        <v>202</v>
      </c>
      <c r="C4" s="32" t="str">
        <f>CONCATENATE(VLOOKUP($D4,CODIFICACIÓN_DPA!$A$2:$B$66,2,FALSE),VLOOKUP($G4,CODIFICACIÓN_DPA!$D$2:$E$6,2,FALSE),CONCATENATE(VLOOKUP($E4,CODIFICACIÓN_DPA!$G$2:$H$3,2,FALSE),VLOOKUP($F4,CODIFICACIÓN_DPA!$J$2:$K$10,2,FALSE)),A4)</f>
        <v>170155CO0209003</v>
      </c>
      <c r="D4" s="32" t="s">
        <v>118</v>
      </c>
      <c r="E4" s="32" t="s">
        <v>19</v>
      </c>
      <c r="F4" s="32" t="s">
        <v>54</v>
      </c>
      <c r="G4" s="32" t="s">
        <v>36</v>
      </c>
      <c r="H4" s="32" t="s">
        <v>221</v>
      </c>
      <c r="I4" s="37" t="s">
        <v>222</v>
      </c>
      <c r="J4" s="32" t="s">
        <v>223</v>
      </c>
      <c r="K4" s="35">
        <v>-0.12329098295450699</v>
      </c>
      <c r="L4" s="35">
        <v>-78.426922526561398</v>
      </c>
      <c r="M4" s="32" t="s">
        <v>224</v>
      </c>
      <c r="N4" s="32" t="s">
        <v>225</v>
      </c>
      <c r="O4" s="32" t="s">
        <v>226</v>
      </c>
      <c r="P4" s="32" t="s">
        <v>218</v>
      </c>
      <c r="Q4" s="32"/>
      <c r="R4" s="39" t="s">
        <v>227</v>
      </c>
    </row>
    <row r="5" spans="1:18" ht="84" x14ac:dyDescent="0.25">
      <c r="A5" s="32" t="s">
        <v>228</v>
      </c>
      <c r="B5" s="34" t="s">
        <v>202</v>
      </c>
      <c r="C5" s="32" t="str">
        <f>CONCATENATE(VLOOKUP($D5,CODIFICACIÓN_DPA!$A$2:$B$66,2,FALSE),VLOOKUP($G5,CODIFICACIÓN_DPA!$D$2:$E$6,2,FALSE),CONCATENATE(VLOOKUP($E5,CODIFICACIÓN_DPA!$G$2:$H$3,2,FALSE),VLOOKUP($F5,CODIFICACIÓN_DPA!$J$2:$K$10,2,FALSE)),A5)</f>
        <v>170101CU0102004</v>
      </c>
      <c r="D5" s="32" t="s">
        <v>8</v>
      </c>
      <c r="E5" s="32" t="s">
        <v>12</v>
      </c>
      <c r="F5" s="32" t="s">
        <v>21</v>
      </c>
      <c r="G5" s="32" t="s">
        <v>24</v>
      </c>
      <c r="H5" s="32" t="s">
        <v>229</v>
      </c>
      <c r="I5" s="32" t="s">
        <v>230</v>
      </c>
      <c r="J5" s="32" t="s">
        <v>231</v>
      </c>
      <c r="K5" s="35">
        <v>-0.19958008194624599</v>
      </c>
      <c r="L5" s="40">
        <v>-78.499459746842902</v>
      </c>
      <c r="M5" s="32" t="s">
        <v>224</v>
      </c>
      <c r="N5" s="32" t="s">
        <v>232</v>
      </c>
      <c r="O5" s="32" t="s">
        <v>217</v>
      </c>
      <c r="P5" s="32" t="s">
        <v>233</v>
      </c>
      <c r="Q5" s="32" t="s">
        <v>234</v>
      </c>
      <c r="R5" s="32" t="s">
        <v>235</v>
      </c>
    </row>
    <row r="6" spans="1:18" ht="108" x14ac:dyDescent="0.25">
      <c r="A6" s="32" t="s">
        <v>236</v>
      </c>
      <c r="B6" s="34" t="s">
        <v>202</v>
      </c>
      <c r="C6" s="32" t="str">
        <f>CONCATENATE(VLOOKUP($D6,CODIFICACIÓN_DPA!$A$2:$B$66,2,FALSE),VLOOKUP($G6,CODIFICACIÓN_DPA!$D$2:$E$6,2,FALSE),CONCATENATE(VLOOKUP($E6,CODIFICACIÓN_DPA!$G$2:$H$3,2,FALSE),VLOOKUP($F6,CODIFICACIÓN_DPA!$J$2:$K$10,2,FALSE)),A6)</f>
        <v>170112CU0103005</v>
      </c>
      <c r="D6" s="32" t="s">
        <v>60</v>
      </c>
      <c r="E6" s="32" t="s">
        <v>12</v>
      </c>
      <c r="F6" s="32" t="s">
        <v>26</v>
      </c>
      <c r="G6" s="32" t="s">
        <v>24</v>
      </c>
      <c r="H6" s="32" t="s">
        <v>237</v>
      </c>
      <c r="I6" s="37" t="s">
        <v>238</v>
      </c>
      <c r="J6" s="32" t="s">
        <v>239</v>
      </c>
      <c r="K6" s="35">
        <v>-0.174439200635429</v>
      </c>
      <c r="L6" s="35">
        <v>-78.487208546881604</v>
      </c>
      <c r="M6" s="39" t="s">
        <v>240</v>
      </c>
      <c r="N6" s="32" t="s">
        <v>241</v>
      </c>
      <c r="O6" s="32" t="s">
        <v>242</v>
      </c>
      <c r="P6" s="32"/>
      <c r="Q6" s="32" t="s">
        <v>243</v>
      </c>
      <c r="R6" s="39" t="s">
        <v>244</v>
      </c>
    </row>
    <row r="7" spans="1:18" ht="120" x14ac:dyDescent="0.25">
      <c r="A7" s="32" t="s">
        <v>245</v>
      </c>
      <c r="B7" s="34" t="s">
        <v>202</v>
      </c>
      <c r="C7" s="32" t="str">
        <f>CONCATENATE(VLOOKUP($D7,CODIFICACIÓN_DPA!$A$2:$B$66,2,FALSE),VLOOKUP($G7,CODIFICACIÓN_DPA!$D$2:$E$6,2,FALSE),CONCATENATE(VLOOKUP($E7,CODIFICACIÓN_DPA!$G$2:$H$3,2,FALSE),VLOOKUP($F7,CODIFICACIÓN_DPA!$J$2:$K$10,2,FALSE)),A7)</f>
        <v>170103CU0101006</v>
      </c>
      <c r="D7" s="32" t="s">
        <v>22</v>
      </c>
      <c r="E7" s="32" t="s">
        <v>12</v>
      </c>
      <c r="F7" s="32" t="s">
        <v>14</v>
      </c>
      <c r="G7" s="32" t="s">
        <v>24</v>
      </c>
      <c r="H7" s="32" t="s">
        <v>246</v>
      </c>
      <c r="I7" s="37" t="s">
        <v>247</v>
      </c>
      <c r="J7" s="32" t="s">
        <v>248</v>
      </c>
      <c r="K7" s="35">
        <v>-0.22662326008789099</v>
      </c>
      <c r="L7" s="35">
        <v>-78.5094929521089</v>
      </c>
      <c r="M7" s="32" t="s">
        <v>249</v>
      </c>
      <c r="N7" s="39" t="s">
        <v>250</v>
      </c>
      <c r="O7" s="32" t="s">
        <v>251</v>
      </c>
      <c r="P7" s="32"/>
      <c r="Q7" s="32" t="s">
        <v>252</v>
      </c>
      <c r="R7" s="41" t="s">
        <v>253</v>
      </c>
    </row>
    <row r="8" spans="1:18" ht="84" x14ac:dyDescent="0.25">
      <c r="A8" s="32" t="s">
        <v>254</v>
      </c>
      <c r="B8" s="34" t="s">
        <v>202</v>
      </c>
      <c r="C8" s="32" t="str">
        <f>CONCATENATE(VLOOKUP($D8,CODIFICACIÓN_DPA!$A$2:$B$66,2,FALSE),VLOOKUP($G8,CODIFICACIÓN_DPA!$D$2:$E$6,2,FALSE),CONCATENATE(VLOOKUP($E8,CODIFICACIÓN_DPA!$G$2:$H$3,2,FALSE),VLOOKUP($F8,CODIFICACIÓN_DPA!$J$2:$K$10,2,FALSE)),A8)</f>
        <v>170123CU0102007</v>
      </c>
      <c r="D8" s="32" t="s">
        <v>84</v>
      </c>
      <c r="E8" s="32" t="s">
        <v>12</v>
      </c>
      <c r="F8" s="32" t="s">
        <v>21</v>
      </c>
      <c r="G8" s="32" t="s">
        <v>24</v>
      </c>
      <c r="H8" s="32" t="s">
        <v>255</v>
      </c>
      <c r="I8" s="32" t="s">
        <v>256</v>
      </c>
      <c r="J8" s="32" t="s">
        <v>257</v>
      </c>
      <c r="K8" s="35">
        <v>-0.20341724359839</v>
      </c>
      <c r="L8" s="35">
        <v>-78.485623431540105</v>
      </c>
      <c r="M8" s="32" t="s">
        <v>258</v>
      </c>
      <c r="N8" s="32" t="s">
        <v>259</v>
      </c>
      <c r="O8" s="32" t="s">
        <v>260</v>
      </c>
      <c r="P8" s="32" t="s">
        <v>261</v>
      </c>
      <c r="Q8" s="32"/>
      <c r="R8" s="42" t="s">
        <v>262</v>
      </c>
    </row>
    <row r="9" spans="1:18" ht="84" x14ac:dyDescent="0.25">
      <c r="A9" s="32" t="s">
        <v>263</v>
      </c>
      <c r="B9" s="34" t="s">
        <v>202</v>
      </c>
      <c r="C9" s="32" t="str">
        <f>CONCATENATE(VLOOKUP($D9,CODIFICACIÓN_DPA!$A$2:$B$66,2,FALSE),VLOOKUP($G9,CODIFICACIÓN_DPA!$D$2:$E$6,2,FALSE),CONCATENATE(VLOOKUP($E9,CODIFICACIÓN_DPA!$G$2:$H$3,2,FALSE),VLOOKUP($F9,CODIFICACIÓN_DPA!$J$2:$K$10,2,FALSE)),A9)</f>
        <v>170130CU0101008</v>
      </c>
      <c r="D9" s="32" t="s">
        <v>104</v>
      </c>
      <c r="E9" s="32" t="s">
        <v>12</v>
      </c>
      <c r="F9" s="32" t="s">
        <v>14</v>
      </c>
      <c r="G9" s="32" t="s">
        <v>24</v>
      </c>
      <c r="H9" s="32" t="s">
        <v>264</v>
      </c>
      <c r="I9" s="37" t="s">
        <v>265</v>
      </c>
      <c r="J9" s="32" t="s">
        <v>266</v>
      </c>
      <c r="K9" s="35">
        <v>-0.21755945335854501</v>
      </c>
      <c r="L9" s="35">
        <v>-78.510565263219206</v>
      </c>
      <c r="M9" s="32" t="s">
        <v>267</v>
      </c>
      <c r="N9" s="32" t="s">
        <v>268</v>
      </c>
      <c r="O9" s="32" t="s">
        <v>269</v>
      </c>
      <c r="P9" s="32"/>
      <c r="Q9" s="32" t="s">
        <v>270</v>
      </c>
      <c r="R9" s="32" t="s">
        <v>271</v>
      </c>
    </row>
    <row r="10" spans="1:18" ht="72" x14ac:dyDescent="0.25">
      <c r="A10" s="32" t="s">
        <v>272</v>
      </c>
      <c r="B10" s="34" t="s">
        <v>202</v>
      </c>
      <c r="C10" s="32" t="str">
        <f>CONCATENATE(VLOOKUP($D10,CODIFICACIÓN_DPA!$A$2:$B$66,2,FALSE),VLOOKUP($G10,CODIFICACIÓN_DPA!$D$2:$E$6,2,FALSE),CONCATENATE(VLOOKUP($E10,CODIFICACIÓN_DPA!$G$2:$H$3,2,FALSE),VLOOKUP($F10,CODIFICACIÓN_DPA!$J$2:$K$10,2,FALSE)),A10)</f>
        <v>170103CU0101009</v>
      </c>
      <c r="D10" s="32" t="s">
        <v>22</v>
      </c>
      <c r="E10" s="32" t="s">
        <v>12</v>
      </c>
      <c r="F10" s="32" t="s">
        <v>14</v>
      </c>
      <c r="G10" s="32" t="s">
        <v>24</v>
      </c>
      <c r="H10" s="32" t="s">
        <v>273</v>
      </c>
      <c r="I10" s="37" t="s">
        <v>274</v>
      </c>
      <c r="J10" s="39" t="s">
        <v>275</v>
      </c>
      <c r="K10" s="35">
        <v>-0.22426299590773</v>
      </c>
      <c r="L10" s="35">
        <v>-78.514054019638195</v>
      </c>
      <c r="M10" s="39" t="s">
        <v>276</v>
      </c>
      <c r="N10" s="39" t="s">
        <v>277</v>
      </c>
      <c r="O10" s="39" t="s">
        <v>278</v>
      </c>
      <c r="P10" s="32" t="s">
        <v>279</v>
      </c>
      <c r="Q10" s="39" t="s">
        <v>280</v>
      </c>
      <c r="R10" s="39" t="s">
        <v>281</v>
      </c>
    </row>
    <row r="11" spans="1:18" ht="84" x14ac:dyDescent="0.25">
      <c r="A11" s="32" t="s">
        <v>282</v>
      </c>
      <c r="B11" s="34" t="s">
        <v>202</v>
      </c>
      <c r="C11" s="32" t="str">
        <f>CONCATENATE(VLOOKUP($D11,CODIFICACIÓN_DPA!$A$2:$B$66,2,FALSE),VLOOKUP($G11,CODIFICACIÓN_DPA!$D$2:$E$6,2,FALSE),CONCATENATE(VLOOKUP($E11,CODIFICACIÓN_DPA!$G$2:$H$3,2,FALSE),VLOOKUP($F11,CODIFICACIÓN_DPA!$J$2:$K$10,2,FALSE)),A11)</f>
        <v>170103CU0101010</v>
      </c>
      <c r="D11" s="32" t="s">
        <v>22</v>
      </c>
      <c r="E11" s="32" t="s">
        <v>12</v>
      </c>
      <c r="F11" s="32" t="s">
        <v>14</v>
      </c>
      <c r="G11" s="32" t="s">
        <v>24</v>
      </c>
      <c r="H11" s="32" t="s">
        <v>283</v>
      </c>
      <c r="I11" s="37" t="s">
        <v>284</v>
      </c>
      <c r="J11" s="39" t="s">
        <v>285</v>
      </c>
      <c r="K11" s="35">
        <v>-0.22426299590773</v>
      </c>
      <c r="L11" s="35">
        <v>-78.514054019638195</v>
      </c>
      <c r="M11" s="32" t="s">
        <v>286</v>
      </c>
      <c r="N11" s="32" t="s">
        <v>287</v>
      </c>
      <c r="O11" s="32" t="s">
        <v>288</v>
      </c>
      <c r="P11" s="32" t="s">
        <v>289</v>
      </c>
      <c r="Q11" s="32"/>
      <c r="R11" s="32" t="s">
        <v>290</v>
      </c>
    </row>
    <row r="12" spans="1:18" ht="144" x14ac:dyDescent="0.25">
      <c r="A12" s="32" t="s">
        <v>291</v>
      </c>
      <c r="B12" s="34" t="s">
        <v>202</v>
      </c>
      <c r="C12" s="32" t="str">
        <f>CONCATENATE(VLOOKUP($D12,CODIFICACIÓN_DPA!$A$2:$B$66,2,FALSE),VLOOKUP($G12,CODIFICACIÓN_DPA!$D$2:$E$6,2,FALSE),CONCATENATE(VLOOKUP($E12,CODIFICACIÓN_DPA!$G$2:$H$3,2,FALSE),VLOOKUP($F12,CODIFICACIÓN_DPA!$J$2:$K$10,2,FALSE)),A12)</f>
        <v>170103CU0101011</v>
      </c>
      <c r="D12" s="32" t="s">
        <v>22</v>
      </c>
      <c r="E12" s="32" t="s">
        <v>12</v>
      </c>
      <c r="F12" s="32" t="s">
        <v>14</v>
      </c>
      <c r="G12" s="32" t="s">
        <v>24</v>
      </c>
      <c r="H12" s="32" t="s">
        <v>292</v>
      </c>
      <c r="I12" s="37" t="s">
        <v>293</v>
      </c>
      <c r="J12" s="32" t="s">
        <v>294</v>
      </c>
      <c r="K12" s="35">
        <v>-0.21973703966771399</v>
      </c>
      <c r="L12" s="35">
        <v>-78.518576122758702</v>
      </c>
      <c r="M12" s="32" t="s">
        <v>224</v>
      </c>
      <c r="N12" s="32" t="s">
        <v>295</v>
      </c>
      <c r="O12" s="32" t="s">
        <v>217</v>
      </c>
      <c r="P12" s="32"/>
      <c r="Q12" s="32" t="s">
        <v>234</v>
      </c>
      <c r="R12" s="32"/>
    </row>
    <row r="13" spans="1:18" ht="120" x14ac:dyDescent="0.25">
      <c r="A13" s="32" t="s">
        <v>296</v>
      </c>
      <c r="B13" s="34" t="s">
        <v>202</v>
      </c>
      <c r="C13" s="32" t="str">
        <f>CONCATENATE(VLOOKUP($D13,CODIFICACIÓN_DPA!$A$2:$B$66,2,FALSE),VLOOKUP($G13,CODIFICACIÓN_DPA!$D$2:$E$6,2,FALSE),CONCATENATE(VLOOKUP($E13,CODIFICACIÓN_DPA!$G$2:$H$3,2,FALSE),VLOOKUP($F13,CODIFICACIÓN_DPA!$J$2:$K$10,2,FALSE)),A13)</f>
        <v>170112GA0103012</v>
      </c>
      <c r="D13" s="32" t="s">
        <v>60</v>
      </c>
      <c r="E13" s="32" t="s">
        <v>12</v>
      </c>
      <c r="F13" s="32" t="s">
        <v>26</v>
      </c>
      <c r="G13" s="32" t="s">
        <v>17</v>
      </c>
      <c r="H13" s="32" t="s">
        <v>297</v>
      </c>
      <c r="I13" s="32" t="s">
        <v>298</v>
      </c>
      <c r="J13" s="32" t="s">
        <v>299</v>
      </c>
      <c r="K13" s="35">
        <v>-0.190247891536026</v>
      </c>
      <c r="L13" s="35">
        <v>-78.469011848728897</v>
      </c>
      <c r="M13" s="32" t="s">
        <v>258</v>
      </c>
      <c r="N13" s="32" t="s">
        <v>300</v>
      </c>
      <c r="O13" s="32" t="s">
        <v>301</v>
      </c>
      <c r="P13" s="32" t="s">
        <v>302</v>
      </c>
      <c r="Q13" s="32"/>
      <c r="R13" s="43" t="s">
        <v>303</v>
      </c>
    </row>
    <row r="14" spans="1:18" ht="180" x14ac:dyDescent="0.25">
      <c r="A14" s="32" t="s">
        <v>304</v>
      </c>
      <c r="B14" s="34" t="s">
        <v>202</v>
      </c>
      <c r="C14" s="32" t="str">
        <f>CONCATENATE(VLOOKUP($D14,CODIFICACIÓN_DPA!$A$2:$B$66,2,FALSE),VLOOKUP($G14,CODIFICACIÓN_DPA!$D$2:$E$6,2,FALSE),CONCATENATE(VLOOKUP($E14,CODIFICACIÓN_DPA!$G$2:$H$3,2,FALSE),VLOOKUP($F14,CODIFICACIÓN_DPA!$J$2:$K$10,2,FALSE)),A14)</f>
        <v>170103GA0101013</v>
      </c>
      <c r="D14" s="32" t="s">
        <v>22</v>
      </c>
      <c r="E14" s="32" t="s">
        <v>12</v>
      </c>
      <c r="F14" s="32" t="s">
        <v>14</v>
      </c>
      <c r="G14" s="32" t="s">
        <v>17</v>
      </c>
      <c r="H14" s="32" t="s">
        <v>305</v>
      </c>
      <c r="I14" s="37" t="s">
        <v>306</v>
      </c>
      <c r="J14" s="32" t="s">
        <v>307</v>
      </c>
      <c r="K14" s="35">
        <v>-0.21769411775067599</v>
      </c>
      <c r="L14" s="35">
        <v>-78.510837160375502</v>
      </c>
      <c r="M14" s="32" t="s">
        <v>308</v>
      </c>
      <c r="N14" s="28" t="s">
        <v>309</v>
      </c>
      <c r="O14" s="32" t="s">
        <v>310</v>
      </c>
      <c r="P14" s="32" t="s">
        <v>311</v>
      </c>
      <c r="Q14" s="32"/>
      <c r="R14" s="32" t="s">
        <v>312</v>
      </c>
    </row>
    <row r="15" spans="1:18" ht="151.5" customHeight="1" x14ac:dyDescent="0.25">
      <c r="A15" s="32" t="s">
        <v>313</v>
      </c>
      <c r="B15" s="34" t="s">
        <v>202</v>
      </c>
      <c r="C15" s="32" t="str">
        <f>CONCATENATE(VLOOKUP($D15,CODIFICACIÓN_DPA!$A$2:$B$66,2,FALSE),VLOOKUP($G15,CODIFICACIÓN_DPA!$D$2:$E$6,2,FALSE),CONCATENATE(VLOOKUP($E15,CODIFICACIÓN_DPA!$G$2:$H$3,2,FALSE),VLOOKUP($F15,CODIFICACIÓN_DPA!$J$2:$K$10,2,FALSE)),A15)</f>
        <v>170123GA0102014</v>
      </c>
      <c r="D15" s="32" t="s">
        <v>84</v>
      </c>
      <c r="E15" s="32" t="s">
        <v>12</v>
      </c>
      <c r="F15" s="32" t="s">
        <v>21</v>
      </c>
      <c r="G15" s="32" t="s">
        <v>17</v>
      </c>
      <c r="H15" s="32" t="s">
        <v>314</v>
      </c>
      <c r="I15" s="32" t="s">
        <v>315</v>
      </c>
      <c r="J15" s="32" t="s">
        <v>316</v>
      </c>
      <c r="K15" s="35">
        <v>-0.20590726445773699</v>
      </c>
      <c r="L15" s="40">
        <v>-78.480806629766505</v>
      </c>
      <c r="M15" s="32" t="s">
        <v>224</v>
      </c>
      <c r="N15" s="32" t="s">
        <v>317</v>
      </c>
      <c r="O15" s="32" t="s">
        <v>318</v>
      </c>
      <c r="P15" s="32" t="s">
        <v>319</v>
      </c>
      <c r="Q15" s="32" t="s">
        <v>320</v>
      </c>
      <c r="R15" s="32" t="s">
        <v>321</v>
      </c>
    </row>
    <row r="16" spans="1:18" ht="154.5" customHeight="1" x14ac:dyDescent="0.25">
      <c r="A16" s="32" t="s">
        <v>322</v>
      </c>
      <c r="B16" s="34" t="s">
        <v>202</v>
      </c>
      <c r="C16" s="32" t="str">
        <f>CONCATENATE(VLOOKUP($D16,CODIFICACIÓN_DPA!$A$2:$B$66,2,FALSE),VLOOKUP($G16,CODIFICACIÓN_DPA!$D$2:$E$6,2,FALSE),CONCATENATE(VLOOKUP($E16,CODIFICACIÓN_DPA!$G$2:$H$3,2,FALSE),VLOOKUP($F16,CODIFICACIÓN_DPA!$J$2:$K$10,2,FALSE)),A16)</f>
        <v>170103GA0101015</v>
      </c>
      <c r="D16" s="32" t="s">
        <v>22</v>
      </c>
      <c r="E16" s="32" t="s">
        <v>12</v>
      </c>
      <c r="F16" s="32" t="s">
        <v>14</v>
      </c>
      <c r="G16" s="32" t="s">
        <v>17</v>
      </c>
      <c r="H16" s="32" t="s">
        <v>323</v>
      </c>
      <c r="I16" s="37" t="s">
        <v>324</v>
      </c>
      <c r="J16" s="32" t="s">
        <v>325</v>
      </c>
      <c r="K16" s="35">
        <v>-0.218018860458942</v>
      </c>
      <c r="L16" s="40">
        <v>-78.512052426987907</v>
      </c>
      <c r="M16" s="32" t="s">
        <v>326</v>
      </c>
      <c r="N16" s="32" t="s">
        <v>216</v>
      </c>
      <c r="O16" s="32" t="s">
        <v>327</v>
      </c>
      <c r="P16" s="32"/>
      <c r="Q16" s="32"/>
      <c r="R16" s="42" t="s">
        <v>328</v>
      </c>
    </row>
    <row r="17" spans="1:18" ht="72" x14ac:dyDescent="0.25">
      <c r="A17" s="32" t="s">
        <v>329</v>
      </c>
      <c r="B17" s="34" t="s">
        <v>202</v>
      </c>
      <c r="C17" s="32" t="str">
        <f>CONCATENATE(VLOOKUP($D17,CODIFICACIÓN_DPA!$A$2:$B$66,2,FALSE),VLOOKUP($G17,CODIFICACIÓN_DPA!$D$2:$E$6,2,FALSE),CONCATENATE(VLOOKUP($E17,CODIFICACIÓN_DPA!$G$2:$H$3,2,FALSE),VLOOKUP($F17,CODIFICACIÓN_DPA!$J$2:$K$10,2,FALSE)),A17)</f>
        <v>170179GA0208016</v>
      </c>
      <c r="D17" s="32" t="s">
        <v>162</v>
      </c>
      <c r="E17" s="32" t="s">
        <v>19</v>
      </c>
      <c r="F17" s="32" t="s">
        <v>50</v>
      </c>
      <c r="G17" s="32" t="s">
        <v>17</v>
      </c>
      <c r="H17" s="32" t="s">
        <v>330</v>
      </c>
      <c r="I17" s="32" t="s">
        <v>331</v>
      </c>
      <c r="J17" s="39" t="s">
        <v>332</v>
      </c>
      <c r="K17" s="35">
        <v>-0.20718541476562799</v>
      </c>
      <c r="L17" s="40">
        <v>-78.365027855782103</v>
      </c>
      <c r="M17" s="32" t="s">
        <v>267</v>
      </c>
      <c r="N17" s="32" t="s">
        <v>333</v>
      </c>
      <c r="O17" s="32" t="s">
        <v>334</v>
      </c>
      <c r="P17" s="32" t="s">
        <v>335</v>
      </c>
      <c r="Q17" s="32"/>
      <c r="R17" s="34" t="s">
        <v>336</v>
      </c>
    </row>
    <row r="18" spans="1:18" ht="108" x14ac:dyDescent="0.25">
      <c r="A18" s="32" t="s">
        <v>337</v>
      </c>
      <c r="B18" s="34" t="s">
        <v>202</v>
      </c>
      <c r="C18" s="32" t="str">
        <f>CONCATENATE(VLOOKUP($D18,CODIFICACIÓN_DPA!$A$2:$B$66,2,FALSE),VLOOKUP($G18,CODIFICACIÓN_DPA!$D$2:$E$6,2,FALSE),CONCATENATE(VLOOKUP($E18,CODIFICACIÓN_DPA!$G$2:$H$3,2,FALSE),VLOOKUP($F18,CODIFICACIÓN_DPA!$J$2:$K$10,2,FALSE)),A18)</f>
        <v>170177GA0204017</v>
      </c>
      <c r="D18" s="32" t="s">
        <v>158</v>
      </c>
      <c r="E18" s="32" t="s">
        <v>19</v>
      </c>
      <c r="F18" s="32" t="s">
        <v>32</v>
      </c>
      <c r="G18" s="32" t="s">
        <v>17</v>
      </c>
      <c r="H18" s="32" t="s">
        <v>338</v>
      </c>
      <c r="I18" s="39" t="s">
        <v>339</v>
      </c>
      <c r="J18" s="34" t="s">
        <v>340</v>
      </c>
      <c r="K18" s="35">
        <v>-5.7720143737651101E-2</v>
      </c>
      <c r="L18" s="35">
        <v>-78.457537334351002</v>
      </c>
      <c r="M18" s="32" t="s">
        <v>224</v>
      </c>
      <c r="N18" s="32" t="s">
        <v>216</v>
      </c>
      <c r="O18" s="32" t="s">
        <v>341</v>
      </c>
      <c r="P18" s="39" t="s">
        <v>342</v>
      </c>
      <c r="Q18" s="32"/>
      <c r="R18" s="45" t="s">
        <v>343</v>
      </c>
    </row>
    <row r="19" spans="1:18" ht="84" x14ac:dyDescent="0.25">
      <c r="A19" s="32" t="s">
        <v>344</v>
      </c>
      <c r="B19" s="34" t="s">
        <v>202</v>
      </c>
      <c r="C19" s="32" t="str">
        <f>CONCATENATE(VLOOKUP($D19,CODIFICACIÓN_DPA!$A$2:$B$66,2,FALSE),VLOOKUP($G19,CODIFICACIÓN_DPA!$D$2:$E$6,2,FALSE),CONCATENATE(VLOOKUP($E19,CODIFICACIÓN_DPA!$G$2:$H$3,2,FALSE),VLOOKUP($F19,CODIFICACIÓN_DPA!$J$2:$K$10,2,FALSE)),A19)</f>
        <v>170180GA0204018</v>
      </c>
      <c r="D19" s="32" t="s">
        <v>164</v>
      </c>
      <c r="E19" s="32" t="s">
        <v>19</v>
      </c>
      <c r="F19" s="32" t="s">
        <v>32</v>
      </c>
      <c r="G19" s="32" t="s">
        <v>17</v>
      </c>
      <c r="H19" s="32" t="s">
        <v>345</v>
      </c>
      <c r="I19" s="39" t="s">
        <v>346</v>
      </c>
      <c r="J19" s="32" t="s">
        <v>347</v>
      </c>
      <c r="K19" s="35">
        <v>1.0398060107720799E-3</v>
      </c>
      <c r="L19" s="35">
        <v>-78.45155884799</v>
      </c>
      <c r="M19" s="32" t="s">
        <v>224</v>
      </c>
      <c r="N19" s="32" t="s">
        <v>348</v>
      </c>
      <c r="O19" s="32" t="s">
        <v>334</v>
      </c>
      <c r="P19" s="32" t="s">
        <v>349</v>
      </c>
      <c r="Q19" s="32"/>
      <c r="R19" s="32" t="s">
        <v>350</v>
      </c>
    </row>
    <row r="20" spans="1:18" ht="126.75" customHeight="1" x14ac:dyDescent="0.25">
      <c r="A20" s="32" t="s">
        <v>351</v>
      </c>
      <c r="B20" s="34" t="s">
        <v>202</v>
      </c>
      <c r="C20" s="32" t="str">
        <f>CONCATENATE(VLOOKUP($D20,CODIFICACIÓN_DPA!$A$2:$B$66,2,FALSE),VLOOKUP($G20,CODIFICACIÓN_DPA!$D$2:$E$6,2,FALSE),CONCATENATE(VLOOKUP($E20,CODIFICACIÓN_DPA!$G$2:$H$3,2,FALSE),VLOOKUP($F20,CODIFICACIÓN_DPA!$J$2:$K$10,2,FALSE)),A20)</f>
        <v>170103GA0101019</v>
      </c>
      <c r="D20" s="32" t="s">
        <v>22</v>
      </c>
      <c r="E20" s="32" t="s">
        <v>12</v>
      </c>
      <c r="F20" s="32" t="s">
        <v>14</v>
      </c>
      <c r="G20" s="32" t="s">
        <v>17</v>
      </c>
      <c r="H20" s="32" t="s">
        <v>352</v>
      </c>
      <c r="I20" s="37" t="s">
        <v>353</v>
      </c>
      <c r="J20" s="39" t="s">
        <v>354</v>
      </c>
      <c r="K20" s="35">
        <v>-0.22401414530658501</v>
      </c>
      <c r="L20" s="40">
        <v>-78.514053433387602</v>
      </c>
      <c r="M20" s="32" t="s">
        <v>224</v>
      </c>
      <c r="N20" s="32" t="s">
        <v>355</v>
      </c>
      <c r="O20" s="32" t="s">
        <v>356</v>
      </c>
      <c r="P20" s="32" t="s">
        <v>357</v>
      </c>
      <c r="Q20" s="32"/>
      <c r="R20" s="32" t="s">
        <v>358</v>
      </c>
    </row>
    <row r="21" spans="1:18" ht="187.5" customHeight="1" x14ac:dyDescent="0.25">
      <c r="A21" s="32" t="s">
        <v>359</v>
      </c>
      <c r="B21" s="34" t="s">
        <v>202</v>
      </c>
      <c r="C21" s="32" t="str">
        <f>CONCATENATE(VLOOKUP($D21,CODIFICACIÓN_DPA!$A$2:$B$66,2,FALSE),VLOOKUP($G21,CODIFICACIÓN_DPA!$D$2:$E$6,2,FALSE),CONCATENATE(VLOOKUP($E21,CODIFICACIÓN_DPA!$G$2:$H$3,2,FALSE),VLOOKUP($F21,CODIFICACIÓN_DPA!$J$2:$K$10,2,FALSE)),A21)</f>
        <v>170123GA0102020</v>
      </c>
      <c r="D21" s="32" t="s">
        <v>84</v>
      </c>
      <c r="E21" s="32" t="s">
        <v>12</v>
      </c>
      <c r="F21" s="32" t="s">
        <v>21</v>
      </c>
      <c r="G21" s="32" t="s">
        <v>17</v>
      </c>
      <c r="H21" s="32" t="s">
        <v>360</v>
      </c>
      <c r="I21" s="39" t="s">
        <v>361</v>
      </c>
      <c r="J21" s="32" t="s">
        <v>362</v>
      </c>
      <c r="K21" s="35">
        <v>-0.203548897029631</v>
      </c>
      <c r="L21" s="40">
        <v>-78.490986336231302</v>
      </c>
      <c r="M21" s="32" t="s">
        <v>363</v>
      </c>
      <c r="N21" s="32" t="s">
        <v>364</v>
      </c>
      <c r="O21" s="32" t="s">
        <v>365</v>
      </c>
      <c r="P21" s="32" t="s">
        <v>261</v>
      </c>
      <c r="Q21" s="32" t="s">
        <v>243</v>
      </c>
      <c r="R21" s="32" t="s">
        <v>366</v>
      </c>
    </row>
    <row r="22" spans="1:18" ht="238.5" customHeight="1" x14ac:dyDescent="0.25">
      <c r="A22" s="32" t="s">
        <v>367</v>
      </c>
      <c r="B22" s="34" t="s">
        <v>202</v>
      </c>
      <c r="C22" s="32" t="str">
        <f>CONCATENATE(VLOOKUP($D22,CODIFICACIÓN_DPA!$A$2:$B$66,2,FALSE),VLOOKUP($G22,CODIFICACIÓN_DPA!$D$2:$E$6,2,FALSE),CONCATENATE(VLOOKUP($E22,CODIFICACIÓN_DPA!$G$2:$H$3,2,FALSE),VLOOKUP($F22,CODIFICACIÓN_DPA!$J$2:$K$10,2,FALSE)),A22)</f>
        <v>170177GA0204021</v>
      </c>
      <c r="D22" s="32" t="s">
        <v>158</v>
      </c>
      <c r="E22" s="32" t="s">
        <v>19</v>
      </c>
      <c r="F22" s="32" t="s">
        <v>32</v>
      </c>
      <c r="G22" s="32" t="s">
        <v>17</v>
      </c>
      <c r="H22" s="32" t="s">
        <v>368</v>
      </c>
      <c r="I22" s="32" t="s">
        <v>369</v>
      </c>
      <c r="J22" s="32" t="s">
        <v>370</v>
      </c>
      <c r="K22" s="35">
        <v>-4.8083003054336999E-2</v>
      </c>
      <c r="L22" s="35">
        <v>-78.455765846881505</v>
      </c>
      <c r="M22" s="32" t="s">
        <v>267</v>
      </c>
      <c r="N22" s="32" t="s">
        <v>371</v>
      </c>
      <c r="O22" s="39" t="s">
        <v>372</v>
      </c>
      <c r="P22" s="32"/>
      <c r="Q22" s="32"/>
      <c r="R22" s="42" t="s">
        <v>373</v>
      </c>
    </row>
    <row r="23" spans="1:18" ht="146.25" customHeight="1" x14ac:dyDescent="0.25">
      <c r="A23" s="32" t="s">
        <v>374</v>
      </c>
      <c r="B23" s="34" t="s">
        <v>202</v>
      </c>
      <c r="C23" s="32" t="str">
        <f>CONCATENATE(VLOOKUP($D23,CODIFICACIÓN_DPA!$A$2:$B$66,2,FALSE),VLOOKUP($G23,CODIFICACIÓN_DPA!$D$2:$E$6,2,FALSE),CONCATENATE(VLOOKUP($E23,CODIFICACIÓN_DPA!$G$2:$H$3,2,FALSE),VLOOKUP($F23,CODIFICACIÓN_DPA!$J$2:$K$10,2,FALSE)),A23)</f>
        <v>170103GA0101022</v>
      </c>
      <c r="D23" s="32" t="s">
        <v>22</v>
      </c>
      <c r="E23" s="32" t="s">
        <v>12</v>
      </c>
      <c r="F23" s="32" t="s">
        <v>14</v>
      </c>
      <c r="G23" s="32" t="s">
        <v>17</v>
      </c>
      <c r="H23" s="32" t="s">
        <v>375</v>
      </c>
      <c r="I23" s="39" t="s">
        <v>376</v>
      </c>
      <c r="J23" s="32" t="s">
        <v>377</v>
      </c>
      <c r="K23" s="35">
        <v>-0.220941481638842</v>
      </c>
      <c r="L23" s="35">
        <v>-78.514712617743996</v>
      </c>
      <c r="M23" s="32" t="s">
        <v>224</v>
      </c>
      <c r="N23" s="32" t="s">
        <v>378</v>
      </c>
      <c r="O23" s="32" t="s">
        <v>379</v>
      </c>
      <c r="P23" s="32"/>
      <c r="Q23" s="32"/>
      <c r="R23" s="39" t="s">
        <v>380</v>
      </c>
    </row>
    <row r="24" spans="1:18" ht="229.5" customHeight="1" x14ac:dyDescent="0.25">
      <c r="A24" s="32" t="s">
        <v>381</v>
      </c>
      <c r="B24" s="34" t="s">
        <v>202</v>
      </c>
      <c r="C24" s="32" t="str">
        <f>CONCATENATE(VLOOKUP($D24,CODIFICACIÓN_DPA!$A$2:$B$66,2,FALSE),VLOOKUP($G24,CODIFICACIÓN_DPA!$D$2:$E$6,2,FALSE),CONCATENATE(VLOOKUP($E24,CODIFICACIÓN_DPA!$G$2:$H$3,2,FALSE),VLOOKUP($F24,CODIFICACIÓN_DPA!$J$2:$K$10,2,FALSE)),A24)</f>
        <v>170103GA0101023</v>
      </c>
      <c r="D24" s="32" t="s">
        <v>22</v>
      </c>
      <c r="E24" s="32" t="s">
        <v>12</v>
      </c>
      <c r="F24" s="32" t="s">
        <v>14</v>
      </c>
      <c r="G24" s="32" t="s">
        <v>17</v>
      </c>
      <c r="H24" s="32" t="s">
        <v>382</v>
      </c>
      <c r="I24" s="32" t="s">
        <v>383</v>
      </c>
      <c r="J24" s="32" t="s">
        <v>384</v>
      </c>
      <c r="K24" s="35">
        <v>-0.21956106865633701</v>
      </c>
      <c r="L24" s="40">
        <v>-78.511079262560202</v>
      </c>
      <c r="M24" s="32" t="s">
        <v>385</v>
      </c>
      <c r="N24" s="32" t="s">
        <v>386</v>
      </c>
      <c r="O24" s="32" t="s">
        <v>387</v>
      </c>
      <c r="P24" s="32" t="s">
        <v>233</v>
      </c>
      <c r="Q24" s="32" t="s">
        <v>388</v>
      </c>
      <c r="R24" s="32" t="s">
        <v>389</v>
      </c>
    </row>
    <row r="25" spans="1:18" ht="120" x14ac:dyDescent="0.25">
      <c r="A25" s="32" t="s">
        <v>390</v>
      </c>
      <c r="B25" s="34" t="s">
        <v>202</v>
      </c>
      <c r="C25" s="32" t="str">
        <f>CONCATENATE(VLOOKUP($D25,CODIFICACIÓN_DPA!$A$2:$B$66,2,FALSE),VLOOKUP($G25,CODIFICACIÓN_DPA!$D$2:$E$6,2,FALSE),CONCATENATE(VLOOKUP($E25,CODIFICACIÓN_DPA!$G$2:$H$3,2,FALSE),VLOOKUP($F25,CODIFICACIÓN_DPA!$J$2:$K$10,2,FALSE)),A25)</f>
        <v>170112GA0103024</v>
      </c>
      <c r="D25" s="32" t="s">
        <v>60</v>
      </c>
      <c r="E25" s="32" t="s">
        <v>12</v>
      </c>
      <c r="F25" s="32" t="s">
        <v>26</v>
      </c>
      <c r="G25" s="32" t="s">
        <v>17</v>
      </c>
      <c r="H25" s="32" t="s">
        <v>391</v>
      </c>
      <c r="I25" s="34" t="s">
        <v>392</v>
      </c>
      <c r="J25" s="34" t="s">
        <v>393</v>
      </c>
      <c r="K25" s="35">
        <v>-0.17181432407522701</v>
      </c>
      <c r="L25" s="35">
        <v>-78.486269526725707</v>
      </c>
      <c r="M25" s="32" t="s">
        <v>224</v>
      </c>
      <c r="N25" s="32" t="s">
        <v>394</v>
      </c>
      <c r="O25" s="32" t="s">
        <v>217</v>
      </c>
      <c r="P25" s="32" t="s">
        <v>233</v>
      </c>
      <c r="Q25" s="32"/>
      <c r="R25" s="32" t="s">
        <v>395</v>
      </c>
    </row>
    <row r="26" spans="1:18" ht="84" x14ac:dyDescent="0.25">
      <c r="A26" s="32" t="s">
        <v>396</v>
      </c>
      <c r="B26" s="34" t="s">
        <v>202</v>
      </c>
      <c r="C26" s="32" t="str">
        <f>CONCATENATE(VLOOKUP($D26,CODIFICACIÓN_DPA!$A$2:$B$66,2,FALSE),VLOOKUP($G26,CODIFICACIÓN_DPA!$D$2:$E$6,2,FALSE),CONCATENATE(VLOOKUP($E26,CODIFICACIÓN_DPA!$G$2:$H$3,2,FALSE),VLOOKUP($F26,CODIFICACIÓN_DPA!$J$2:$K$10,2,FALSE)),A26)</f>
        <v>170103GA0101025</v>
      </c>
      <c r="D26" s="32" t="s">
        <v>22</v>
      </c>
      <c r="E26" s="32" t="s">
        <v>12</v>
      </c>
      <c r="F26" s="32" t="s">
        <v>14</v>
      </c>
      <c r="G26" s="32" t="s">
        <v>17</v>
      </c>
      <c r="H26" s="32" t="s">
        <v>397</v>
      </c>
      <c r="I26" s="32" t="s">
        <v>398</v>
      </c>
      <c r="J26" s="32" t="s">
        <v>399</v>
      </c>
      <c r="K26" s="35">
        <v>-0.21970285364426501</v>
      </c>
      <c r="L26" s="40">
        <v>-78.507084293249207</v>
      </c>
      <c r="M26" s="32"/>
      <c r="N26" s="32" t="s">
        <v>400</v>
      </c>
      <c r="O26" s="32" t="s">
        <v>363</v>
      </c>
      <c r="P26" s="32"/>
      <c r="Q26" s="32" t="s">
        <v>401</v>
      </c>
      <c r="R26" s="32" t="s">
        <v>402</v>
      </c>
    </row>
    <row r="27" spans="1:18" ht="252" customHeight="1" x14ac:dyDescent="0.25">
      <c r="A27" s="32" t="s">
        <v>403</v>
      </c>
      <c r="B27" s="34" t="s">
        <v>202</v>
      </c>
      <c r="C27" s="32" t="str">
        <f>CONCATENATE(VLOOKUP($D27,CODIFICACIÓN_DPA!$A$2:$B$66,2,FALSE),VLOOKUP($G27,CODIFICACIÓN_DPA!$D$2:$E$6,2,FALSE),CONCATENATE(VLOOKUP($E27,CODIFICACIÓN_DPA!$G$2:$H$3,2,FALSE),VLOOKUP($F27,CODIFICACIÓN_DPA!$J$2:$K$10,2,FALSE)),A27)</f>
        <v>170175NA0208026</v>
      </c>
      <c r="D27" s="32" t="s">
        <v>154</v>
      </c>
      <c r="E27" s="32" t="s">
        <v>19</v>
      </c>
      <c r="F27" s="32" t="s">
        <v>50</v>
      </c>
      <c r="G27" s="32" t="s">
        <v>10</v>
      </c>
      <c r="H27" s="46" t="s">
        <v>404</v>
      </c>
      <c r="I27" s="39" t="s">
        <v>405</v>
      </c>
      <c r="J27" s="32" t="s">
        <v>406</v>
      </c>
      <c r="K27" s="35">
        <v>-0.234548093648065</v>
      </c>
      <c r="L27" s="35">
        <v>-78.349949473018199</v>
      </c>
      <c r="M27" s="32" t="s">
        <v>407</v>
      </c>
      <c r="N27" s="32" t="s">
        <v>408</v>
      </c>
      <c r="O27" s="32" t="s">
        <v>409</v>
      </c>
      <c r="P27" s="32" t="s">
        <v>410</v>
      </c>
      <c r="Q27" s="32"/>
      <c r="R27" s="32" t="s">
        <v>411</v>
      </c>
    </row>
    <row r="28" spans="1:18" ht="204" x14ac:dyDescent="0.25">
      <c r="A28" s="32" t="s">
        <v>412</v>
      </c>
      <c r="B28" s="34" t="s">
        <v>202</v>
      </c>
      <c r="C28" s="32" t="str">
        <f>CONCATENATE(VLOOKUP($D28,CODIFICACIÓN_DPA!$A$2:$B$66,2,FALSE),VLOOKUP($G28,CODIFICACIÓN_DPA!$D$2:$E$6,2,FALSE),CONCATENATE(VLOOKUP($E28,CODIFICACIÓN_DPA!$G$2:$H$3,2,FALSE),VLOOKUP($F28,CODIFICACIÓN_DPA!$J$2:$K$10,2,FALSE)),A28)</f>
        <v>170175NA0208027</v>
      </c>
      <c r="D28" s="32" t="s">
        <v>154</v>
      </c>
      <c r="E28" s="32" t="s">
        <v>19</v>
      </c>
      <c r="F28" s="32" t="s">
        <v>50</v>
      </c>
      <c r="G28" s="32" t="s">
        <v>10</v>
      </c>
      <c r="H28" s="32" t="s">
        <v>413</v>
      </c>
      <c r="I28" s="32" t="s">
        <v>414</v>
      </c>
      <c r="J28" s="32" t="s">
        <v>415</v>
      </c>
      <c r="K28" s="35">
        <v>-0.26947666152556299</v>
      </c>
      <c r="L28" s="35">
        <v>-78.285610566632798</v>
      </c>
      <c r="M28" s="32" t="s">
        <v>286</v>
      </c>
      <c r="N28" s="39" t="s">
        <v>416</v>
      </c>
      <c r="O28" s="32" t="s">
        <v>417</v>
      </c>
      <c r="P28" s="32" t="s">
        <v>418</v>
      </c>
      <c r="Q28" s="32" t="s">
        <v>419</v>
      </c>
      <c r="R28" s="32" t="s">
        <v>420</v>
      </c>
    </row>
    <row r="29" spans="1:18" ht="192.75" customHeight="1" x14ac:dyDescent="0.25">
      <c r="A29" s="32" t="s">
        <v>421</v>
      </c>
      <c r="B29" s="34" t="s">
        <v>202</v>
      </c>
      <c r="C29" s="32" t="str">
        <f>CONCATENATE(VLOOKUP($D29,CODIFICACIÓN_DPA!$A$2:$B$66,2,FALSE),VLOOKUP($G29,CODIFICACIÓN_DPA!$D$2:$E$6,2,FALSE),CONCATENATE(VLOOKUP($E29,CODIFICACIÓN_DPA!$G$2:$H$3,2,FALSE),VLOOKUP($F29,CODIFICACIÓN_DPA!$J$2:$K$10,2,FALSE)),A29)</f>
        <v>170172NA0205028</v>
      </c>
      <c r="D29" s="32" t="s">
        <v>150</v>
      </c>
      <c r="E29" s="32" t="s">
        <v>19</v>
      </c>
      <c r="F29" s="32" t="s">
        <v>38</v>
      </c>
      <c r="G29" s="32" t="s">
        <v>10</v>
      </c>
      <c r="H29" s="32" t="s">
        <v>422</v>
      </c>
      <c r="I29" s="32" t="s">
        <v>423</v>
      </c>
      <c r="J29" s="32" t="s">
        <v>424</v>
      </c>
      <c r="K29" s="35">
        <v>0.182112333014323</v>
      </c>
      <c r="L29" s="35">
        <v>-78.909785114918193</v>
      </c>
      <c r="M29" s="32" t="s">
        <v>425</v>
      </c>
      <c r="N29" s="32" t="s">
        <v>426</v>
      </c>
      <c r="O29" s="32" t="s">
        <v>427</v>
      </c>
      <c r="P29" s="32" t="s">
        <v>218</v>
      </c>
      <c r="Q29" s="32"/>
      <c r="R29" s="47" t="s">
        <v>428</v>
      </c>
    </row>
    <row r="30" spans="1:18" ht="15.75" customHeight="1" x14ac:dyDescent="0.25">
      <c r="A30" s="32" t="s">
        <v>429</v>
      </c>
      <c r="B30" s="34" t="s">
        <v>430</v>
      </c>
      <c r="C30" s="32" t="str">
        <f>CONCATENATE(VLOOKUP($D30,CODIFICACIÓN_DPA!$A$2:$B$66,2,FALSE),VLOOKUP($G30,CODIFICACIÓN_DPA!$D$2:$E$6,2,FALSE),CONCATENATE(VLOOKUP($E30,CODIFICACIÓN_DPA!$G$2:$H$3,2,FALSE),VLOOKUP($F30,CODIFICACIÓN_DPA!$J$2:$K$10,2,FALSE)),A30)</f>
        <v>170103CU0101029</v>
      </c>
      <c r="D30" s="32" t="s">
        <v>22</v>
      </c>
      <c r="E30" s="32" t="s">
        <v>12</v>
      </c>
      <c r="F30" s="32" t="s">
        <v>14</v>
      </c>
      <c r="G30" s="32" t="s">
        <v>24</v>
      </c>
      <c r="H30" s="32" t="s">
        <v>431</v>
      </c>
      <c r="I30" s="32" t="s">
        <v>432</v>
      </c>
      <c r="J30" s="32" t="s">
        <v>433</v>
      </c>
      <c r="K30" s="32">
        <v>-0.22134999999999999</v>
      </c>
      <c r="L30" s="32">
        <v>-78.512979999999999</v>
      </c>
      <c r="M30" s="32" t="s">
        <v>434</v>
      </c>
      <c r="N30" s="32" t="s">
        <v>216</v>
      </c>
      <c r="O30" s="32" t="s">
        <v>363</v>
      </c>
      <c r="P30" s="32"/>
      <c r="Q30" s="32"/>
      <c r="R30" s="32"/>
    </row>
    <row r="31" spans="1:18" ht="15.75" customHeight="1" x14ac:dyDescent="0.25">
      <c r="A31" s="32" t="s">
        <v>435</v>
      </c>
      <c r="B31" s="34" t="s">
        <v>202</v>
      </c>
      <c r="C31" s="32" t="str">
        <f>CONCATENATE(VLOOKUP($D31,CODIFICACIÓN_DPA!$A$2:$B$66,2,FALSE),VLOOKUP($G31,CODIFICACIÓN_DPA!$D$2:$E$6,2,FALSE),CONCATENATE(VLOOKUP($E31,CODIFICACIÓN_DPA!$G$2:$H$3,2,FALSE),VLOOKUP($F31,CODIFICACIÓN_DPA!$J$2:$K$10,2,FALSE)),A31)</f>
        <v>170154GA0205030</v>
      </c>
      <c r="D31" s="32" t="s">
        <v>116</v>
      </c>
      <c r="E31" s="32" t="s">
        <v>19</v>
      </c>
      <c r="F31" s="32" t="s">
        <v>38</v>
      </c>
      <c r="G31" s="32" t="s">
        <v>17</v>
      </c>
      <c r="H31" s="32" t="s">
        <v>436</v>
      </c>
      <c r="I31" s="32" t="s">
        <v>437</v>
      </c>
      <c r="J31" s="39" t="s">
        <v>438</v>
      </c>
      <c r="K31" s="35">
        <v>-5.5870979798165396E-4</v>
      </c>
      <c r="L31" s="40">
        <v>-78.509010964414102</v>
      </c>
      <c r="M31" s="32" t="s">
        <v>434</v>
      </c>
      <c r="N31" s="32" t="s">
        <v>439</v>
      </c>
      <c r="O31" s="32" t="s">
        <v>440</v>
      </c>
      <c r="P31" s="32" t="s">
        <v>441</v>
      </c>
      <c r="Q31" s="32"/>
      <c r="R31" s="32">
        <v>969006237</v>
      </c>
    </row>
    <row r="32" spans="1:18" ht="94.5" customHeight="1" x14ac:dyDescent="0.25">
      <c r="A32" s="32" t="s">
        <v>442</v>
      </c>
      <c r="B32" s="34" t="s">
        <v>202</v>
      </c>
      <c r="C32" s="32" t="str">
        <f>CONCATENATE(VLOOKUP($D32,CODIFICACIÓN_DPA!$A$2:$B$66,2,FALSE),VLOOKUP($G32,CODIFICACIÓN_DPA!$D$2:$E$6,2,FALSE),CONCATENATE(VLOOKUP($E32,CODIFICACIÓN_DPA!$G$2:$H$3,2,FALSE),VLOOKUP($F32,CODIFICACIÓN_DPA!$J$2:$K$10,2,FALSE)),A32)</f>
        <v>170176AV0207031</v>
      </c>
      <c r="D32" s="32" t="s">
        <v>156</v>
      </c>
      <c r="E32" s="32" t="s">
        <v>19</v>
      </c>
      <c r="F32" s="32" t="s">
        <v>46</v>
      </c>
      <c r="G32" s="32" t="s">
        <v>30</v>
      </c>
      <c r="H32" s="32" t="s">
        <v>443</v>
      </c>
      <c r="I32" s="32" t="s">
        <v>444</v>
      </c>
      <c r="J32" s="32" t="s">
        <v>445</v>
      </c>
      <c r="K32" s="35">
        <v>-0.44569524894673201</v>
      </c>
      <c r="L32" s="35">
        <v>-78.327904428735593</v>
      </c>
      <c r="M32" s="32" t="s">
        <v>446</v>
      </c>
      <c r="N32" s="32" t="s">
        <v>447</v>
      </c>
      <c r="O32" s="32" t="s">
        <v>448</v>
      </c>
      <c r="P32" s="32" t="s">
        <v>363</v>
      </c>
      <c r="Q32" s="32" t="s">
        <v>449</v>
      </c>
      <c r="R32" s="32"/>
    </row>
    <row r="33" spans="1:18" ht="153.75" customHeight="1" x14ac:dyDescent="0.25">
      <c r="A33" s="32" t="s">
        <v>450</v>
      </c>
      <c r="B33" s="32" t="s">
        <v>430</v>
      </c>
      <c r="C33" s="32" t="str">
        <f>CONCATENATE(VLOOKUP($D33,CODIFICACIÓN_DPA!$A$2:$B$66,2,FALSE),VLOOKUP($G33,CODIFICACIÓN_DPA!$D$2:$E$6,2,FALSE),CONCATENATE(VLOOKUP($E33,CODIFICACIÓN_DPA!$G$2:$H$3,2,FALSE),VLOOKUP($F33,CODIFICACIÓN_DPA!$J$2:$K$10,2,FALSE)),A33)</f>
        <v>170175AV0208032</v>
      </c>
      <c r="D33" s="32" t="s">
        <v>154</v>
      </c>
      <c r="E33" s="32" t="s">
        <v>19</v>
      </c>
      <c r="F33" s="32" t="s">
        <v>50</v>
      </c>
      <c r="G33" s="32" t="s">
        <v>30</v>
      </c>
      <c r="H33" s="32" t="s">
        <v>451</v>
      </c>
      <c r="I33" s="32" t="s">
        <v>452</v>
      </c>
      <c r="J33" s="39" t="s">
        <v>453</v>
      </c>
      <c r="K33" s="32">
        <v>-0.30986655320780399</v>
      </c>
      <c r="L33" s="32">
        <v>-78.146515528740096</v>
      </c>
      <c r="M33" s="32" t="s">
        <v>454</v>
      </c>
      <c r="N33" s="32" t="s">
        <v>455</v>
      </c>
      <c r="O33" s="32" t="s">
        <v>448</v>
      </c>
      <c r="P33" s="32" t="s">
        <v>456</v>
      </c>
      <c r="Q33" s="32" t="s">
        <v>457</v>
      </c>
      <c r="R33" s="32"/>
    </row>
    <row r="34" spans="1:18" ht="175.5" customHeight="1" x14ac:dyDescent="0.25">
      <c r="A34" s="32" t="s">
        <v>458</v>
      </c>
      <c r="B34" s="32" t="s">
        <v>202</v>
      </c>
      <c r="C34" s="32" t="str">
        <f>CONCATENATE(VLOOKUP($D34,CODIFICACIÓN_DPA!$A$2:$B$66,2,FALSE),VLOOKUP($G34,CODIFICACIÓN_DPA!$D$2:$E$6,2,FALSE),CONCATENATE(VLOOKUP($E34,CODIFICACIÓN_DPA!$G$2:$H$3,2,FALSE),VLOOKUP($F34,CODIFICACIÓN_DPA!$J$2:$K$10,2,FALSE)),A34)</f>
        <v>170176AV0207033</v>
      </c>
      <c r="D34" s="32" t="s">
        <v>156</v>
      </c>
      <c r="E34" s="32" t="s">
        <v>19</v>
      </c>
      <c r="F34" s="32" t="s">
        <v>46</v>
      </c>
      <c r="G34" s="32" t="s">
        <v>30</v>
      </c>
      <c r="H34" s="32" t="s">
        <v>459</v>
      </c>
      <c r="I34" s="39" t="s">
        <v>460</v>
      </c>
      <c r="J34" s="39" t="s">
        <v>461</v>
      </c>
      <c r="K34" s="35">
        <v>-0.447511751091896</v>
      </c>
      <c r="L34" s="35">
        <v>-78.336639841339206</v>
      </c>
      <c r="M34" s="32" t="s">
        <v>267</v>
      </c>
      <c r="N34" s="32" t="s">
        <v>462</v>
      </c>
      <c r="O34" s="32" t="s">
        <v>463</v>
      </c>
      <c r="P34" s="32" t="s">
        <v>363</v>
      </c>
      <c r="Q34" s="32" t="s">
        <v>457</v>
      </c>
      <c r="R34" s="32"/>
    </row>
    <row r="35" spans="1:18" ht="15.75" customHeight="1" x14ac:dyDescent="0.25">
      <c r="A35" s="32" t="s">
        <v>464</v>
      </c>
      <c r="B35" s="32" t="s">
        <v>202</v>
      </c>
      <c r="C35" s="32" t="str">
        <f>CONCATENATE(VLOOKUP($D35,CODIFICACIÓN_DPA!$A$2:$B$66,2,FALSE),VLOOKUP($G35,CODIFICACIÓN_DPA!$D$2:$E$6,2,FALSE),CONCATENATE(VLOOKUP($E35,CODIFICACIÓN_DPA!$G$2:$H$3,2,FALSE),VLOOKUP($F35,CODIFICACIÓN_DPA!$J$2:$K$10,2,FALSE)),A35)</f>
        <v>170154AV0204034</v>
      </c>
      <c r="D35" s="32" t="s">
        <v>116</v>
      </c>
      <c r="E35" s="32" t="s">
        <v>19</v>
      </c>
      <c r="F35" s="32" t="s">
        <v>32</v>
      </c>
      <c r="G35" s="32" t="s">
        <v>30</v>
      </c>
      <c r="H35" s="32" t="s">
        <v>465</v>
      </c>
      <c r="I35" s="32" t="s">
        <v>466</v>
      </c>
      <c r="J35" s="32" t="s">
        <v>467</v>
      </c>
      <c r="K35" s="35">
        <v>-2.5227896938211699E-2</v>
      </c>
      <c r="L35" s="35">
        <v>-78.4827446587542</v>
      </c>
      <c r="M35" s="32" t="s">
        <v>468</v>
      </c>
      <c r="N35" s="32" t="s">
        <v>469</v>
      </c>
      <c r="O35" s="32" t="s">
        <v>448</v>
      </c>
      <c r="P35" s="32" t="s">
        <v>363</v>
      </c>
      <c r="Q35" s="32" t="s">
        <v>449</v>
      </c>
      <c r="R35" s="32" t="s">
        <v>470</v>
      </c>
    </row>
    <row r="36" spans="1:18" ht="133.5" customHeight="1" x14ac:dyDescent="0.25">
      <c r="A36" s="32" t="s">
        <v>471</v>
      </c>
      <c r="B36" s="32" t="s">
        <v>202</v>
      </c>
      <c r="C36" s="32" t="str">
        <f>CONCATENATE(VLOOKUP($D36,CODIFICACIÓN_DPA!$A$2:$B$66,2,FALSE),VLOOKUP($G36,CODIFICACIÓN_DPA!$D$2:$E$6,2,FALSE),CONCATENATE(VLOOKUP($E36,CODIFICACIÓN_DPA!$G$2:$H$3,2,FALSE),VLOOKUP($F36,CODIFICACIÓN_DPA!$J$2:$K$10,2,FALSE)),A36)</f>
        <v>170172AV0205035</v>
      </c>
      <c r="D36" s="32" t="s">
        <v>150</v>
      </c>
      <c r="E36" s="32" t="s">
        <v>19</v>
      </c>
      <c r="F36" s="32" t="s">
        <v>38</v>
      </c>
      <c r="G36" s="32" t="s">
        <v>30</v>
      </c>
      <c r="H36" s="32" t="s">
        <v>472</v>
      </c>
      <c r="I36" s="32" t="s">
        <v>473</v>
      </c>
      <c r="J36" s="32" t="s">
        <v>474</v>
      </c>
      <c r="K36" s="35">
        <v>0.17565440356882001</v>
      </c>
      <c r="L36" s="40">
        <v>-78.907339427845301</v>
      </c>
      <c r="M36" s="32" t="s">
        <v>475</v>
      </c>
      <c r="N36" s="32" t="s">
        <v>476</v>
      </c>
      <c r="O36" s="32" t="s">
        <v>363</v>
      </c>
      <c r="P36" s="32" t="s">
        <v>363</v>
      </c>
      <c r="Q36" s="32" t="s">
        <v>477</v>
      </c>
      <c r="R36" s="32"/>
    </row>
    <row r="37" spans="1:18" ht="136.5" customHeight="1" x14ac:dyDescent="0.25">
      <c r="A37" s="32" t="s">
        <v>478</v>
      </c>
      <c r="B37" s="32" t="s">
        <v>430</v>
      </c>
      <c r="C37" s="32" t="str">
        <f>CONCATENATE(VLOOKUP($D37,CODIFICACIÓN_DPA!$A$2:$B$66,2,FALSE),VLOOKUP($G37,CODIFICACIÓN_DPA!$D$2:$E$6,2,FALSE),CONCATENATE(VLOOKUP($E37,CODIFICACIÓN_DPA!$G$2:$H$3,2,FALSE),VLOOKUP($F37,CODIFICACIÓN_DPA!$J$2:$K$10,2,FALSE)),A37)</f>
        <v>170175AV0208036</v>
      </c>
      <c r="D37" s="32" t="s">
        <v>154</v>
      </c>
      <c r="E37" s="32" t="s">
        <v>19</v>
      </c>
      <c r="F37" s="32" t="s">
        <v>50</v>
      </c>
      <c r="G37" s="32" t="s">
        <v>30</v>
      </c>
      <c r="H37" s="32" t="s">
        <v>479</v>
      </c>
      <c r="I37" s="32" t="s">
        <v>480</v>
      </c>
      <c r="J37" s="39" t="s">
        <v>481</v>
      </c>
      <c r="K37" s="32">
        <v>-0.29578109807750802</v>
      </c>
      <c r="L37" s="39">
        <v>-78.179060843519906</v>
      </c>
      <c r="M37" s="32" t="s">
        <v>482</v>
      </c>
      <c r="N37" s="32" t="s">
        <v>483</v>
      </c>
      <c r="O37" s="32" t="s">
        <v>448</v>
      </c>
      <c r="P37" s="32" t="s">
        <v>363</v>
      </c>
      <c r="Q37" s="32" t="s">
        <v>449</v>
      </c>
      <c r="R37" s="32" t="s">
        <v>484</v>
      </c>
    </row>
    <row r="38" spans="1:18" ht="164.25" customHeight="1" x14ac:dyDescent="0.25">
      <c r="A38" s="32" t="s">
        <v>485</v>
      </c>
      <c r="B38" s="32" t="s">
        <v>430</v>
      </c>
      <c r="C38" s="32" t="str">
        <f>CONCATENATE(VLOOKUP($D38,CODIFICACIÓN_DPA!$A$2:$B$66,2,FALSE),VLOOKUP($G38,CODIFICACIÓN_DPA!$D$2:$E$6,2,FALSE),CONCATENATE(VLOOKUP($E38,CODIFICACIÓN_DPA!$G$2:$H$3,2,FALSE),VLOOKUP($F38,CODIFICACIÓN_DPA!$J$2:$K$10,2,FALSE)),A38)</f>
        <v>170176AV0207037</v>
      </c>
      <c r="D38" s="32" t="s">
        <v>156</v>
      </c>
      <c r="E38" s="32" t="s">
        <v>19</v>
      </c>
      <c r="F38" s="32" t="s">
        <v>46</v>
      </c>
      <c r="G38" s="32" t="s">
        <v>30</v>
      </c>
      <c r="H38" s="32" t="s">
        <v>486</v>
      </c>
      <c r="I38" s="32" t="s">
        <v>487</v>
      </c>
      <c r="J38" s="32" t="s">
        <v>488</v>
      </c>
      <c r="K38" s="32">
        <v>-0.50190041155800003</v>
      </c>
      <c r="L38" s="32">
        <v>-78.217108737462496</v>
      </c>
      <c r="M38" s="32" t="s">
        <v>489</v>
      </c>
      <c r="N38" s="32" t="s">
        <v>490</v>
      </c>
      <c r="O38" s="32" t="s">
        <v>448</v>
      </c>
      <c r="P38" s="32" t="s">
        <v>363</v>
      </c>
      <c r="Q38" s="32" t="s">
        <v>457</v>
      </c>
      <c r="R38" s="32"/>
    </row>
    <row r="39" spans="1:18" ht="131.25" customHeight="1" x14ac:dyDescent="0.25">
      <c r="A39" s="32" t="s">
        <v>491</v>
      </c>
      <c r="B39" s="32" t="s">
        <v>430</v>
      </c>
      <c r="C39" s="32" t="str">
        <f>CONCATENATE(VLOOKUP($D39,CODIFICACIÓN_DPA!$A$2:$B$66,2,FALSE),VLOOKUP($G39,CODIFICACIÓN_DPA!$D$2:$E$6,2,FALSE),CONCATENATE(VLOOKUP($E39,CODIFICACIÓN_DPA!$G$2:$H$3,2,FALSE),VLOOKUP($F39,CODIFICACIÓN_DPA!$J$2:$K$10,2,FALSE)),A39)</f>
        <v>170175AV0208038</v>
      </c>
      <c r="D39" s="32" t="s">
        <v>154</v>
      </c>
      <c r="E39" s="32" t="s">
        <v>19</v>
      </c>
      <c r="F39" s="32" t="s">
        <v>50</v>
      </c>
      <c r="G39" s="32" t="s">
        <v>30</v>
      </c>
      <c r="H39" s="32" t="s">
        <v>492</v>
      </c>
      <c r="I39" s="32" t="s">
        <v>493</v>
      </c>
      <c r="J39" s="39" t="s">
        <v>453</v>
      </c>
      <c r="K39" s="32">
        <v>-0.30986655320780399</v>
      </c>
      <c r="L39" s="32">
        <v>-78.146515528740096</v>
      </c>
      <c r="M39" s="32"/>
      <c r="N39" s="32"/>
      <c r="O39" s="32"/>
      <c r="P39" s="32" t="s">
        <v>363</v>
      </c>
      <c r="Q39" s="32" t="s">
        <v>457</v>
      </c>
      <c r="R39" s="32"/>
    </row>
    <row r="40" spans="1:18" ht="141" customHeight="1" x14ac:dyDescent="0.25">
      <c r="A40" s="32" t="s">
        <v>494</v>
      </c>
      <c r="B40" s="32" t="s">
        <v>202</v>
      </c>
      <c r="C40" s="32" t="str">
        <f>CONCATENATE(VLOOKUP($D40,CODIFICACIÓN_DPA!$A$2:$B$66,2,FALSE),VLOOKUP($G40,CODIFICACIÓN_DPA!$D$2:$E$6,2,FALSE),CONCATENATE(VLOOKUP($E40,CODIFICACIÓN_DPA!$G$2:$H$3,2,FALSE),VLOOKUP($F40,CODIFICACIÓN_DPA!$J$2:$K$10,2,FALSE)),A40)</f>
        <v>170172AV0205039</v>
      </c>
      <c r="D40" s="32" t="s">
        <v>150</v>
      </c>
      <c r="E40" s="32" t="s">
        <v>19</v>
      </c>
      <c r="F40" s="32" t="s">
        <v>38</v>
      </c>
      <c r="G40" s="32" t="s">
        <v>30</v>
      </c>
      <c r="H40" s="32" t="s">
        <v>495</v>
      </c>
      <c r="I40" s="32" t="s">
        <v>496</v>
      </c>
      <c r="J40" s="39" t="s">
        <v>497</v>
      </c>
      <c r="K40" s="35">
        <v>0.16183755720107099</v>
      </c>
      <c r="L40" s="35">
        <v>-78.845173504482304</v>
      </c>
      <c r="M40" s="32"/>
      <c r="N40" s="32" t="s">
        <v>216</v>
      </c>
      <c r="O40" s="32"/>
      <c r="P40" s="32" t="s">
        <v>363</v>
      </c>
      <c r="Q40" s="32" t="s">
        <v>457</v>
      </c>
      <c r="R40" s="32" t="s">
        <v>498</v>
      </c>
    </row>
    <row r="41" spans="1:18" ht="72" x14ac:dyDescent="0.25">
      <c r="A41" s="32" t="s">
        <v>499</v>
      </c>
      <c r="B41" s="32" t="s">
        <v>202</v>
      </c>
      <c r="C41" s="32" t="str">
        <f>CONCATENATE(VLOOKUP($D41,CODIFICACIÓN_DPA!$A$2:$B$66,2,FALSE),VLOOKUP($G41,CODIFICACIÓN_DPA!$D$2:$E$6,2,FALSE),CONCATENATE(VLOOKUP($E41,CODIFICACIÓN_DPA!$G$2:$H$3,2,FALSE),VLOOKUP($F41,CODIFICACIÓN_DPA!$J$2:$K$10,2,FALSE)),A41)</f>
        <v>170103GA0101040</v>
      </c>
      <c r="D41" s="34" t="s">
        <v>22</v>
      </c>
      <c r="E41" s="34" t="s">
        <v>12</v>
      </c>
      <c r="F41" s="34" t="s">
        <v>14</v>
      </c>
      <c r="G41" s="34" t="s">
        <v>17</v>
      </c>
      <c r="H41" s="32" t="s">
        <v>500</v>
      </c>
      <c r="I41" s="48" t="s">
        <v>501</v>
      </c>
      <c r="J41" s="34" t="s">
        <v>502</v>
      </c>
      <c r="K41" s="49">
        <v>-0.21992834771247899</v>
      </c>
      <c r="L41" s="49">
        <v>-78.510567466307194</v>
      </c>
      <c r="M41" s="34" t="s">
        <v>503</v>
      </c>
      <c r="N41" s="34" t="s">
        <v>504</v>
      </c>
      <c r="O41" s="34" t="s">
        <v>505</v>
      </c>
      <c r="P41" s="34" t="s">
        <v>363</v>
      </c>
      <c r="Q41" s="34"/>
      <c r="R41" s="34" t="s">
        <v>506</v>
      </c>
    </row>
    <row r="42" spans="1:18" ht="96" x14ac:dyDescent="0.25">
      <c r="A42" s="32" t="s">
        <v>507</v>
      </c>
      <c r="B42" s="32" t="s">
        <v>202</v>
      </c>
      <c r="C42" s="32" t="str">
        <f>CONCATENATE(VLOOKUP($D42,CODIFICACIÓN_DPA!$A$2:$B$66,2,FALSE),VLOOKUP($G42,CODIFICACIÓN_DPA!$D$2:$E$6,2,FALSE),CONCATENATE(VLOOKUP($E42,CODIFICACIÓN_DPA!$G$2:$H$3,2,FALSE),VLOOKUP($F42,CODIFICACIÓN_DPA!$J$2:$K$10,2,FALSE)),A42)</f>
        <v>170171AV0205041</v>
      </c>
      <c r="D42" s="32" t="s">
        <v>148</v>
      </c>
      <c r="E42" s="32" t="s">
        <v>19</v>
      </c>
      <c r="F42" s="32" t="s">
        <v>38</v>
      </c>
      <c r="G42" s="32" t="s">
        <v>30</v>
      </c>
      <c r="H42" s="32" t="s">
        <v>508</v>
      </c>
      <c r="I42" s="32" t="s">
        <v>509</v>
      </c>
      <c r="J42" s="32" t="s">
        <v>510</v>
      </c>
      <c r="K42" s="35">
        <v>2.59607036605265E-2</v>
      </c>
      <c r="L42" s="40">
        <v>-78.632409782283503</v>
      </c>
      <c r="M42" s="32" t="s">
        <v>511</v>
      </c>
      <c r="N42" s="32" t="s">
        <v>512</v>
      </c>
      <c r="O42" s="32" t="s">
        <v>513</v>
      </c>
      <c r="P42" s="32" t="s">
        <v>363</v>
      </c>
      <c r="Q42" s="32" t="s">
        <v>457</v>
      </c>
      <c r="R42" s="39" t="s">
        <v>514</v>
      </c>
    </row>
    <row r="43" spans="1:18" ht="264" x14ac:dyDescent="0.25">
      <c r="A43" s="32" t="s">
        <v>515</v>
      </c>
      <c r="B43" s="32" t="s">
        <v>202</v>
      </c>
      <c r="C43" s="32" t="str">
        <f>CONCATENATE(VLOOKUP($D43,CODIFICACIÓN_DPA!$A$2:$B$66,2,FALSE),VLOOKUP($G43,CODIFICACIÓN_DPA!$D$2:$E$6,2,FALSE),CONCATENATE(VLOOKUP($E43,CODIFICACIÓN_DPA!$G$2:$H$3,2,FALSE),VLOOKUP($F43,CODIFICACIÓN_DPA!$J$2:$K$10,2,FALSE)),A43)</f>
        <v>170169AV0205042</v>
      </c>
      <c r="D43" s="32" t="s">
        <v>144</v>
      </c>
      <c r="E43" s="32" t="s">
        <v>19</v>
      </c>
      <c r="F43" s="32" t="s">
        <v>38</v>
      </c>
      <c r="G43" s="32" t="s">
        <v>30</v>
      </c>
      <c r="H43" s="32" t="s">
        <v>516</v>
      </c>
      <c r="I43" s="32" t="s">
        <v>517</v>
      </c>
      <c r="J43" s="32" t="s">
        <v>518</v>
      </c>
      <c r="K43" s="35">
        <v>-1.22974447466407E-2</v>
      </c>
      <c r="L43" s="40">
        <v>-78.681564004699993</v>
      </c>
      <c r="M43" s="32" t="s">
        <v>519</v>
      </c>
      <c r="N43" s="32" t="s">
        <v>520</v>
      </c>
      <c r="O43" s="32" t="s">
        <v>521</v>
      </c>
      <c r="P43" s="32" t="s">
        <v>363</v>
      </c>
      <c r="Q43" s="32" t="s">
        <v>522</v>
      </c>
      <c r="R43" s="32" t="s">
        <v>523</v>
      </c>
    </row>
    <row r="44" spans="1:18" ht="108" x14ac:dyDescent="0.25">
      <c r="A44" s="32" t="s">
        <v>524</v>
      </c>
      <c r="B44" s="32" t="s">
        <v>202</v>
      </c>
      <c r="C44" s="32" t="str">
        <f>CONCATENATE(VLOOKUP($D44,CODIFICACIÓN_DPA!$A$2:$B$66,2,FALSE),VLOOKUP($G44,CODIFICACIÓN_DPA!$D$2:$E$6,2,FALSE),CONCATENATE(VLOOKUP($E44,CODIFICACIÓN_DPA!$G$2:$H$3,2,FALSE),VLOOKUP($F44,CODIFICACIÓN_DPA!$J$2:$K$10,2,FALSE)),A44)</f>
        <v>170171AV0205043</v>
      </c>
      <c r="D44" s="32" t="s">
        <v>148</v>
      </c>
      <c r="E44" s="32" t="s">
        <v>19</v>
      </c>
      <c r="F44" s="32" t="s">
        <v>38</v>
      </c>
      <c r="G44" s="32" t="s">
        <v>30</v>
      </c>
      <c r="H44" s="32" t="s">
        <v>525</v>
      </c>
      <c r="I44" s="39" t="s">
        <v>526</v>
      </c>
      <c r="J44" s="32" t="s">
        <v>527</v>
      </c>
      <c r="K44" s="35">
        <v>-0.111530187973872</v>
      </c>
      <c r="L44" s="40">
        <v>-78.584893656296799</v>
      </c>
      <c r="M44" s="32" t="s">
        <v>528</v>
      </c>
      <c r="N44" s="32" t="s">
        <v>529</v>
      </c>
      <c r="O44" s="32" t="s">
        <v>530</v>
      </c>
      <c r="P44" s="32" t="s">
        <v>363</v>
      </c>
      <c r="Q44" s="32" t="s">
        <v>531</v>
      </c>
      <c r="R44" s="32" t="s">
        <v>532</v>
      </c>
    </row>
    <row r="45" spans="1:18" ht="123" customHeight="1" x14ac:dyDescent="0.25">
      <c r="A45" s="32" t="s">
        <v>533</v>
      </c>
      <c r="B45" s="32" t="s">
        <v>202</v>
      </c>
      <c r="C45" s="32" t="str">
        <f>CONCATENATE(VLOOKUP($D45,CODIFICACIÓN_DPA!$A$2:$B$66,2,FALSE),VLOOKUP($G45,CODIFICACIÓN_DPA!$D$2:$E$6,2,FALSE),CONCATENATE(VLOOKUP($E45,CODIFICACIÓN_DPA!$G$2:$H$3,2,FALSE),VLOOKUP($F45,CODIFICACIÓN_DPA!$J$2:$K$10,2,FALSE)),A45)</f>
        <v>170176AV0207044</v>
      </c>
      <c r="D45" s="32" t="s">
        <v>156</v>
      </c>
      <c r="E45" s="32" t="s">
        <v>19</v>
      </c>
      <c r="F45" s="32" t="s">
        <v>46</v>
      </c>
      <c r="G45" s="32" t="s">
        <v>30</v>
      </c>
      <c r="H45" s="32" t="s">
        <v>534</v>
      </c>
      <c r="I45" s="32" t="s">
        <v>535</v>
      </c>
      <c r="J45" s="32" t="s">
        <v>536</v>
      </c>
      <c r="K45" s="35">
        <v>-0.44471981483762002</v>
      </c>
      <c r="L45" s="40">
        <v>-78.312483297627793</v>
      </c>
      <c r="M45" s="32" t="s">
        <v>528</v>
      </c>
      <c r="N45" s="32" t="s">
        <v>537</v>
      </c>
      <c r="O45" s="32" t="s">
        <v>530</v>
      </c>
      <c r="P45" s="32" t="s">
        <v>363</v>
      </c>
      <c r="Q45" s="32" t="s">
        <v>538</v>
      </c>
      <c r="R45" s="32">
        <v>992440038</v>
      </c>
    </row>
    <row r="46" spans="1:18" ht="108" x14ac:dyDescent="0.25">
      <c r="A46" s="32" t="s">
        <v>539</v>
      </c>
      <c r="B46" s="32" t="s">
        <v>202</v>
      </c>
      <c r="C46" s="32" t="str">
        <f>CONCATENATE(VLOOKUP($D46,CODIFICACIÓN_DPA!$A$2:$B$66,2,FALSE),VLOOKUP($G46,CODIFICACIÓN_DPA!$D$2:$E$6,2,FALSE),CONCATENATE(VLOOKUP($E46,CODIFICACIÓN_DPA!$G$2:$H$3,2,FALSE),VLOOKUP($F46,CODIFICACIÓN_DPA!$J$2:$K$10,2,FALSE)),A46)</f>
        <v>170168AV0205045</v>
      </c>
      <c r="D46" s="32" t="s">
        <v>142</v>
      </c>
      <c r="E46" s="32" t="s">
        <v>19</v>
      </c>
      <c r="F46" s="32" t="s">
        <v>38</v>
      </c>
      <c r="G46" s="32" t="s">
        <v>30</v>
      </c>
      <c r="H46" s="32" t="s">
        <v>540</v>
      </c>
      <c r="I46" s="32" t="s">
        <v>541</v>
      </c>
      <c r="J46" s="32" t="s">
        <v>542</v>
      </c>
      <c r="K46" s="35">
        <v>0.124497862517716</v>
      </c>
      <c r="L46" s="40">
        <v>-78.629045638103094</v>
      </c>
      <c r="M46" s="32" t="s">
        <v>528</v>
      </c>
      <c r="N46" s="32" t="s">
        <v>543</v>
      </c>
      <c r="O46" s="32" t="s">
        <v>544</v>
      </c>
      <c r="P46" s="32" t="s">
        <v>363</v>
      </c>
      <c r="Q46" s="32"/>
      <c r="R46" s="32" t="s">
        <v>545</v>
      </c>
    </row>
    <row r="47" spans="1:18" ht="96" x14ac:dyDescent="0.25">
      <c r="A47" s="32" t="s">
        <v>546</v>
      </c>
      <c r="B47" s="32" t="s">
        <v>430</v>
      </c>
      <c r="C47" s="32" t="str">
        <f>CONCATENATE(VLOOKUP($D47,CODIFICACIÓN_DPA!$A$2:$B$66,2,FALSE),VLOOKUP($G47,CODIFICACIÓN_DPA!$D$2:$E$6,2,FALSE),CONCATENATE(VLOOKUP($E47,CODIFICACIÓN_DPA!$G$2:$H$3,2,FALSE),VLOOKUP($F47,CODIFICACIÓN_DPA!$J$2:$K$10,2,FALSE)),A47)</f>
        <v>170175AV0208046</v>
      </c>
      <c r="D47" s="32" t="s">
        <v>154</v>
      </c>
      <c r="E47" s="32" t="s">
        <v>19</v>
      </c>
      <c r="F47" s="32" t="s">
        <v>50</v>
      </c>
      <c r="G47" s="32" t="s">
        <v>30</v>
      </c>
      <c r="H47" s="32" t="s">
        <v>547</v>
      </c>
      <c r="I47" s="32" t="s">
        <v>548</v>
      </c>
      <c r="J47" s="32" t="s">
        <v>549</v>
      </c>
      <c r="K47" s="32">
        <v>-7.1830857553588007E-2</v>
      </c>
      <c r="L47" s="32">
        <v>-77.836599485215203</v>
      </c>
      <c r="M47" s="32" t="s">
        <v>528</v>
      </c>
      <c r="N47" s="32" t="s">
        <v>476</v>
      </c>
      <c r="O47" s="32" t="s">
        <v>448</v>
      </c>
      <c r="P47" s="32" t="s">
        <v>363</v>
      </c>
      <c r="Q47" s="32" t="s">
        <v>550</v>
      </c>
      <c r="R47" s="32" t="s">
        <v>551</v>
      </c>
    </row>
    <row r="48" spans="1:18" ht="146.25" customHeight="1" x14ac:dyDescent="0.25">
      <c r="A48" s="32" t="s">
        <v>552</v>
      </c>
      <c r="B48" s="32" t="s">
        <v>202</v>
      </c>
      <c r="C48" s="32" t="str">
        <f>CONCATENATE(VLOOKUP($D48,CODIFICACIÓN_DPA!$A$2:$B$66,2,FALSE),VLOOKUP($G48,CODIFICACIÓN_DPA!$D$2:$E$6,2,FALSE),CONCATENATE(VLOOKUP($E48,CODIFICACIÓN_DPA!$G$2:$H$3,2,FALSE),VLOOKUP($F48,CODIFICACIÓN_DPA!$J$2:$K$10,2,FALSE)),A48)</f>
        <v>170171AV0205047</v>
      </c>
      <c r="D48" s="32" t="s">
        <v>148</v>
      </c>
      <c r="E48" s="32" t="s">
        <v>19</v>
      </c>
      <c r="F48" s="32" t="s">
        <v>38</v>
      </c>
      <c r="G48" s="32" t="s">
        <v>30</v>
      </c>
      <c r="H48" s="32" t="s">
        <v>553</v>
      </c>
      <c r="I48" s="32" t="s">
        <v>554</v>
      </c>
      <c r="J48" s="32" t="s">
        <v>555</v>
      </c>
      <c r="K48" s="35">
        <v>-3.3862878406241199E-2</v>
      </c>
      <c r="L48" s="40">
        <v>-78.662414545428604</v>
      </c>
      <c r="M48" s="32" t="s">
        <v>528</v>
      </c>
      <c r="N48" s="32" t="s">
        <v>556</v>
      </c>
      <c r="O48" s="32" t="s">
        <v>557</v>
      </c>
      <c r="P48" s="32" t="s">
        <v>558</v>
      </c>
      <c r="Q48" s="32" t="s">
        <v>550</v>
      </c>
      <c r="R48" s="32">
        <v>987589117</v>
      </c>
    </row>
    <row r="49" spans="1:18" ht="108" x14ac:dyDescent="0.25">
      <c r="A49" s="32" t="s">
        <v>559</v>
      </c>
      <c r="B49" s="32" t="s">
        <v>202</v>
      </c>
      <c r="C49" s="32" t="str">
        <f>CONCATENATE(VLOOKUP($D49,CODIFICACIÓN_DPA!$A$2:$B$66,2,FALSE),VLOOKUP($G49,CODIFICACIÓN_DPA!$D$2:$E$6,2,FALSE),CONCATENATE(VLOOKUP($E49,CODIFICACIÓN_DPA!$G$2:$H$3,2,FALSE),VLOOKUP($F49,CODIFICACIÓN_DPA!$J$2:$K$10,2,FALSE)),A49)</f>
        <v>170169AV0205048</v>
      </c>
      <c r="D49" s="32" t="s">
        <v>144</v>
      </c>
      <c r="E49" s="32" t="s">
        <v>19</v>
      </c>
      <c r="F49" s="32" t="s">
        <v>38</v>
      </c>
      <c r="G49" s="32" t="s">
        <v>30</v>
      </c>
      <c r="H49" s="32" t="s">
        <v>560</v>
      </c>
      <c r="I49" s="32" t="s">
        <v>561</v>
      </c>
      <c r="J49" s="32" t="s">
        <v>562</v>
      </c>
      <c r="K49" s="35">
        <v>4.95396306048424E-2</v>
      </c>
      <c r="L49" s="40">
        <v>-78.717793432545193</v>
      </c>
      <c r="M49" s="32" t="s">
        <v>528</v>
      </c>
      <c r="N49" s="32"/>
      <c r="O49" s="32" t="s">
        <v>557</v>
      </c>
      <c r="P49" s="32" t="s">
        <v>563</v>
      </c>
      <c r="Q49" s="32" t="s">
        <v>550</v>
      </c>
      <c r="R49" s="42" t="s">
        <v>564</v>
      </c>
    </row>
    <row r="50" spans="1:18" ht="15.75" customHeight="1" x14ac:dyDescent="0.25">
      <c r="A50" s="32" t="s">
        <v>565</v>
      </c>
      <c r="B50" s="32" t="s">
        <v>202</v>
      </c>
      <c r="C50" s="32" t="str">
        <f>CONCATENATE(VLOOKUP($D50,CODIFICACIÓN_DPA!$A$2:$B$66,2,FALSE),VLOOKUP($G50,CODIFICACIÓN_DPA!$D$2:$E$6,2,FALSE),CONCATENATE(VLOOKUP($E50,CODIFICACIÓN_DPA!$G$2:$H$3,2,FALSE),VLOOKUP($F50,CODIFICACIÓN_DPA!$J$2:$K$10,2,FALSE)),A50)</f>
        <v>170170AV0208049</v>
      </c>
      <c r="D50" s="32" t="s">
        <v>146</v>
      </c>
      <c r="E50" s="32" t="s">
        <v>19</v>
      </c>
      <c r="F50" s="32" t="s">
        <v>50</v>
      </c>
      <c r="G50" s="32" t="s">
        <v>30</v>
      </c>
      <c r="H50" s="32" t="s">
        <v>566</v>
      </c>
      <c r="I50" s="32" t="s">
        <v>567</v>
      </c>
      <c r="J50" s="39" t="s">
        <v>568</v>
      </c>
      <c r="K50" s="35">
        <v>-0.16772918161355699</v>
      </c>
      <c r="L50" s="35">
        <v>-78.419540197627896</v>
      </c>
      <c r="M50" s="32" t="s">
        <v>569</v>
      </c>
      <c r="N50" s="32" t="s">
        <v>570</v>
      </c>
      <c r="O50" s="32" t="s">
        <v>557</v>
      </c>
      <c r="P50" s="32" t="s">
        <v>363</v>
      </c>
      <c r="Q50" s="32" t="s">
        <v>571</v>
      </c>
      <c r="R50" s="39" t="s">
        <v>572</v>
      </c>
    </row>
    <row r="51" spans="1:18" ht="127.5" customHeight="1" x14ac:dyDescent="0.25">
      <c r="A51" s="32" t="s">
        <v>573</v>
      </c>
      <c r="B51" s="32" t="s">
        <v>202</v>
      </c>
      <c r="C51" s="32" t="str">
        <f>CONCATENATE(VLOOKUP($D51,CODIFICACIÓN_DPA!$A$2:$B$66,2,FALSE),VLOOKUP($G51,CODIFICACIÓN_DPA!$D$2:$E$6,2,FALSE),CONCATENATE(VLOOKUP($E51,CODIFICACIÓN_DPA!$G$2:$H$3,2,FALSE),VLOOKUP($F51,CODIFICACIÓN_DPA!$J$2:$K$10,2,FALSE)),A51)</f>
        <v>170168AV0205050</v>
      </c>
      <c r="D51" s="32" t="s">
        <v>142</v>
      </c>
      <c r="E51" s="32" t="s">
        <v>19</v>
      </c>
      <c r="F51" s="32" t="s">
        <v>38</v>
      </c>
      <c r="G51" s="32" t="s">
        <v>30</v>
      </c>
      <c r="H51" s="32" t="s">
        <v>574</v>
      </c>
      <c r="I51" s="32" t="s">
        <v>575</v>
      </c>
      <c r="J51" s="32" t="s">
        <v>576</v>
      </c>
      <c r="K51" s="35">
        <v>0.14020933349164399</v>
      </c>
      <c r="L51" s="35">
        <v>-78.683894317468798</v>
      </c>
      <c r="M51" s="32"/>
      <c r="N51" s="32"/>
      <c r="O51" s="32" t="s">
        <v>577</v>
      </c>
      <c r="P51" s="32" t="s">
        <v>363</v>
      </c>
      <c r="Q51" s="32" t="s">
        <v>578</v>
      </c>
      <c r="R51" s="32"/>
    </row>
    <row r="52" spans="1:18" ht="183.75" customHeight="1" x14ac:dyDescent="0.25">
      <c r="A52" s="32" t="s">
        <v>579</v>
      </c>
      <c r="B52" s="32" t="s">
        <v>202</v>
      </c>
      <c r="C52" s="32" t="str">
        <f>CONCATENATE(VLOOKUP($D52,CODIFICACIÓN_DPA!$A$2:$B$66,2,FALSE),VLOOKUP($G52,CODIFICACIÓN_DPA!$D$2:$E$6,2,FALSE),CONCATENATE(VLOOKUP($E52,CODIFICACIÓN_DPA!$G$2:$H$3,2,FALSE),VLOOKUP($F52,CODIFICACIÓN_DPA!$J$2:$K$10,2,FALSE)),A52)</f>
        <v>170171AV0205051</v>
      </c>
      <c r="D52" s="32" t="s">
        <v>148</v>
      </c>
      <c r="E52" s="32" t="s">
        <v>19</v>
      </c>
      <c r="F52" s="32" t="s">
        <v>38</v>
      </c>
      <c r="G52" s="32" t="s">
        <v>30</v>
      </c>
      <c r="H52" s="32" t="s">
        <v>580</v>
      </c>
      <c r="I52" s="39" t="s">
        <v>581</v>
      </c>
      <c r="J52" s="32" t="s">
        <v>582</v>
      </c>
      <c r="K52" s="35">
        <v>-6.9915105656248394E-2</v>
      </c>
      <c r="L52" s="40">
        <v>-78.5885317220161</v>
      </c>
      <c r="M52" s="32"/>
      <c r="N52" s="32" t="s">
        <v>583</v>
      </c>
      <c r="O52" s="32" t="s">
        <v>584</v>
      </c>
      <c r="P52" s="32" t="s">
        <v>363</v>
      </c>
      <c r="Q52" s="32" t="s">
        <v>578</v>
      </c>
      <c r="R52" s="32">
        <v>987821652</v>
      </c>
    </row>
    <row r="53" spans="1:18" ht="158.25" customHeight="1" x14ac:dyDescent="0.25">
      <c r="A53" s="32" t="s">
        <v>585</v>
      </c>
      <c r="B53" s="32" t="s">
        <v>202</v>
      </c>
      <c r="C53" s="32" t="str">
        <f>CONCATENATE(VLOOKUP($D53,CODIFICACIÓN_DPA!$A$2:$B$66,2,FALSE),VLOOKUP($G53,CODIFICACIÓN_DPA!$D$2:$E$6,2,FALSE),CONCATENATE(VLOOKUP($E53,CODIFICACIÓN_DPA!$G$2:$H$3,2,FALSE),VLOOKUP($F53,CODIFICACIÓN_DPA!$J$2:$K$10,2,FALSE)),A53)</f>
        <v>170171AV0205052</v>
      </c>
      <c r="D53" s="32" t="s">
        <v>148</v>
      </c>
      <c r="E53" s="32" t="s">
        <v>19</v>
      </c>
      <c r="F53" s="32" t="s">
        <v>38</v>
      </c>
      <c r="G53" s="32" t="s">
        <v>30</v>
      </c>
      <c r="H53" s="32" t="s">
        <v>586</v>
      </c>
      <c r="I53" s="32" t="s">
        <v>587</v>
      </c>
      <c r="J53" s="32" t="s">
        <v>588</v>
      </c>
      <c r="K53" s="35">
        <v>-6.5396814398524003E-2</v>
      </c>
      <c r="L53" s="35">
        <v>-78.576951146859798</v>
      </c>
      <c r="M53" s="32" t="s">
        <v>589</v>
      </c>
      <c r="N53" s="32" t="s">
        <v>590</v>
      </c>
      <c r="O53" s="32" t="s">
        <v>448</v>
      </c>
      <c r="P53" s="32"/>
      <c r="Q53" s="32" t="s">
        <v>591</v>
      </c>
      <c r="R53" s="32" t="s">
        <v>592</v>
      </c>
    </row>
    <row r="54" spans="1:18" ht="154.5" customHeight="1" x14ac:dyDescent="0.25">
      <c r="A54" s="32" t="s">
        <v>593</v>
      </c>
      <c r="B54" s="32" t="s">
        <v>202</v>
      </c>
      <c r="C54" s="32" t="str">
        <f>CONCATENATE(VLOOKUP($D54,CODIFICACIÓN_DPA!$A$2:$B$66,2,FALSE),VLOOKUP($G54,CODIFICACIÓN_DPA!$D$2:$E$6,2,FALSE),CONCATENATE(VLOOKUP($E54,CODIFICACIÓN_DPA!$G$2:$H$3,2,FALSE),VLOOKUP($F54,CODIFICACIÓN_DPA!$J$2:$K$10,2,FALSE)),A54)</f>
        <v>170172AV0205053</v>
      </c>
      <c r="D54" s="32" t="s">
        <v>150</v>
      </c>
      <c r="E54" s="32" t="s">
        <v>19</v>
      </c>
      <c r="F54" s="32" t="s">
        <v>38</v>
      </c>
      <c r="G54" s="32" t="s">
        <v>30</v>
      </c>
      <c r="H54" s="32" t="s">
        <v>594</v>
      </c>
      <c r="I54" s="32" t="s">
        <v>595</v>
      </c>
      <c r="J54" s="32" t="s">
        <v>596</v>
      </c>
      <c r="K54" s="35">
        <v>0.141809176606426</v>
      </c>
      <c r="L54" s="35">
        <v>-78.767414919813106</v>
      </c>
      <c r="M54" s="32" t="s">
        <v>597</v>
      </c>
      <c r="N54" s="32" t="s">
        <v>598</v>
      </c>
      <c r="O54" s="32" t="s">
        <v>448</v>
      </c>
      <c r="P54" s="32"/>
      <c r="Q54" s="32" t="s">
        <v>550</v>
      </c>
      <c r="R54" s="32" t="s">
        <v>592</v>
      </c>
    </row>
    <row r="55" spans="1:18" ht="84" x14ac:dyDescent="0.25">
      <c r="A55" s="32" t="s">
        <v>599</v>
      </c>
      <c r="B55" s="32" t="s">
        <v>202</v>
      </c>
      <c r="C55" s="32" t="str">
        <f>CONCATENATE(VLOOKUP($D55,CODIFICACIÓN_DPA!$A$2:$B$66,2,FALSE),VLOOKUP($G55,CODIFICACIÓN_DPA!$D$2:$E$6,2,FALSE),CONCATENATE(VLOOKUP($E55,CODIFICACIÓN_DPA!$G$2:$H$3,2,FALSE),VLOOKUP($F55,CODIFICACIÓN_DPA!$J$2:$K$10,2,FALSE)),A55)</f>
        <v>170172AV0205054</v>
      </c>
      <c r="D55" s="32" t="s">
        <v>150</v>
      </c>
      <c r="E55" s="32" t="s">
        <v>19</v>
      </c>
      <c r="F55" s="32" t="s">
        <v>38</v>
      </c>
      <c r="G55" s="32" t="s">
        <v>30</v>
      </c>
      <c r="H55" s="32" t="s">
        <v>600</v>
      </c>
      <c r="I55" s="32" t="s">
        <v>601</v>
      </c>
      <c r="J55" s="32" t="s">
        <v>602</v>
      </c>
      <c r="K55" s="35">
        <v>0.141809176606426</v>
      </c>
      <c r="L55" s="35">
        <v>-78.767414919813106</v>
      </c>
      <c r="M55" s="32" t="s">
        <v>603</v>
      </c>
      <c r="N55" s="32" t="s">
        <v>598</v>
      </c>
      <c r="O55" s="32" t="s">
        <v>448</v>
      </c>
      <c r="P55" s="32"/>
      <c r="Q55" s="32" t="s">
        <v>550</v>
      </c>
      <c r="R55" s="32" t="s">
        <v>592</v>
      </c>
    </row>
    <row r="56" spans="1:18" ht="84" x14ac:dyDescent="0.25">
      <c r="A56" s="32" t="s">
        <v>604</v>
      </c>
      <c r="B56" s="32" t="s">
        <v>202</v>
      </c>
      <c r="C56" s="32" t="str">
        <f>CONCATENATE(VLOOKUP($D56,CODIFICACIÓN_DPA!$A$2:$B$66,2,FALSE),VLOOKUP($G56,CODIFICACIÓN_DPA!$D$2:$E$6,2,FALSE),CONCATENATE(VLOOKUP($E56,CODIFICACIÓN_DPA!$G$2:$H$3,2,FALSE),VLOOKUP($F56,CODIFICACIÓN_DPA!$J$2:$K$10,2,FALSE)),A56)</f>
        <v>170157AV0208055</v>
      </c>
      <c r="D56" s="32" t="s">
        <v>122</v>
      </c>
      <c r="E56" s="32" t="s">
        <v>19</v>
      </c>
      <c r="F56" s="32" t="s">
        <v>50</v>
      </c>
      <c r="G56" s="32" t="s">
        <v>30</v>
      </c>
      <c r="H56" s="32" t="s">
        <v>605</v>
      </c>
      <c r="I56" s="32" t="s">
        <v>606</v>
      </c>
      <c r="J56" s="32" t="s">
        <v>607</v>
      </c>
      <c r="K56" s="35">
        <v>-0.19955930198133201</v>
      </c>
      <c r="L56" s="35">
        <v>-78.431560399144203</v>
      </c>
      <c r="M56" s="32" t="s">
        <v>608</v>
      </c>
      <c r="N56" s="32" t="s">
        <v>609</v>
      </c>
      <c r="O56" s="32" t="s">
        <v>448</v>
      </c>
      <c r="P56" s="32"/>
      <c r="Q56" s="32" t="s">
        <v>610</v>
      </c>
      <c r="R56" s="32" t="s">
        <v>592</v>
      </c>
    </row>
    <row r="57" spans="1:18" ht="228" x14ac:dyDescent="0.25">
      <c r="A57" s="32" t="s">
        <v>611</v>
      </c>
      <c r="B57" s="32" t="s">
        <v>202</v>
      </c>
      <c r="C57" s="32" t="str">
        <f>CONCATENATE(VLOOKUP($D57,CODIFICACIÓN_DPA!$A$2:$B$66,2,FALSE),VLOOKUP($G57,CODIFICACIÓN_DPA!$D$2:$E$6,2,FALSE),CONCATENATE(VLOOKUP($E57,CODIFICACIÓN_DPA!$G$2:$H$3,2,FALSE),VLOOKUP($F57,CODIFICACIÓN_DPA!$J$2:$K$10,2,FALSE)),A57)</f>
        <v>170101AV0102056</v>
      </c>
      <c r="D57" s="32" t="s">
        <v>8</v>
      </c>
      <c r="E57" s="32" t="s">
        <v>12</v>
      </c>
      <c r="F57" s="32" t="s">
        <v>21</v>
      </c>
      <c r="G57" s="32" t="s">
        <v>30</v>
      </c>
      <c r="H57" s="32" t="s">
        <v>612</v>
      </c>
      <c r="I57" s="32" t="s">
        <v>613</v>
      </c>
      <c r="J57" s="32" t="s">
        <v>614</v>
      </c>
      <c r="K57" s="35">
        <v>-0.19226908046650901</v>
      </c>
      <c r="L57" s="35">
        <v>-78.519536245333995</v>
      </c>
      <c r="M57" s="32" t="s">
        <v>615</v>
      </c>
      <c r="N57" s="32" t="s">
        <v>616</v>
      </c>
      <c r="O57" s="32" t="s">
        <v>617</v>
      </c>
      <c r="P57" s="32" t="s">
        <v>618</v>
      </c>
      <c r="Q57" s="32" t="s">
        <v>619</v>
      </c>
      <c r="R57" s="32" t="s">
        <v>620</v>
      </c>
    </row>
    <row r="58" spans="1:18" ht="84" x14ac:dyDescent="0.25">
      <c r="A58" s="32" t="s">
        <v>621</v>
      </c>
      <c r="B58" s="32" t="s">
        <v>202</v>
      </c>
      <c r="C58" s="32" t="str">
        <f>CONCATENATE(VLOOKUP($D58,CODIFICACIÓN_DPA!$A$2:$B$66,2,FALSE),VLOOKUP($G58,CODIFICACIÓN_DPA!$D$2:$E$6,2,FALSE),CONCATENATE(VLOOKUP($E58,CODIFICACIÓN_DPA!$G$2:$H$3,2,FALSE),VLOOKUP($F58,CODIFICACIÓN_DPA!$J$2:$K$10,2,FALSE)),A58)</f>
        <v>170152AV0207057</v>
      </c>
      <c r="D58" s="32" t="s">
        <v>112</v>
      </c>
      <c r="E58" s="32" t="s">
        <v>19</v>
      </c>
      <c r="F58" s="32" t="s">
        <v>46</v>
      </c>
      <c r="G58" s="32" t="s">
        <v>30</v>
      </c>
      <c r="H58" s="32" t="s">
        <v>622</v>
      </c>
      <c r="I58" s="32" t="s">
        <v>623</v>
      </c>
      <c r="J58" s="32" t="s">
        <v>624</v>
      </c>
      <c r="K58" s="35">
        <v>-0.42006038386537298</v>
      </c>
      <c r="L58" s="35">
        <v>-78.511953848254294</v>
      </c>
      <c r="M58" s="32" t="s">
        <v>615</v>
      </c>
      <c r="N58" s="32" t="s">
        <v>625</v>
      </c>
      <c r="O58" s="32" t="s">
        <v>626</v>
      </c>
      <c r="P58" s="32"/>
      <c r="Q58" s="32" t="s">
        <v>627</v>
      </c>
      <c r="R58" s="42" t="s">
        <v>628</v>
      </c>
    </row>
    <row r="59" spans="1:18" ht="96" x14ac:dyDescent="0.25">
      <c r="A59" s="32" t="s">
        <v>629</v>
      </c>
      <c r="B59" s="32" t="s">
        <v>202</v>
      </c>
      <c r="C59" s="32" t="str">
        <f>CONCATENATE(VLOOKUP($D59,CODIFICACIÓN_DPA!$A$2:$B$66,2,FALSE),VLOOKUP($G59,CODIFICACIÓN_DPA!$D$2:$E$6,2,FALSE),CONCATENATE(VLOOKUP($E59,CODIFICACIÓN_DPA!$G$2:$H$3,2,FALSE),VLOOKUP($F59,CODIFICACIÓN_DPA!$J$2:$K$10,2,FALSE)),A59)</f>
        <v>170175AV0208058</v>
      </c>
      <c r="D59" s="32" t="s">
        <v>154</v>
      </c>
      <c r="E59" s="32" t="s">
        <v>19</v>
      </c>
      <c r="F59" s="32" t="s">
        <v>50</v>
      </c>
      <c r="G59" s="32" t="s">
        <v>30</v>
      </c>
      <c r="H59" s="32" t="s">
        <v>630</v>
      </c>
      <c r="I59" s="32" t="s">
        <v>631</v>
      </c>
      <c r="J59" s="32" t="s">
        <v>632</v>
      </c>
      <c r="K59" s="35">
        <v>-0.33249666238751102</v>
      </c>
      <c r="L59" s="35">
        <v>-78.203005767358505</v>
      </c>
      <c r="M59" s="32" t="s">
        <v>615</v>
      </c>
      <c r="N59" s="32" t="s">
        <v>633</v>
      </c>
      <c r="O59" s="32" t="s">
        <v>448</v>
      </c>
      <c r="P59" s="32"/>
      <c r="Q59" s="32" t="s">
        <v>550</v>
      </c>
      <c r="R59" s="42" t="s">
        <v>634</v>
      </c>
    </row>
    <row r="60" spans="1:18" ht="72" x14ac:dyDescent="0.25">
      <c r="A60" s="32" t="s">
        <v>635</v>
      </c>
      <c r="B60" s="32" t="s">
        <v>430</v>
      </c>
      <c r="C60" s="32" t="str">
        <f>CONCATENATE(VLOOKUP($D60,CODIFICACIÓN_DPA!$A$2:$B$66,2,FALSE),VLOOKUP($G60,CODIFICACIÓN_DPA!$D$2:$E$6,2,FALSE),CONCATENATE(VLOOKUP($E60,CODIFICACIÓN_DPA!$G$2:$H$3,2,FALSE),VLOOKUP($F60,CODIFICACIÓN_DPA!$J$2:$K$10,2,FALSE)),A60)</f>
        <v>170176AV0207059</v>
      </c>
      <c r="D60" s="32" t="s">
        <v>156</v>
      </c>
      <c r="E60" s="32" t="s">
        <v>19</v>
      </c>
      <c r="F60" s="32" t="s">
        <v>46</v>
      </c>
      <c r="G60" s="32" t="s">
        <v>30</v>
      </c>
      <c r="H60" s="32" t="s">
        <v>636</v>
      </c>
      <c r="I60" s="32" t="s">
        <v>637</v>
      </c>
      <c r="J60" s="32" t="s">
        <v>638</v>
      </c>
      <c r="K60" s="32">
        <v>-0.53664581640234699</v>
      </c>
      <c r="L60" s="32">
        <v>-78.221932975327505</v>
      </c>
      <c r="M60" s="32" t="s">
        <v>258</v>
      </c>
      <c r="N60" s="32" t="s">
        <v>639</v>
      </c>
      <c r="O60" s="32" t="s">
        <v>448</v>
      </c>
      <c r="P60" s="32"/>
      <c r="Q60" s="32" t="s">
        <v>550</v>
      </c>
      <c r="R60" s="42" t="s">
        <v>640</v>
      </c>
    </row>
    <row r="61" spans="1:18" ht="84" x14ac:dyDescent="0.25">
      <c r="A61" s="32" t="s">
        <v>641</v>
      </c>
      <c r="B61" s="32" t="s">
        <v>202</v>
      </c>
      <c r="C61" s="32" t="str">
        <f>CONCATENATE(VLOOKUP($D61,CODIFICACIÓN_DPA!$A$2:$B$66,2,FALSE),VLOOKUP($G61,CODIFICACIÓN_DPA!$D$2:$E$6,2,FALSE),CONCATENATE(VLOOKUP($E61,CODIFICACIÓN_DPA!$G$2:$H$3,2,FALSE),VLOOKUP($F61,CODIFICACIÓN_DPA!$J$2:$K$10,2,FALSE)),A61)</f>
        <v>170168AV0205060</v>
      </c>
      <c r="D61" s="32" t="s">
        <v>142</v>
      </c>
      <c r="E61" s="32" t="s">
        <v>19</v>
      </c>
      <c r="F61" s="32" t="s">
        <v>38</v>
      </c>
      <c r="G61" s="32" t="s">
        <v>30</v>
      </c>
      <c r="H61" s="32" t="s">
        <v>642</v>
      </c>
      <c r="I61" s="32" t="s">
        <v>643</v>
      </c>
      <c r="J61" s="32" t="s">
        <v>644</v>
      </c>
      <c r="K61" s="35">
        <v>5.7250060893041403E-2</v>
      </c>
      <c r="L61" s="35">
        <v>-78.5744517588831</v>
      </c>
      <c r="M61" s="32" t="s">
        <v>258</v>
      </c>
      <c r="N61" s="32" t="s">
        <v>639</v>
      </c>
      <c r="O61" s="32" t="s">
        <v>448</v>
      </c>
      <c r="P61" s="32"/>
      <c r="Q61" s="32" t="s">
        <v>550</v>
      </c>
      <c r="R61" s="32" t="s">
        <v>645</v>
      </c>
    </row>
    <row r="62" spans="1:18" ht="156" x14ac:dyDescent="0.25">
      <c r="A62" s="32" t="s">
        <v>646</v>
      </c>
      <c r="B62" s="32" t="s">
        <v>202</v>
      </c>
      <c r="C62" s="32" t="str">
        <f>CONCATENATE(VLOOKUP($D62,CODIFICACIÓN_DPA!$A$2:$B$66,2,FALSE),VLOOKUP($G62,CODIFICACIÓN_DPA!$D$2:$E$6,2,FALSE),CONCATENATE(VLOOKUP($E62,CODIFICACIÓN_DPA!$G$2:$H$3,2,FALSE),VLOOKUP($F62,CODIFICACIÓN_DPA!$J$2:$K$10,2,FALSE)),A62)</f>
        <v>170171AV0205061</v>
      </c>
      <c r="D62" s="32" t="s">
        <v>148</v>
      </c>
      <c r="E62" s="32" t="s">
        <v>19</v>
      </c>
      <c r="F62" s="32" t="s">
        <v>38</v>
      </c>
      <c r="G62" s="32" t="s">
        <v>30</v>
      </c>
      <c r="H62" s="32" t="s">
        <v>647</v>
      </c>
      <c r="I62" s="32" t="s">
        <v>648</v>
      </c>
      <c r="J62" s="32" t="s">
        <v>649</v>
      </c>
      <c r="K62" s="35">
        <v>-0.111358644041521</v>
      </c>
      <c r="L62" s="40">
        <v>-78.584966823918606</v>
      </c>
      <c r="M62" s="32" t="s">
        <v>650</v>
      </c>
      <c r="N62" s="32" t="s">
        <v>651</v>
      </c>
      <c r="O62" s="32" t="s">
        <v>652</v>
      </c>
      <c r="P62" s="32"/>
      <c r="Q62" s="32" t="s">
        <v>653</v>
      </c>
      <c r="R62" s="42" t="s">
        <v>654</v>
      </c>
    </row>
    <row r="63" spans="1:18" ht="96" x14ac:dyDescent="0.25">
      <c r="A63" s="32" t="s">
        <v>655</v>
      </c>
      <c r="B63" s="32" t="s">
        <v>202</v>
      </c>
      <c r="C63" s="32" t="str">
        <f>CONCATENATE(VLOOKUP($D63,CODIFICACIÓN_DPA!$A$2:$B$66,2,FALSE),VLOOKUP($G63,CODIFICACIÓN_DPA!$D$2:$E$6,2,FALSE),CONCATENATE(VLOOKUP($E63,CODIFICACIÓN_DPA!$G$2:$H$3,2,FALSE),VLOOKUP($F63,CODIFICACIÓN_DPA!$J$2:$K$10,2,FALSE)),A63)</f>
        <v>170123GA0102062</v>
      </c>
      <c r="D63" s="32" t="s">
        <v>84</v>
      </c>
      <c r="E63" s="32" t="s">
        <v>12</v>
      </c>
      <c r="F63" s="32" t="s">
        <v>21</v>
      </c>
      <c r="G63" s="32" t="s">
        <v>17</v>
      </c>
      <c r="H63" s="32" t="s">
        <v>656</v>
      </c>
      <c r="I63" s="32" t="s">
        <v>657</v>
      </c>
      <c r="J63" s="50" t="s">
        <v>658</v>
      </c>
      <c r="K63" s="35">
        <v>-0.202768623990571</v>
      </c>
      <c r="L63" s="35">
        <v>-78.492231419677196</v>
      </c>
      <c r="M63" s="32"/>
      <c r="N63" s="32" t="s">
        <v>659</v>
      </c>
      <c r="O63" s="32" t="s">
        <v>660</v>
      </c>
      <c r="P63" s="32"/>
      <c r="Q63" s="32"/>
      <c r="R63" s="32" t="s">
        <v>661</v>
      </c>
    </row>
    <row r="64" spans="1:18" ht="108" x14ac:dyDescent="0.25">
      <c r="A64" s="32" t="s">
        <v>662</v>
      </c>
      <c r="B64" s="32" t="s">
        <v>202</v>
      </c>
      <c r="C64" s="32" t="str">
        <f>CONCATENATE(VLOOKUP($D64,CODIFICACIÓN_DPA!$A$2:$B$66,2,FALSE),VLOOKUP($G64,CODIFICACIÓN_DPA!$D$2:$E$6,2,FALSE),CONCATENATE(VLOOKUP($E64,CODIFICACIÓN_DPA!$G$2:$H$3,2,FALSE),VLOOKUP($F64,CODIFICACIÓN_DPA!$J$2:$K$10,2,FALSE)),A64)</f>
        <v>170123CU0102063</v>
      </c>
      <c r="D64" s="32" t="s">
        <v>84</v>
      </c>
      <c r="E64" s="32" t="s">
        <v>12</v>
      </c>
      <c r="F64" s="32" t="s">
        <v>21</v>
      </c>
      <c r="G64" s="32" t="s">
        <v>24</v>
      </c>
      <c r="H64" s="32" t="s">
        <v>663</v>
      </c>
      <c r="I64" s="32" t="s">
        <v>664</v>
      </c>
      <c r="J64" s="32" t="s">
        <v>665</v>
      </c>
      <c r="K64" s="35">
        <v>-0.198960789505638</v>
      </c>
      <c r="L64" s="35">
        <v>-78.487596615570595</v>
      </c>
      <c r="M64" s="32"/>
      <c r="N64" s="32" t="s">
        <v>666</v>
      </c>
      <c r="O64" s="32" t="s">
        <v>667</v>
      </c>
      <c r="P64" s="32" t="s">
        <v>363</v>
      </c>
      <c r="Q64" s="32"/>
      <c r="R64" s="32" t="s">
        <v>668</v>
      </c>
    </row>
    <row r="65" spans="1:18" ht="96" x14ac:dyDescent="0.25">
      <c r="A65" s="32" t="s">
        <v>669</v>
      </c>
      <c r="B65" s="32" t="s">
        <v>202</v>
      </c>
      <c r="C65" s="32" t="str">
        <f>CONCATENATE(VLOOKUP($D65,CODIFICACIÓN_DPA!$A$2:$B$66,2,FALSE),VLOOKUP($G65,CODIFICACIÓN_DPA!$D$2:$E$6,2,FALSE),CONCATENATE(VLOOKUP($E65,CODIFICACIÓN_DPA!$G$2:$H$3,2,FALSE),VLOOKUP($F65,CODIFICACIÓN_DPA!$J$2:$K$10,2,FALSE)),A65)</f>
        <v>170123GA0102064</v>
      </c>
      <c r="D65" s="32" t="s">
        <v>84</v>
      </c>
      <c r="E65" s="32" t="s">
        <v>12</v>
      </c>
      <c r="F65" s="32" t="s">
        <v>21</v>
      </c>
      <c r="G65" s="32" t="s">
        <v>17</v>
      </c>
      <c r="H65" s="32" t="s">
        <v>670</v>
      </c>
      <c r="I65" s="32" t="s">
        <v>671</v>
      </c>
      <c r="J65" s="32" t="s">
        <v>672</v>
      </c>
      <c r="K65" s="35">
        <v>-0.211596020354239</v>
      </c>
      <c r="L65" s="35">
        <v>-78.481947255439593</v>
      </c>
      <c r="M65" s="32"/>
      <c r="N65" s="32" t="s">
        <v>673</v>
      </c>
      <c r="O65" s="32" t="s">
        <v>674</v>
      </c>
      <c r="P65" s="32"/>
      <c r="Q65" s="32"/>
      <c r="R65" s="32">
        <v>980781963</v>
      </c>
    </row>
    <row r="66" spans="1:18" ht="84" x14ac:dyDescent="0.25">
      <c r="A66" s="32" t="s">
        <v>675</v>
      </c>
      <c r="B66" s="32" t="s">
        <v>202</v>
      </c>
      <c r="C66" s="32" t="str">
        <f>CONCATENATE(VLOOKUP($D66,CODIFICACIÓN_DPA!$A$2:$B$66,2,FALSE),VLOOKUP($G66,CODIFICACIÓN_DPA!$D$2:$E$6,2,FALSE),CONCATENATE(VLOOKUP($E66,CODIFICACIÓN_DPA!$G$2:$H$3,2,FALSE),VLOOKUP($F66,CODIFICACIÓN_DPA!$J$2:$K$10,2,FALSE)),A66)</f>
        <v>170112GA0103065</v>
      </c>
      <c r="D66" s="32" t="s">
        <v>60</v>
      </c>
      <c r="E66" s="32" t="s">
        <v>12</v>
      </c>
      <c r="F66" s="32" t="s">
        <v>26</v>
      </c>
      <c r="G66" s="32" t="s">
        <v>17</v>
      </c>
      <c r="H66" s="32" t="s">
        <v>676</v>
      </c>
      <c r="I66" s="32" t="s">
        <v>677</v>
      </c>
      <c r="J66" s="32" t="s">
        <v>678</v>
      </c>
      <c r="K66" s="35">
        <v>-0.19489629637688</v>
      </c>
      <c r="L66" s="40">
        <v>-78.477639591552403</v>
      </c>
      <c r="M66" s="32"/>
      <c r="N66" s="32" t="s">
        <v>679</v>
      </c>
      <c r="O66" s="32" t="s">
        <v>363</v>
      </c>
      <c r="P66" s="32" t="s">
        <v>363</v>
      </c>
      <c r="Q66" s="32"/>
      <c r="R66" s="32">
        <v>995664373</v>
      </c>
    </row>
    <row r="67" spans="1:18" ht="84" x14ac:dyDescent="0.25">
      <c r="A67" s="32" t="s">
        <v>680</v>
      </c>
      <c r="B67" s="32" t="s">
        <v>202</v>
      </c>
      <c r="C67" s="32" t="str">
        <f>CONCATENATE(VLOOKUP($D67,CODIFICACIÓN_DPA!$A$2:$B$66,2,FALSE),VLOOKUP($G67,CODIFICACIÓN_DPA!$D$2:$E$6,2,FALSE),CONCATENATE(VLOOKUP($E67,CODIFICACIÓN_DPA!$G$2:$H$3,2,FALSE),VLOOKUP($F67,CODIFICACIÓN_DPA!$J$2:$K$10,2,FALSE)),A67)</f>
        <v>170169GA0205066</v>
      </c>
      <c r="D67" s="32" t="s">
        <v>144</v>
      </c>
      <c r="E67" s="32" t="s">
        <v>19</v>
      </c>
      <c r="F67" s="32" t="s">
        <v>38</v>
      </c>
      <c r="G67" s="32" t="s">
        <v>17</v>
      </c>
      <c r="H67" s="32" t="s">
        <v>681</v>
      </c>
      <c r="I67" s="32" t="s">
        <v>682</v>
      </c>
      <c r="J67" s="50" t="s">
        <v>683</v>
      </c>
      <c r="K67" s="35">
        <v>6.6395993786462604E-2</v>
      </c>
      <c r="L67" s="35">
        <v>-78.676207535174299</v>
      </c>
      <c r="M67" s="32" t="s">
        <v>224</v>
      </c>
      <c r="N67" s="32" t="s">
        <v>216</v>
      </c>
      <c r="O67" s="32" t="s">
        <v>363</v>
      </c>
      <c r="P67" s="32" t="s">
        <v>363</v>
      </c>
      <c r="Q67" s="32"/>
      <c r="R67" s="32">
        <v>995611026</v>
      </c>
    </row>
    <row r="68" spans="1:18" ht="15.75" customHeight="1" x14ac:dyDescent="0.25">
      <c r="A68" s="32" t="s">
        <v>684</v>
      </c>
      <c r="B68" s="32" t="s">
        <v>202</v>
      </c>
      <c r="C68" s="32" t="str">
        <f>CONCATENATE(VLOOKUP($D68,CODIFICACIÓN_DPA!$A$2:$B$66,2,FALSE),VLOOKUP($G68,CODIFICACIÓN_DPA!$D$2:$E$6,2,FALSE),CONCATENATE(VLOOKUP($E68,CODIFICACIÓN_DPA!$G$2:$H$3,2,FALSE),VLOOKUP($F68,CODIFICACIÓN_DPA!$J$2:$K$10,2,FALSE)),A68)</f>
        <v>170127CU0103067</v>
      </c>
      <c r="D68" s="32" t="s">
        <v>98</v>
      </c>
      <c r="E68" s="32" t="s">
        <v>12</v>
      </c>
      <c r="F68" s="32" t="s">
        <v>26</v>
      </c>
      <c r="G68" s="32" t="s">
        <v>24</v>
      </c>
      <c r="H68" s="32" t="s">
        <v>685</v>
      </c>
      <c r="I68" s="32" t="s">
        <v>686</v>
      </c>
      <c r="J68" s="32" t="s">
        <v>687</v>
      </c>
      <c r="K68" s="35">
        <v>-0.18140565148469101</v>
      </c>
      <c r="L68" s="40">
        <v>-78.501043290947806</v>
      </c>
      <c r="M68" s="32" t="s">
        <v>528</v>
      </c>
      <c r="N68" s="32" t="s">
        <v>688</v>
      </c>
      <c r="O68" s="32" t="s">
        <v>448</v>
      </c>
      <c r="P68" s="32" t="s">
        <v>363</v>
      </c>
      <c r="Q68" s="32"/>
      <c r="R68" s="32">
        <v>22242313</v>
      </c>
    </row>
    <row r="69" spans="1:18" ht="130.5" customHeight="1" x14ac:dyDescent="0.25">
      <c r="A69" s="32" t="s">
        <v>689</v>
      </c>
      <c r="B69" s="32" t="s">
        <v>202</v>
      </c>
      <c r="C69" s="32" t="str">
        <f>CONCATENATE(VLOOKUP($D69,CODIFICACIÓN_DPA!$A$2:$B$66,2,FALSE),VLOOKUP($G69,CODIFICACIÓN_DPA!$D$2:$E$6,2,FALSE),CONCATENATE(VLOOKUP($E69,CODIFICACIÓN_DPA!$G$2:$H$3,2,FALSE),VLOOKUP($F69,CODIFICACIÓN_DPA!$J$2:$K$10,2,FALSE)),A69)</f>
        <v>170123CU0102068</v>
      </c>
      <c r="D69" s="32" t="s">
        <v>84</v>
      </c>
      <c r="E69" s="32" t="s">
        <v>12</v>
      </c>
      <c r="F69" s="32" t="s">
        <v>21</v>
      </c>
      <c r="G69" s="32" t="s">
        <v>24</v>
      </c>
      <c r="H69" s="32" t="s">
        <v>690</v>
      </c>
      <c r="I69" s="32" t="s">
        <v>691</v>
      </c>
      <c r="J69" s="32" t="s">
        <v>692</v>
      </c>
      <c r="K69" s="35">
        <v>-0.20923936305069199</v>
      </c>
      <c r="L69" s="35">
        <v>-78.481947923271804</v>
      </c>
      <c r="M69" s="32" t="s">
        <v>693</v>
      </c>
      <c r="N69" s="32" t="s">
        <v>694</v>
      </c>
      <c r="O69" s="32" t="s">
        <v>695</v>
      </c>
      <c r="P69" s="32" t="s">
        <v>696</v>
      </c>
      <c r="Q69" s="32"/>
      <c r="R69" s="39" t="s">
        <v>697</v>
      </c>
    </row>
    <row r="70" spans="1:18" ht="127.5" customHeight="1" x14ac:dyDescent="0.25">
      <c r="A70" s="32" t="s">
        <v>698</v>
      </c>
      <c r="B70" s="32" t="s">
        <v>202</v>
      </c>
      <c r="C70" s="32" t="str">
        <f>CONCATENATE(VLOOKUP($D70,CODIFICACIÓN_DPA!$A$2:$B$66,2,FALSE),VLOOKUP($G70,CODIFICACIÓN_DPA!$D$2:$E$6,2,FALSE),CONCATENATE(VLOOKUP($E70,CODIFICACIÓN_DPA!$G$2:$H$3,2,FALSE),VLOOKUP($F70,CODIFICACIÓN_DPA!$J$2:$K$10,2,FALSE)),A70)</f>
        <v>170112GA0103069</v>
      </c>
      <c r="D70" s="32" t="s">
        <v>60</v>
      </c>
      <c r="E70" s="32" t="s">
        <v>12</v>
      </c>
      <c r="F70" s="32" t="s">
        <v>26</v>
      </c>
      <c r="G70" s="32" t="s">
        <v>17</v>
      </c>
      <c r="H70" s="32" t="s">
        <v>699</v>
      </c>
      <c r="I70" s="32" t="s">
        <v>700</v>
      </c>
      <c r="J70" s="32" t="s">
        <v>701</v>
      </c>
      <c r="K70" s="35">
        <v>-0.17326301045019901</v>
      </c>
      <c r="L70" s="35">
        <v>-78.475872492069996</v>
      </c>
      <c r="M70" s="32" t="s">
        <v>224</v>
      </c>
      <c r="N70" s="32" t="s">
        <v>702</v>
      </c>
      <c r="O70" s="32" t="s">
        <v>363</v>
      </c>
      <c r="P70" s="32"/>
      <c r="Q70" s="32" t="s">
        <v>703</v>
      </c>
      <c r="R70" s="32">
        <v>939185798</v>
      </c>
    </row>
    <row r="71" spans="1:18" ht="117.75" customHeight="1" x14ac:dyDescent="0.25">
      <c r="A71" s="32" t="s">
        <v>704</v>
      </c>
      <c r="B71" s="32" t="s">
        <v>430</v>
      </c>
      <c r="C71" s="32" t="str">
        <f>CONCATENATE(VLOOKUP($D71,CODIFICACIÓN_DPA!$A$2:$B$66,2,FALSE),VLOOKUP($G71,CODIFICACIÓN_DPA!$D$2:$E$6,2,FALSE),CONCATENATE(VLOOKUP($E71,CODIFICACIÓN_DPA!$G$2:$H$3,2,FALSE),VLOOKUP($F71,CODIFICACIÓN_DPA!$J$2:$K$10,2,FALSE)),A71)</f>
        <v>170114GA0103070</v>
      </c>
      <c r="D71" s="32" t="s">
        <v>64</v>
      </c>
      <c r="E71" s="32" t="s">
        <v>12</v>
      </c>
      <c r="F71" s="32" t="s">
        <v>26</v>
      </c>
      <c r="G71" s="32" t="s">
        <v>17</v>
      </c>
      <c r="H71" s="32" t="s">
        <v>705</v>
      </c>
      <c r="I71" s="32" t="s">
        <v>706</v>
      </c>
      <c r="J71" s="32" t="s">
        <v>707</v>
      </c>
      <c r="K71" s="32">
        <v>-0.16288818019602699</v>
      </c>
      <c r="L71" s="39">
        <v>-78.478849777905495</v>
      </c>
      <c r="M71" s="32" t="s">
        <v>708</v>
      </c>
      <c r="N71" s="32" t="s">
        <v>709</v>
      </c>
      <c r="O71" s="32" t="s">
        <v>363</v>
      </c>
      <c r="P71" s="32"/>
      <c r="Q71" s="32"/>
      <c r="R71" s="42" t="s">
        <v>710</v>
      </c>
    </row>
    <row r="72" spans="1:18" ht="132.75" customHeight="1" x14ac:dyDescent="0.25">
      <c r="A72" s="32" t="s">
        <v>711</v>
      </c>
      <c r="B72" s="32" t="s">
        <v>202</v>
      </c>
      <c r="C72" s="32" t="str">
        <f>CONCATENATE(VLOOKUP($D72,CODIFICACIÓN_DPA!$A$2:$B$66,2,FALSE),VLOOKUP($G72,CODIFICACIÓN_DPA!$D$2:$E$6,2,FALSE),CONCATENATE(VLOOKUP($E72,CODIFICACIÓN_DPA!$G$2:$H$3,2,FALSE),VLOOKUP($F72,CODIFICACIÓN_DPA!$J$2:$K$10,2,FALSE)),A72)</f>
        <v>170157GA0208071</v>
      </c>
      <c r="D72" s="32" t="s">
        <v>122</v>
      </c>
      <c r="E72" s="32" t="s">
        <v>19</v>
      </c>
      <c r="F72" s="32" t="s">
        <v>50</v>
      </c>
      <c r="G72" s="32" t="s">
        <v>17</v>
      </c>
      <c r="H72" s="32" t="s">
        <v>712</v>
      </c>
      <c r="I72" s="32" t="s">
        <v>713</v>
      </c>
      <c r="J72" s="32" t="s">
        <v>714</v>
      </c>
      <c r="K72" s="35">
        <v>-0.19593424084425001</v>
      </c>
      <c r="L72" s="35">
        <v>-78.433824090217399</v>
      </c>
      <c r="M72" s="32" t="s">
        <v>224</v>
      </c>
      <c r="N72" s="32" t="s">
        <v>715</v>
      </c>
      <c r="O72" s="32" t="s">
        <v>318</v>
      </c>
      <c r="P72" s="32"/>
      <c r="Q72" s="32" t="s">
        <v>716</v>
      </c>
      <c r="R72" s="32">
        <v>958749233</v>
      </c>
    </row>
    <row r="73" spans="1:18" ht="116.25" customHeight="1" x14ac:dyDescent="0.25">
      <c r="A73" s="32" t="s">
        <v>717</v>
      </c>
      <c r="B73" s="32" t="s">
        <v>202</v>
      </c>
      <c r="C73" s="32" t="str">
        <f>CONCATENATE(VLOOKUP($D73,CODIFICACIÓN_DPA!$A$2:$B$66,2,FALSE),VLOOKUP($G73,CODIFICACIÓN_DPA!$D$2:$E$6,2,FALSE),CONCATENATE(VLOOKUP($E73,CODIFICACIÓN_DPA!$G$2:$H$3,2,FALSE),VLOOKUP($F73,CODIFICACIÓN_DPA!$J$2:$K$10,2,FALSE)),A73)</f>
        <v>170123GA0102072</v>
      </c>
      <c r="D73" s="32" t="s">
        <v>84</v>
      </c>
      <c r="E73" s="32" t="s">
        <v>12</v>
      </c>
      <c r="F73" s="32" t="s">
        <v>21</v>
      </c>
      <c r="G73" s="32" t="s">
        <v>17</v>
      </c>
      <c r="H73" s="32" t="s">
        <v>718</v>
      </c>
      <c r="I73" s="32" t="s">
        <v>719</v>
      </c>
      <c r="J73" s="32" t="s">
        <v>720</v>
      </c>
      <c r="K73" s="35">
        <v>-0.205976087707476</v>
      </c>
      <c r="L73" s="35">
        <v>-78.481088236628196</v>
      </c>
      <c r="M73" s="32" t="s">
        <v>557</v>
      </c>
      <c r="N73" s="32" t="s">
        <v>721</v>
      </c>
      <c r="O73" s="32" t="s">
        <v>722</v>
      </c>
      <c r="P73" s="32" t="s">
        <v>723</v>
      </c>
      <c r="Q73" s="32" t="s">
        <v>724</v>
      </c>
      <c r="R73" s="32" t="s">
        <v>725</v>
      </c>
    </row>
    <row r="74" spans="1:18" ht="133.5" customHeight="1" x14ac:dyDescent="0.25">
      <c r="A74" s="32" t="s">
        <v>726</v>
      </c>
      <c r="B74" s="32" t="s">
        <v>202</v>
      </c>
      <c r="C74" s="32" t="str">
        <f>CONCATENATE(VLOOKUP($D74,CODIFICACIÓN_DPA!$A$2:$B$66,2,FALSE),VLOOKUP($G74,CODIFICACIÓN_DPA!$D$2:$E$6,2,FALSE),CONCATENATE(VLOOKUP($E74,CODIFICACIÓN_DPA!$G$2:$H$3,2,FALSE),VLOOKUP($F74,CODIFICACIÓN_DPA!$J$2:$K$10,2,FALSE)),A74)</f>
        <v>170112GA0103073</v>
      </c>
      <c r="D74" s="32" t="s">
        <v>60</v>
      </c>
      <c r="E74" s="32" t="s">
        <v>12</v>
      </c>
      <c r="F74" s="32" t="s">
        <v>26</v>
      </c>
      <c r="G74" s="32" t="s">
        <v>17</v>
      </c>
      <c r="H74" s="32" t="s">
        <v>727</v>
      </c>
      <c r="I74" s="32" t="s">
        <v>728</v>
      </c>
      <c r="J74" s="32" t="s">
        <v>729</v>
      </c>
      <c r="K74" s="35">
        <v>-0.195928678786467</v>
      </c>
      <c r="L74" s="35">
        <v>-78.484462180173296</v>
      </c>
      <c r="M74" s="32" t="s">
        <v>363</v>
      </c>
      <c r="N74" s="32" t="s">
        <v>730</v>
      </c>
      <c r="O74" s="32" t="s">
        <v>363</v>
      </c>
      <c r="P74" s="32" t="s">
        <v>216</v>
      </c>
      <c r="Q74" s="32"/>
      <c r="R74" s="32">
        <v>969246192</v>
      </c>
    </row>
    <row r="75" spans="1:18" ht="139.5" customHeight="1" x14ac:dyDescent="0.25">
      <c r="A75" s="32" t="s">
        <v>731</v>
      </c>
      <c r="B75" s="32" t="s">
        <v>202</v>
      </c>
      <c r="C75" s="32" t="str">
        <f>CONCATENATE(VLOOKUP($D75,CODIFICACIÓN_DPA!$A$2:$B$66,2,FALSE),VLOOKUP($G75,CODIFICACIÓN_DPA!$D$2:$E$6,2,FALSE),CONCATENATE(VLOOKUP($E75,CODIFICACIÓN_DPA!$G$2:$H$3,2,FALSE),VLOOKUP($F75,CODIFICACIÓN_DPA!$J$2:$K$10,2,FALSE)),A75)</f>
        <v>170180GA0204074</v>
      </c>
      <c r="D75" s="32" t="s">
        <v>164</v>
      </c>
      <c r="E75" s="32" t="s">
        <v>19</v>
      </c>
      <c r="F75" s="32" t="s">
        <v>32</v>
      </c>
      <c r="G75" s="32" t="s">
        <v>17</v>
      </c>
      <c r="H75" s="32" t="s">
        <v>732</v>
      </c>
      <c r="I75" s="32" t="s">
        <v>733</v>
      </c>
      <c r="J75" s="50" t="s">
        <v>734</v>
      </c>
      <c r="K75" s="35">
        <v>-4.31953969222169E-4</v>
      </c>
      <c r="L75" s="35">
        <v>-78.455000339955703</v>
      </c>
      <c r="M75" s="32"/>
      <c r="N75" s="32" t="s">
        <v>735</v>
      </c>
      <c r="O75" s="32"/>
      <c r="P75" s="32" t="s">
        <v>216</v>
      </c>
      <c r="Q75" s="32"/>
      <c r="R75" s="32" t="s">
        <v>736</v>
      </c>
    </row>
    <row r="76" spans="1:18" ht="145.5" customHeight="1" x14ac:dyDescent="0.25">
      <c r="A76" s="32" t="s">
        <v>737</v>
      </c>
      <c r="B76" s="32" t="s">
        <v>202</v>
      </c>
      <c r="C76" s="32" t="str">
        <f>CONCATENATE(VLOOKUP($D76,CODIFICACIÓN_DPA!$A$2:$B$66,2,FALSE),VLOOKUP($G76,CODIFICACIÓN_DPA!$D$2:$E$6,2,FALSE),CONCATENATE(VLOOKUP($E76,CODIFICACIÓN_DPA!$G$2:$H$3,2,FALSE),VLOOKUP($F76,CODIFICACIÓN_DPA!$J$2:$K$10,2,FALSE)),A76)</f>
        <v>170114GA0103075</v>
      </c>
      <c r="D76" s="32" t="s">
        <v>64</v>
      </c>
      <c r="E76" s="32" t="s">
        <v>12</v>
      </c>
      <c r="F76" s="32" t="s">
        <v>26</v>
      </c>
      <c r="G76" s="32" t="s">
        <v>17</v>
      </c>
      <c r="H76" s="32" t="s">
        <v>738</v>
      </c>
      <c r="I76" s="39" t="s">
        <v>739</v>
      </c>
      <c r="J76" s="32" t="s">
        <v>740</v>
      </c>
      <c r="K76" s="35">
        <v>-0.16073480717727701</v>
      </c>
      <c r="L76" s="35">
        <v>-78.479521036580095</v>
      </c>
      <c r="M76" s="32"/>
      <c r="N76" s="32" t="s">
        <v>741</v>
      </c>
      <c r="O76" s="32" t="s">
        <v>557</v>
      </c>
      <c r="P76" s="32" t="s">
        <v>216</v>
      </c>
      <c r="Q76" s="32"/>
      <c r="R76" s="32" t="s">
        <v>742</v>
      </c>
    </row>
    <row r="77" spans="1:18" ht="146.25" customHeight="1" x14ac:dyDescent="0.25">
      <c r="A77" s="32" t="s">
        <v>743</v>
      </c>
      <c r="B77" s="32" t="s">
        <v>202</v>
      </c>
      <c r="C77" s="32" t="str">
        <f>CONCATENATE(VLOOKUP($D77,CODIFICACIÓN_DPA!$A$2:$B$66,2,FALSE),VLOOKUP($G77,CODIFICACIÓN_DPA!$D$2:$E$6,2,FALSE),CONCATENATE(VLOOKUP($E77,CODIFICACIÓN_DPA!$G$2:$H$3,2,FALSE),VLOOKUP($F77,CODIFICACIÓN_DPA!$J$2:$K$10,2,FALSE)),A77)</f>
        <v>170114CU0103076</v>
      </c>
      <c r="D77" s="32" t="s">
        <v>64</v>
      </c>
      <c r="E77" s="32" t="s">
        <v>12</v>
      </c>
      <c r="F77" s="32" t="s">
        <v>26</v>
      </c>
      <c r="G77" s="32" t="s">
        <v>24</v>
      </c>
      <c r="H77" s="32" t="s">
        <v>744</v>
      </c>
      <c r="I77" s="32" t="s">
        <v>745</v>
      </c>
      <c r="J77" s="32" t="s">
        <v>746</v>
      </c>
      <c r="K77" s="35">
        <v>-0.170028867999655</v>
      </c>
      <c r="L77" s="40">
        <v>-78.479043011119501</v>
      </c>
      <c r="M77" s="32" t="s">
        <v>747</v>
      </c>
      <c r="N77" s="32" t="s">
        <v>748</v>
      </c>
      <c r="O77" s="32" t="s">
        <v>557</v>
      </c>
      <c r="P77" s="32" t="s">
        <v>723</v>
      </c>
      <c r="Q77" s="32"/>
      <c r="R77" s="32" t="s">
        <v>749</v>
      </c>
    </row>
    <row r="78" spans="1:18" ht="167.25" customHeight="1" x14ac:dyDescent="0.25">
      <c r="A78" s="32" t="s">
        <v>750</v>
      </c>
      <c r="B78" s="32" t="s">
        <v>202</v>
      </c>
      <c r="C78" s="32" t="str">
        <f>CONCATENATE(VLOOKUP($D78,CODIFICACIÓN_DPA!$A$2:$B$66,2,FALSE),VLOOKUP($G78,CODIFICACIÓN_DPA!$D$2:$E$6,2,FALSE),CONCATENATE(VLOOKUP($E78,CODIFICACIÓN_DPA!$G$2:$H$3,2,FALSE),VLOOKUP($F78,CODIFICACIÓN_DPA!$J$2:$K$10,2,FALSE)),A78)</f>
        <v>170157GA0208077</v>
      </c>
      <c r="D78" s="32" t="s">
        <v>122</v>
      </c>
      <c r="E78" s="32" t="s">
        <v>19</v>
      </c>
      <c r="F78" s="32" t="s">
        <v>50</v>
      </c>
      <c r="G78" s="32" t="s">
        <v>17</v>
      </c>
      <c r="H78" s="32" t="s">
        <v>751</v>
      </c>
      <c r="I78" s="32" t="s">
        <v>752</v>
      </c>
      <c r="J78" s="32" t="s">
        <v>753</v>
      </c>
      <c r="K78" s="35">
        <v>-0.202040181952269</v>
      </c>
      <c r="L78" s="40">
        <v>-78.428118611119601</v>
      </c>
      <c r="M78" s="32" t="s">
        <v>747</v>
      </c>
      <c r="N78" s="32" t="s">
        <v>216</v>
      </c>
      <c r="O78" s="32" t="s">
        <v>557</v>
      </c>
      <c r="P78" s="32" t="s">
        <v>363</v>
      </c>
      <c r="Q78" s="32"/>
      <c r="R78" s="32">
        <v>994373948</v>
      </c>
    </row>
    <row r="79" spans="1:18" ht="15.75" customHeight="1" x14ac:dyDescent="0.25">
      <c r="A79" s="32" t="s">
        <v>754</v>
      </c>
      <c r="B79" s="32" t="s">
        <v>202</v>
      </c>
      <c r="C79" s="32" t="str">
        <f>CONCATENATE(VLOOKUP($D79,CODIFICACIÓN_DPA!$A$2:$B$66,2,FALSE),VLOOKUP($G79,CODIFICACIÓN_DPA!$D$2:$E$6,2,FALSE),CONCATENATE(VLOOKUP($E79,CODIFICACIÓN_DPA!$G$2:$H$3,2,FALSE),VLOOKUP($F79,CODIFICACIÓN_DPA!$J$2:$K$10,2,FALSE)),A79)</f>
        <v>170103GA0101078</v>
      </c>
      <c r="D79" s="32" t="s">
        <v>22</v>
      </c>
      <c r="E79" s="32" t="s">
        <v>12</v>
      </c>
      <c r="F79" s="32" t="s">
        <v>14</v>
      </c>
      <c r="G79" s="32" t="s">
        <v>17</v>
      </c>
      <c r="H79" s="32" t="s">
        <v>755</v>
      </c>
      <c r="I79" s="32" t="s">
        <v>756</v>
      </c>
      <c r="J79" s="32" t="s">
        <v>757</v>
      </c>
      <c r="K79" s="35">
        <v>-0.22321312468725299</v>
      </c>
      <c r="L79" s="35">
        <v>-78.5144814418083</v>
      </c>
      <c r="M79" s="32" t="s">
        <v>747</v>
      </c>
      <c r="N79" s="32" t="s">
        <v>758</v>
      </c>
      <c r="O79" s="32" t="s">
        <v>557</v>
      </c>
      <c r="P79" s="32" t="s">
        <v>723</v>
      </c>
      <c r="Q79" s="32"/>
      <c r="R79" s="32">
        <v>992212227</v>
      </c>
    </row>
    <row r="80" spans="1:18" ht="140.25" customHeight="1" x14ac:dyDescent="0.25">
      <c r="A80" s="32" t="s">
        <v>759</v>
      </c>
      <c r="B80" s="32" t="s">
        <v>202</v>
      </c>
      <c r="C80" s="32" t="str">
        <f>CONCATENATE(VLOOKUP($D80,CODIFICACIÓN_DPA!$A$2:$B$66,2,FALSE),VLOOKUP($G80,CODIFICACIÓN_DPA!$D$2:$E$6,2,FALSE),CONCATENATE(VLOOKUP($E80,CODIFICACIÓN_DPA!$G$2:$H$3,2,FALSE),VLOOKUP($F80,CODIFICACIÓN_DPA!$J$2:$K$10,2,FALSE)),A80)</f>
        <v>170112GA0103079</v>
      </c>
      <c r="D80" s="32" t="s">
        <v>60</v>
      </c>
      <c r="E80" s="32" t="s">
        <v>12</v>
      </c>
      <c r="F80" s="32" t="s">
        <v>26</v>
      </c>
      <c r="G80" s="32" t="s">
        <v>17</v>
      </c>
      <c r="H80" s="32" t="s">
        <v>760</v>
      </c>
      <c r="I80" s="32" t="s">
        <v>761</v>
      </c>
      <c r="J80" s="32" t="s">
        <v>762</v>
      </c>
      <c r="K80" s="35">
        <v>-0.189888865460829</v>
      </c>
      <c r="L80" s="40">
        <v>-78.489191195113506</v>
      </c>
      <c r="M80" s="32" t="s">
        <v>747</v>
      </c>
      <c r="N80" s="32" t="s">
        <v>763</v>
      </c>
      <c r="O80" s="32" t="s">
        <v>747</v>
      </c>
      <c r="P80" s="32" t="s">
        <v>764</v>
      </c>
      <c r="Q80" s="32"/>
      <c r="R80" s="39" t="s">
        <v>765</v>
      </c>
    </row>
    <row r="81" spans="1:18" ht="156.75" customHeight="1" x14ac:dyDescent="0.25">
      <c r="A81" s="32" t="s">
        <v>766</v>
      </c>
      <c r="B81" s="32" t="s">
        <v>202</v>
      </c>
      <c r="C81" s="32" t="str">
        <f>CONCATENATE(VLOOKUP($D81,CODIFICACIÓN_DPA!$A$2:$B$66,2,FALSE),VLOOKUP($G81,CODIFICACIÓN_DPA!$D$2:$E$6,2,FALSE),CONCATENATE(VLOOKUP($E81,CODIFICACIÓN_DPA!$G$2:$H$3,2,FALSE),VLOOKUP($F81,CODIFICACIÓN_DPA!$J$2:$K$10,2,FALSE)),A81)</f>
        <v>170184GA0208080</v>
      </c>
      <c r="D81" s="32" t="s">
        <v>170</v>
      </c>
      <c r="E81" s="32" t="s">
        <v>19</v>
      </c>
      <c r="F81" s="32" t="s">
        <v>50</v>
      </c>
      <c r="G81" s="32" t="s">
        <v>17</v>
      </c>
      <c r="H81" s="32" t="s">
        <v>767</v>
      </c>
      <c r="I81" s="32" t="s">
        <v>768</v>
      </c>
      <c r="J81" s="32" t="s">
        <v>769</v>
      </c>
      <c r="K81" s="35">
        <v>-0.22830725350785</v>
      </c>
      <c r="L81" s="40">
        <v>-78.428829636250299</v>
      </c>
      <c r="M81" s="32"/>
      <c r="N81" s="32" t="s">
        <v>770</v>
      </c>
      <c r="O81" s="32" t="s">
        <v>771</v>
      </c>
      <c r="P81" s="32" t="s">
        <v>216</v>
      </c>
      <c r="Q81" s="32"/>
      <c r="R81" s="32">
        <v>962773529</v>
      </c>
    </row>
    <row r="82" spans="1:18" ht="108" x14ac:dyDescent="0.25">
      <c r="A82" s="32" t="s">
        <v>772</v>
      </c>
      <c r="B82" s="32" t="s">
        <v>202</v>
      </c>
      <c r="C82" s="32" t="str">
        <f>CONCATENATE(VLOOKUP($D82,CODIFICACIÓN_DPA!$A$2:$B$66,2,FALSE),VLOOKUP($G82,CODIFICACIÓN_DPA!$D$2:$E$6,2,FALSE),CONCATENATE(VLOOKUP($E82,CODIFICACIÓN_DPA!$G$2:$H$3,2,FALSE),VLOOKUP($F82,CODIFICACIÓN_DPA!$J$2:$K$10,2,FALSE)),A82)</f>
        <v>170103GA0101081</v>
      </c>
      <c r="D82" s="32" t="s">
        <v>22</v>
      </c>
      <c r="E82" s="32" t="s">
        <v>12</v>
      </c>
      <c r="F82" s="32" t="s">
        <v>14</v>
      </c>
      <c r="G82" s="32" t="s">
        <v>17</v>
      </c>
      <c r="H82" s="32" t="s">
        <v>773</v>
      </c>
      <c r="I82" s="32" t="s">
        <v>774</v>
      </c>
      <c r="J82" s="32" t="s">
        <v>775</v>
      </c>
      <c r="K82" s="35">
        <v>-0.221082082170141</v>
      </c>
      <c r="L82" s="35">
        <v>-78.515146911119601</v>
      </c>
      <c r="M82" s="32" t="s">
        <v>776</v>
      </c>
      <c r="N82" s="32" t="s">
        <v>777</v>
      </c>
      <c r="O82" s="32" t="s">
        <v>778</v>
      </c>
      <c r="P82" s="32" t="s">
        <v>216</v>
      </c>
      <c r="Q82" s="32" t="s">
        <v>779</v>
      </c>
      <c r="R82" s="32" t="s">
        <v>780</v>
      </c>
    </row>
    <row r="83" spans="1:18" ht="72" x14ac:dyDescent="0.25">
      <c r="A83" s="32" t="s">
        <v>781</v>
      </c>
      <c r="B83" s="32" t="s">
        <v>202</v>
      </c>
      <c r="C83" s="32" t="str">
        <f>CONCATENATE(VLOOKUP($D83,CODIFICACIÓN_DPA!$A$2:$B$66,2,FALSE),VLOOKUP($G83,CODIFICACIÓN_DPA!$D$2:$E$6,2,FALSE),CONCATENATE(VLOOKUP($E83,CODIFICACIÓN_DPA!$G$2:$H$3,2,FALSE),VLOOKUP($F83,CODIFICACIÓN_DPA!$J$2:$K$10,2,FALSE)),A83)</f>
        <v>170114GA0103082</v>
      </c>
      <c r="D83" s="32" t="s">
        <v>64</v>
      </c>
      <c r="E83" s="32" t="s">
        <v>12</v>
      </c>
      <c r="F83" s="32" t="s">
        <v>26</v>
      </c>
      <c r="G83" s="32" t="s">
        <v>17</v>
      </c>
      <c r="H83" s="32" t="s">
        <v>782</v>
      </c>
      <c r="I83" s="39" t="s">
        <v>783</v>
      </c>
      <c r="J83" s="32" t="s">
        <v>784</v>
      </c>
      <c r="K83" s="35">
        <v>-0.16350844472874801</v>
      </c>
      <c r="L83" s="35">
        <v>-78.476775652643198</v>
      </c>
      <c r="M83" s="32"/>
      <c r="N83" s="32" t="s">
        <v>785</v>
      </c>
      <c r="O83" s="32" t="s">
        <v>557</v>
      </c>
      <c r="P83" s="32" t="s">
        <v>723</v>
      </c>
      <c r="Q83" s="32"/>
      <c r="R83" s="32" t="s">
        <v>786</v>
      </c>
    </row>
    <row r="84" spans="1:18" ht="108" x14ac:dyDescent="0.25">
      <c r="A84" s="32" t="s">
        <v>787</v>
      </c>
      <c r="B84" s="32" t="s">
        <v>202</v>
      </c>
      <c r="C84" s="32" t="str">
        <f>CONCATENATE(VLOOKUP($D84,CODIFICACIÓN_DPA!$A$2:$B$66,2,FALSE),VLOOKUP($G84,CODIFICACIÓN_DPA!$D$2:$E$6,2,FALSE),CONCATENATE(VLOOKUP($E84,CODIFICACIÓN_DPA!$G$2:$H$3,2,FALSE),VLOOKUP($F84,CODIFICACIÓN_DPA!$J$2:$K$10,2,FALSE)),A84)</f>
        <v>170163CU0208083</v>
      </c>
      <c r="D84" s="32" t="s">
        <v>134</v>
      </c>
      <c r="E84" s="32" t="s">
        <v>19</v>
      </c>
      <c r="F84" s="32" t="s">
        <v>50</v>
      </c>
      <c r="G84" s="32" t="s">
        <v>24</v>
      </c>
      <c r="H84" s="32" t="s">
        <v>788</v>
      </c>
      <c r="I84" s="32" t="s">
        <v>789</v>
      </c>
      <c r="J84" s="32" t="s">
        <v>790</v>
      </c>
      <c r="K84" s="35">
        <v>-5.5839084048295601E-2</v>
      </c>
      <c r="L84" s="35">
        <v>-78.300290845982801</v>
      </c>
      <c r="M84" s="32" t="s">
        <v>557</v>
      </c>
      <c r="N84" s="32" t="s">
        <v>791</v>
      </c>
      <c r="O84" s="32" t="s">
        <v>792</v>
      </c>
      <c r="P84" s="32" t="s">
        <v>216</v>
      </c>
      <c r="Q84" s="32"/>
      <c r="R84" s="32" t="s">
        <v>793</v>
      </c>
    </row>
    <row r="85" spans="1:18" ht="348" x14ac:dyDescent="0.25">
      <c r="A85" s="32" t="s">
        <v>794</v>
      </c>
      <c r="B85" s="32" t="s">
        <v>202</v>
      </c>
      <c r="C85" s="32" t="str">
        <f>CONCATENATE(VLOOKUP($D85,CODIFICACIÓN_DPA!$A$2:$B$66,2,FALSE),VLOOKUP($G85,CODIFICACIÓN_DPA!$D$2:$E$6,2,FALSE),CONCATENATE(VLOOKUP($E85,CODIFICACIÓN_DPA!$G$2:$H$3,2,FALSE),VLOOKUP($F85,CODIFICACIÓN_DPA!$J$2:$K$10,2,FALSE)),A85)</f>
        <v>170175NA0208084</v>
      </c>
      <c r="D85" s="32" t="s">
        <v>154</v>
      </c>
      <c r="E85" s="32" t="s">
        <v>19</v>
      </c>
      <c r="F85" s="32" t="s">
        <v>50</v>
      </c>
      <c r="G85" s="32" t="s">
        <v>10</v>
      </c>
      <c r="H85" s="32" t="s">
        <v>795</v>
      </c>
      <c r="I85" s="51" t="s">
        <v>796</v>
      </c>
      <c r="J85" s="32" t="s">
        <v>797</v>
      </c>
      <c r="K85" s="35">
        <v>-0.25900409276852698</v>
      </c>
      <c r="L85" s="35">
        <v>-78.319988670619594</v>
      </c>
      <c r="M85" s="32" t="s">
        <v>798</v>
      </c>
      <c r="N85" s="32" t="s">
        <v>216</v>
      </c>
      <c r="O85" s="32" t="s">
        <v>799</v>
      </c>
      <c r="P85" s="32" t="s">
        <v>363</v>
      </c>
      <c r="Q85" s="32"/>
      <c r="R85" s="32" t="s">
        <v>800</v>
      </c>
    </row>
    <row r="86" spans="1:18" ht="132.75" customHeight="1" x14ac:dyDescent="0.25">
      <c r="A86" s="32" t="s">
        <v>801</v>
      </c>
      <c r="B86" s="32" t="s">
        <v>202</v>
      </c>
      <c r="C86" s="32" t="str">
        <f>CONCATENATE(VLOOKUP($D86,CODIFICACIÓN_DPA!$A$2:$B$66,2,FALSE),VLOOKUP($G86,CODIFICACIÓN_DPA!$D$2:$E$6,2,FALSE),CONCATENATE(VLOOKUP($E86,CODIFICACIÓN_DPA!$G$2:$H$3,2,FALSE),VLOOKUP($F86,CODIFICACIÓN_DPA!$J$2:$K$10,2,FALSE)),A86)</f>
        <v>170175NA0208085</v>
      </c>
      <c r="D86" s="32" t="s">
        <v>154</v>
      </c>
      <c r="E86" s="32" t="s">
        <v>19</v>
      </c>
      <c r="F86" s="32" t="s">
        <v>50</v>
      </c>
      <c r="G86" s="32" t="s">
        <v>10</v>
      </c>
      <c r="H86" s="32" t="s">
        <v>802</v>
      </c>
      <c r="I86" s="32" t="s">
        <v>803</v>
      </c>
      <c r="J86" s="32" t="s">
        <v>804</v>
      </c>
      <c r="K86" s="35">
        <v>-0.27230711084975601</v>
      </c>
      <c r="L86" s="35">
        <v>-78.356551730019603</v>
      </c>
      <c r="M86" s="32" t="s">
        <v>557</v>
      </c>
      <c r="N86" s="32" t="s">
        <v>805</v>
      </c>
      <c r="O86" s="32"/>
      <c r="P86" s="32" t="s">
        <v>363</v>
      </c>
      <c r="Q86" s="32"/>
      <c r="R86" s="32" t="s">
        <v>806</v>
      </c>
    </row>
    <row r="87" spans="1:18" ht="171.75" customHeight="1" x14ac:dyDescent="0.25">
      <c r="A87" s="32" t="s">
        <v>807</v>
      </c>
      <c r="B87" s="32" t="s">
        <v>202</v>
      </c>
      <c r="C87" s="32" t="str">
        <f>CONCATENATE(VLOOKUP($D87,CODIFICACIÓN_DPA!$A$2:$B$66,2,FALSE),VLOOKUP($G87,CODIFICACIÓN_DPA!$D$2:$E$6,2,FALSE),CONCATENATE(VLOOKUP($E87,CODIFICACIÓN_DPA!$G$2:$H$3,2,FALSE),VLOOKUP($F87,CODIFICACIÓN_DPA!$J$2:$K$10,2,FALSE)),A87)</f>
        <v>170185GA0208086</v>
      </c>
      <c r="D87" s="32" t="s">
        <v>172</v>
      </c>
      <c r="E87" s="32" t="s">
        <v>19</v>
      </c>
      <c r="F87" s="32" t="s">
        <v>50</v>
      </c>
      <c r="G87" s="32" t="s">
        <v>17</v>
      </c>
      <c r="H87" s="32" t="s">
        <v>808</v>
      </c>
      <c r="I87" s="51" t="s">
        <v>809</v>
      </c>
      <c r="J87" s="39" t="s">
        <v>810</v>
      </c>
      <c r="K87" s="35">
        <v>-0.153104756862287</v>
      </c>
      <c r="L87" s="35">
        <v>-78.338524110485807</v>
      </c>
      <c r="M87" s="32" t="s">
        <v>811</v>
      </c>
      <c r="N87" s="39" t="s">
        <v>812</v>
      </c>
      <c r="O87" s="39" t="s">
        <v>813</v>
      </c>
      <c r="P87" s="32" t="s">
        <v>363</v>
      </c>
      <c r="Q87" s="32"/>
      <c r="R87" s="32" t="s">
        <v>814</v>
      </c>
    </row>
    <row r="88" spans="1:18" ht="72" x14ac:dyDescent="0.25">
      <c r="A88" s="32" t="s">
        <v>815</v>
      </c>
      <c r="B88" s="32" t="s">
        <v>202</v>
      </c>
      <c r="C88" s="32" t="str">
        <f>CONCATENATE(VLOOKUP($D88,CODIFICACIÓN_DPA!$A$2:$B$66,2,FALSE),VLOOKUP($G88,CODIFICACIÓN_DPA!$D$2:$E$6,2,FALSE),CONCATENATE(VLOOKUP($E88,CODIFICACIÓN_DPA!$G$2:$H$3,2,FALSE),VLOOKUP($F88,CODIFICACIÓN_DPA!$J$2:$K$10,2,FALSE)),A88)</f>
        <v>170155CU0209087</v>
      </c>
      <c r="D88" s="32" t="s">
        <v>118</v>
      </c>
      <c r="E88" s="32" t="s">
        <v>19</v>
      </c>
      <c r="F88" s="32" t="s">
        <v>54</v>
      </c>
      <c r="G88" s="32" t="s">
        <v>24</v>
      </c>
      <c r="H88" s="51" t="s">
        <v>816</v>
      </c>
      <c r="I88" s="52" t="s">
        <v>817</v>
      </c>
      <c r="J88" s="53" t="s">
        <v>818</v>
      </c>
      <c r="K88" s="54">
        <v>-7.9417048063593398E-2</v>
      </c>
      <c r="L88" s="54">
        <v>-78.432068863329903</v>
      </c>
      <c r="M88" s="55" t="s">
        <v>224</v>
      </c>
      <c r="N88" s="55"/>
      <c r="O88" s="51"/>
      <c r="P88" s="55"/>
      <c r="Q88" s="55"/>
      <c r="R88" s="56" t="s">
        <v>819</v>
      </c>
    </row>
    <row r="89" spans="1:18" ht="15.75" customHeight="1" x14ac:dyDescent="0.25">
      <c r="A89" s="32" t="s">
        <v>820</v>
      </c>
      <c r="B89" s="32" t="s">
        <v>202</v>
      </c>
      <c r="C89" s="32" t="str">
        <f>CONCATENATE(VLOOKUP($D89,CODIFICACIÓN_DPA!$A$2:$B$66,2,FALSE),VLOOKUP($G89,CODIFICACIÓN_DPA!$D$2:$E$6,2,FALSE),CONCATENATE(VLOOKUP($E89,CODIFICACIÓN_DPA!$G$2:$H$3,2,FALSE),VLOOKUP($F89,CODIFICACIÓN_DPA!$J$2:$K$10,2,FALSE)),A89)</f>
        <v>170185GA0208088</v>
      </c>
      <c r="D89" s="32" t="s">
        <v>172</v>
      </c>
      <c r="E89" s="32" t="s">
        <v>19</v>
      </c>
      <c r="F89" s="32" t="s">
        <v>50</v>
      </c>
      <c r="G89" s="32" t="s">
        <v>17</v>
      </c>
      <c r="H89" s="32" t="s">
        <v>821</v>
      </c>
      <c r="I89" s="32" t="s">
        <v>822</v>
      </c>
      <c r="J89" s="32" t="s">
        <v>823</v>
      </c>
      <c r="K89" s="35">
        <v>-0.16460663098247899</v>
      </c>
      <c r="L89" s="35">
        <v>-78.327206730682704</v>
      </c>
      <c r="M89" s="57">
        <v>0.1875</v>
      </c>
      <c r="N89" s="32" t="s">
        <v>216</v>
      </c>
      <c r="O89" s="32"/>
      <c r="P89" s="32" t="s">
        <v>824</v>
      </c>
      <c r="Q89" s="32" t="s">
        <v>825</v>
      </c>
      <c r="R89" s="58" t="s">
        <v>826</v>
      </c>
    </row>
    <row r="90" spans="1:18" ht="15.75" customHeight="1" x14ac:dyDescent="0.25">
      <c r="A90" s="32" t="s">
        <v>827</v>
      </c>
      <c r="B90" s="32" t="s">
        <v>202</v>
      </c>
      <c r="C90" s="32" t="str">
        <f>CONCATENATE(VLOOKUP($D90,CODIFICACIÓN_DPA!$A$2:$B$66,2,FALSE),VLOOKUP($G90,CODIFICACIÓN_DPA!$D$2:$E$6,2,FALSE),CONCATENATE(VLOOKUP($E90,CODIFICACIÓN_DPA!$G$2:$H$3,2,FALSE),VLOOKUP($F90,CODIFICACIÓN_DPA!$J$2:$K$10,2,FALSE)),A90)</f>
        <v>170123GA0102089</v>
      </c>
      <c r="D90" s="32" t="s">
        <v>84</v>
      </c>
      <c r="E90" s="32" t="s">
        <v>12</v>
      </c>
      <c r="F90" s="32" t="s">
        <v>21</v>
      </c>
      <c r="G90" s="32" t="s">
        <v>17</v>
      </c>
      <c r="H90" s="32" t="s">
        <v>828</v>
      </c>
      <c r="I90" s="37" t="s">
        <v>829</v>
      </c>
      <c r="J90" s="32" t="s">
        <v>830</v>
      </c>
      <c r="K90" s="35">
        <v>-0.207417783369818</v>
      </c>
      <c r="L90" s="35">
        <v>-78.482698395775202</v>
      </c>
      <c r="M90" s="57">
        <v>3.125E-2</v>
      </c>
      <c r="N90" s="32" t="s">
        <v>216</v>
      </c>
      <c r="O90" s="32"/>
      <c r="P90" s="32" t="s">
        <v>216</v>
      </c>
      <c r="Q90" s="32" t="s">
        <v>825</v>
      </c>
      <c r="R90" s="32" t="s">
        <v>831</v>
      </c>
    </row>
    <row r="91" spans="1:18" ht="15.75" customHeight="1" x14ac:dyDescent="0.25">
      <c r="A91" s="32" t="s">
        <v>832</v>
      </c>
      <c r="B91" s="32" t="s">
        <v>202</v>
      </c>
      <c r="C91" s="32" t="str">
        <f>CONCATENATE(VLOOKUP($D91,CODIFICACIÓN_DPA!$A$2:$B$66,2,FALSE),VLOOKUP($G91,CODIFICACIÓN_DPA!$D$2:$E$6,2,FALSE),CONCATENATE(VLOOKUP($E91,CODIFICACIÓN_DPA!$G$2:$H$3,2,FALSE),VLOOKUP($F91,CODIFICACIÓN_DPA!$J$2:$K$10,2,FALSE)),A91)</f>
        <v>170103GA0101090</v>
      </c>
      <c r="D91" s="32" t="s">
        <v>22</v>
      </c>
      <c r="E91" s="32" t="s">
        <v>12</v>
      </c>
      <c r="F91" s="32" t="s">
        <v>14</v>
      </c>
      <c r="G91" s="32" t="s">
        <v>17</v>
      </c>
      <c r="H91" s="32" t="s">
        <v>833</v>
      </c>
      <c r="I91" s="37" t="s">
        <v>834</v>
      </c>
      <c r="J91" s="32" t="s">
        <v>835</v>
      </c>
      <c r="K91" s="35">
        <v>-0.22415342470006</v>
      </c>
      <c r="L91" s="35">
        <v>-78.513673176725504</v>
      </c>
      <c r="M91" s="32" t="s">
        <v>224</v>
      </c>
      <c r="N91" s="32" t="s">
        <v>216</v>
      </c>
      <c r="O91" s="32"/>
      <c r="P91" s="32" t="s">
        <v>363</v>
      </c>
      <c r="Q91" s="32"/>
      <c r="R91" s="60" t="s">
        <v>836</v>
      </c>
    </row>
    <row r="92" spans="1:18" ht="15.75" customHeight="1" x14ac:dyDescent="0.25">
      <c r="A92" s="32" t="s">
        <v>837</v>
      </c>
      <c r="B92" s="32" t="s">
        <v>202</v>
      </c>
      <c r="C92" s="32" t="str">
        <f>CONCATENATE(VLOOKUP($D92,CODIFICACIÓN_DPA!$A$2:$B$66,2,FALSE),VLOOKUP($G92,CODIFICACIÓN_DPA!$D$2:$E$6,2,FALSE),CONCATENATE(VLOOKUP($E92,CODIFICACIÓN_DPA!$G$2:$H$3,2,FALSE),VLOOKUP($F92,CODIFICACIÓN_DPA!$J$2:$K$10,2,FALSE)),A92)</f>
        <v>170154GA0205091</v>
      </c>
      <c r="D92" s="32" t="s">
        <v>116</v>
      </c>
      <c r="E92" s="32" t="s">
        <v>19</v>
      </c>
      <c r="F92" s="32" t="s">
        <v>38</v>
      </c>
      <c r="G92" s="32" t="s">
        <v>17</v>
      </c>
      <c r="H92" s="32" t="s">
        <v>838</v>
      </c>
      <c r="I92" s="32" t="s">
        <v>839</v>
      </c>
      <c r="J92" s="32" t="s">
        <v>840</v>
      </c>
      <c r="K92" s="35">
        <v>3.52678531044933E-3</v>
      </c>
      <c r="L92" s="35">
        <v>-78.514608033387603</v>
      </c>
      <c r="M92" s="32" t="s">
        <v>224</v>
      </c>
      <c r="N92" s="32" t="s">
        <v>216</v>
      </c>
      <c r="O92" s="32"/>
      <c r="P92" s="32" t="s">
        <v>363</v>
      </c>
      <c r="Q92" s="32"/>
      <c r="R92" s="42" t="s">
        <v>841</v>
      </c>
    </row>
    <row r="93" spans="1:18" ht="15.75" customHeight="1" x14ac:dyDescent="0.25">
      <c r="A93" s="32" t="s">
        <v>842</v>
      </c>
      <c r="B93" s="32" t="s">
        <v>202</v>
      </c>
      <c r="C93" s="32" t="str">
        <f>CONCATENATE(VLOOKUP($D93,CODIFICACIÓN_DPA!$A$2:$B$66,2,FALSE),VLOOKUP($G93,CODIFICACIÓN_DPA!$D$2:$E$6,2,FALSE),CONCATENATE(VLOOKUP($E93,CODIFICACIÓN_DPA!$G$2:$H$3,2,FALSE),VLOOKUP($F93,CODIFICACIÓN_DPA!$J$2:$K$10,2,FALSE)),A93)</f>
        <v>170112GA0103092</v>
      </c>
      <c r="D93" s="32" t="s">
        <v>60</v>
      </c>
      <c r="E93" s="32" t="s">
        <v>12</v>
      </c>
      <c r="F93" s="32" t="s">
        <v>26</v>
      </c>
      <c r="G93" s="32" t="s">
        <v>17</v>
      </c>
      <c r="H93" s="32" t="s">
        <v>843</v>
      </c>
      <c r="I93" s="37" t="s">
        <v>844</v>
      </c>
      <c r="J93" s="32" t="s">
        <v>845</v>
      </c>
      <c r="K93" s="35">
        <v>-0.1753956544278</v>
      </c>
      <c r="L93" s="61">
        <v>-78.4880417767301</v>
      </c>
      <c r="M93" s="32" t="s">
        <v>224</v>
      </c>
      <c r="N93" s="32" t="s">
        <v>216</v>
      </c>
      <c r="O93" s="32"/>
      <c r="P93" s="32" t="s">
        <v>363</v>
      </c>
      <c r="Q93" s="32"/>
      <c r="R93" s="62" t="s">
        <v>846</v>
      </c>
    </row>
    <row r="94" spans="1:18" ht="15.75" customHeight="1" x14ac:dyDescent="0.25">
      <c r="A94" s="32" t="s">
        <v>847</v>
      </c>
      <c r="B94" s="32" t="s">
        <v>202</v>
      </c>
      <c r="C94" s="32" t="str">
        <f>CONCATENATE(VLOOKUP($D94,CODIFICACIÓN_DPA!$A$2:$B$66,2,FALSE),VLOOKUP($G94,CODIFICACIÓN_DPA!$D$2:$E$6,2,FALSE),CONCATENATE(VLOOKUP($E94,CODIFICACIÓN_DPA!$G$2:$H$3,2,FALSE),VLOOKUP($F94,CODIFICACIÓN_DPA!$J$2:$K$10,2,FALSE)),A94)</f>
        <v>170123GA0102093</v>
      </c>
      <c r="D94" s="32" t="s">
        <v>84</v>
      </c>
      <c r="E94" s="32" t="s">
        <v>12</v>
      </c>
      <c r="F94" s="32" t="s">
        <v>21</v>
      </c>
      <c r="G94" s="32" t="s">
        <v>17</v>
      </c>
      <c r="H94" s="32" t="s">
        <v>848</v>
      </c>
      <c r="I94" s="37" t="s">
        <v>849</v>
      </c>
      <c r="J94" s="32" t="s">
        <v>850</v>
      </c>
      <c r="K94" s="35">
        <v>-0.205017652048534</v>
      </c>
      <c r="L94" s="61">
        <v>-78.486598333726405</v>
      </c>
      <c r="M94" s="32" t="s">
        <v>224</v>
      </c>
      <c r="N94" s="32" t="s">
        <v>216</v>
      </c>
      <c r="O94" s="32"/>
      <c r="P94" s="32"/>
      <c r="Q94" s="32"/>
      <c r="R94" s="42" t="s">
        <v>851</v>
      </c>
    </row>
    <row r="95" spans="1:18" ht="15.75" customHeight="1" x14ac:dyDescent="0.25">
      <c r="A95" s="32" t="s">
        <v>852</v>
      </c>
      <c r="B95" s="32" t="s">
        <v>202</v>
      </c>
      <c r="C95" s="32" t="str">
        <f>CONCATENATE(VLOOKUP($D95,CODIFICACIÓN_DPA!$A$2:$B$66,2,FALSE),VLOOKUP($G95,CODIFICACIÓN_DPA!$D$2:$E$6,2,FALSE),CONCATENATE(VLOOKUP($E95,CODIFICACIÓN_DPA!$G$2:$H$3,2,FALSE),VLOOKUP($F95,CODIFICACIÓN_DPA!$J$2:$K$10,2,FALSE)),A95)</f>
        <v>170130GA0101094</v>
      </c>
      <c r="D95" s="32" t="s">
        <v>104</v>
      </c>
      <c r="E95" s="32" t="s">
        <v>12</v>
      </c>
      <c r="F95" s="32" t="s">
        <v>14</v>
      </c>
      <c r="G95" s="32" t="s">
        <v>17</v>
      </c>
      <c r="H95" s="32" t="s">
        <v>853</v>
      </c>
      <c r="I95" s="37" t="s">
        <v>854</v>
      </c>
      <c r="J95" s="32" t="s">
        <v>855</v>
      </c>
      <c r="K95" s="35">
        <v>-0.21678895419934999</v>
      </c>
      <c r="L95" s="35">
        <v>-78.510543904893197</v>
      </c>
      <c r="M95" s="32"/>
      <c r="N95" s="32" t="s">
        <v>216</v>
      </c>
      <c r="O95" s="32"/>
      <c r="P95" s="32" t="s">
        <v>363</v>
      </c>
      <c r="Q95" s="32"/>
      <c r="R95" s="32" t="s">
        <v>856</v>
      </c>
    </row>
    <row r="96" spans="1:18" ht="15.75" customHeight="1" x14ac:dyDescent="0.25">
      <c r="A96" s="32" t="s">
        <v>857</v>
      </c>
      <c r="B96" s="32" t="s">
        <v>202</v>
      </c>
      <c r="C96" s="32" t="str">
        <f>CONCATENATE(VLOOKUP($D96,CODIFICACIÓN_DPA!$A$2:$B$66,2,FALSE),VLOOKUP($G96,CODIFICACIÓN_DPA!$D$2:$E$6,2,FALSE),CONCATENATE(VLOOKUP($E96,CODIFICACIÓN_DPA!$G$2:$H$3,2,FALSE),VLOOKUP($F96,CODIFICACIÓN_DPA!$J$2:$K$10,2,FALSE)),A96)</f>
        <v>170130GA0101095</v>
      </c>
      <c r="D96" s="32" t="s">
        <v>104</v>
      </c>
      <c r="E96" s="32" t="s">
        <v>12</v>
      </c>
      <c r="F96" s="32" t="s">
        <v>14</v>
      </c>
      <c r="G96" s="32" t="s">
        <v>17</v>
      </c>
      <c r="H96" s="32" t="s">
        <v>858</v>
      </c>
      <c r="I96" s="37" t="s">
        <v>859</v>
      </c>
      <c r="J96" s="32" t="s">
        <v>860</v>
      </c>
      <c r="K96" s="35">
        <v>-0.20971954663146999</v>
      </c>
      <c r="L96" s="35">
        <v>-78.508384372946693</v>
      </c>
      <c r="M96" s="32"/>
      <c r="N96" s="32" t="s">
        <v>216</v>
      </c>
      <c r="O96" s="32"/>
      <c r="P96" s="32"/>
      <c r="Q96" s="32"/>
      <c r="R96" s="42" t="s">
        <v>861</v>
      </c>
    </row>
    <row r="97" spans="1:18" ht="15.75" customHeight="1" x14ac:dyDescent="0.25">
      <c r="A97" s="32" t="s">
        <v>862</v>
      </c>
      <c r="B97" s="32" t="s">
        <v>202</v>
      </c>
      <c r="C97" s="32" t="str">
        <f>CONCATENATE(VLOOKUP($D97,CODIFICACIÓN_DPA!$A$2:$B$66,2,FALSE),VLOOKUP($G97,CODIFICACIÓN_DPA!$D$2:$E$6,2,FALSE),CONCATENATE(VLOOKUP($E97,CODIFICACIÓN_DPA!$G$2:$H$3,2,FALSE),VLOOKUP($F97,CODIFICACIÓN_DPA!$J$2:$K$10,2,FALSE)),A97)</f>
        <v>170154CU0204096</v>
      </c>
      <c r="D97" s="32" t="s">
        <v>116</v>
      </c>
      <c r="E97" s="32" t="s">
        <v>19</v>
      </c>
      <c r="F97" s="32" t="s">
        <v>32</v>
      </c>
      <c r="G97" s="32" t="s">
        <v>24</v>
      </c>
      <c r="H97" s="32" t="s">
        <v>863</v>
      </c>
      <c r="I97" s="32" t="s">
        <v>864</v>
      </c>
      <c r="J97" s="32" t="s">
        <v>865</v>
      </c>
      <c r="K97" s="35">
        <v>2.6571812192831699E-2</v>
      </c>
      <c r="L97" s="61">
        <v>-78.488142817942403</v>
      </c>
      <c r="M97" s="32" t="s">
        <v>258</v>
      </c>
      <c r="N97" s="32" t="s">
        <v>866</v>
      </c>
      <c r="O97" s="32" t="s">
        <v>867</v>
      </c>
      <c r="P97" s="32" t="s">
        <v>868</v>
      </c>
      <c r="Q97" s="32"/>
      <c r="R97" s="42" t="s">
        <v>869</v>
      </c>
    </row>
    <row r="98" spans="1:18" ht="15.75" customHeight="1" x14ac:dyDescent="0.25">
      <c r="A98" s="32" t="s">
        <v>870</v>
      </c>
      <c r="B98" s="32" t="s">
        <v>202</v>
      </c>
      <c r="C98" s="32" t="str">
        <f>CONCATENATE(VLOOKUP($D98,CODIFICACIÓN_DPA!$A$2:$B$66,2,FALSE),VLOOKUP($G98,CODIFICACIÓN_DPA!$D$2:$E$6,2,FALSE),CONCATENATE(VLOOKUP($E98,CODIFICACIÓN_DPA!$G$2:$H$3,2,FALSE),VLOOKUP($F98,CODIFICACIÓN_DPA!$J$2:$K$10,2,FALSE)),A98)</f>
        <v>170123CU0102097</v>
      </c>
      <c r="D98" s="32" t="s">
        <v>84</v>
      </c>
      <c r="E98" s="32" t="s">
        <v>12</v>
      </c>
      <c r="F98" s="32" t="s">
        <v>21</v>
      </c>
      <c r="G98" s="32" t="s">
        <v>24</v>
      </c>
      <c r="H98" s="32" t="s">
        <v>871</v>
      </c>
      <c r="I98" s="32" t="s">
        <v>872</v>
      </c>
      <c r="J98" s="32" t="s">
        <v>873</v>
      </c>
      <c r="K98" s="35">
        <v>-0.20436611916334799</v>
      </c>
      <c r="L98" s="35">
        <v>-78.493335042137204</v>
      </c>
      <c r="M98" s="32"/>
      <c r="N98" s="32" t="s">
        <v>874</v>
      </c>
      <c r="O98" s="32"/>
      <c r="P98" s="32"/>
      <c r="Q98" s="32"/>
      <c r="R98" s="42" t="s">
        <v>875</v>
      </c>
    </row>
    <row r="99" spans="1:18" ht="15.75" customHeight="1" x14ac:dyDescent="0.25">
      <c r="A99" s="32" t="s">
        <v>876</v>
      </c>
      <c r="B99" s="32" t="s">
        <v>202</v>
      </c>
      <c r="C99" s="32" t="str">
        <f>CONCATENATE(VLOOKUP($D99,CODIFICACIÓN_DPA!$A$2:$B$66,2,FALSE),VLOOKUP($G99,CODIFICACIÓN_DPA!$D$2:$E$6,2,FALSE),CONCATENATE(VLOOKUP($E99,CODIFICACIÓN_DPA!$G$2:$H$3,2,FALSE),VLOOKUP($F99,CODIFICACIÓN_DPA!$J$2:$K$10,2,FALSE)),A99)</f>
        <v>170155CU0209098</v>
      </c>
      <c r="D99" s="32" t="s">
        <v>118</v>
      </c>
      <c r="E99" s="32" t="s">
        <v>19</v>
      </c>
      <c r="F99" s="32" t="s">
        <v>54</v>
      </c>
      <c r="G99" s="32" t="s">
        <v>24</v>
      </c>
      <c r="H99" s="32" t="s">
        <v>877</v>
      </c>
      <c r="I99" s="37" t="s">
        <v>878</v>
      </c>
      <c r="J99" s="32" t="s">
        <v>879</v>
      </c>
      <c r="K99" s="35">
        <v>-0.12404119485058</v>
      </c>
      <c r="L99" s="35">
        <v>-78.424961539955703</v>
      </c>
      <c r="M99" s="32"/>
      <c r="N99" s="32" t="s">
        <v>216</v>
      </c>
      <c r="O99" s="32"/>
      <c r="P99" s="32" t="s">
        <v>868</v>
      </c>
      <c r="Q99" s="32"/>
      <c r="R99" s="42" t="s">
        <v>880</v>
      </c>
    </row>
    <row r="100" spans="1:18" ht="15.75" customHeight="1" x14ac:dyDescent="0.25">
      <c r="A100" s="32" t="s">
        <v>881</v>
      </c>
      <c r="B100" s="32" t="s">
        <v>202</v>
      </c>
      <c r="C100" s="32" t="str">
        <f>CONCATENATE(VLOOKUP($D100,CODIFICACIÓN_DPA!$A$2:$B$66,2,FALSE),VLOOKUP($G100,CODIFICACIÓN_DPA!$D$2:$E$6,2,FALSE),CONCATENATE(VLOOKUP($E100,CODIFICACIÓN_DPA!$G$2:$H$3,2,FALSE),VLOOKUP($F100,CODIFICACIÓN_DPA!$J$2:$K$10,2,FALSE)),A100)</f>
        <v>170123CU0102099</v>
      </c>
      <c r="D100" s="32" t="s">
        <v>84</v>
      </c>
      <c r="E100" s="32" t="s">
        <v>12</v>
      </c>
      <c r="F100" s="32" t="s">
        <v>21</v>
      </c>
      <c r="G100" s="32" t="s">
        <v>24</v>
      </c>
      <c r="H100" s="32" t="s">
        <v>882</v>
      </c>
      <c r="I100" s="32" t="s">
        <v>883</v>
      </c>
      <c r="J100" s="32" t="s">
        <v>884</v>
      </c>
      <c r="K100" s="35">
        <v>-0.20318974628626801</v>
      </c>
      <c r="L100" s="35">
        <v>-78.488758678205897</v>
      </c>
      <c r="M100" s="32"/>
      <c r="N100" s="32"/>
      <c r="O100" s="32"/>
      <c r="P100" s="32"/>
      <c r="Q100" s="32"/>
      <c r="R100" s="42" t="s">
        <v>885</v>
      </c>
    </row>
    <row r="101" spans="1:18" ht="15.75" customHeight="1" x14ac:dyDescent="0.25">
      <c r="A101" s="32" t="s">
        <v>886</v>
      </c>
      <c r="B101" s="32" t="s">
        <v>202</v>
      </c>
      <c r="C101" s="32" t="str">
        <f>CONCATENATE(VLOOKUP($D101,CODIFICACIÓN_DPA!$A$2:$B$66,2,FALSE),VLOOKUP($G101,CODIFICACIÓN_DPA!$D$2:$E$6,2,FALSE),CONCATENATE(VLOOKUP($E101,CODIFICACIÓN_DPA!$G$2:$H$3,2,FALSE),VLOOKUP($F101,CODIFICACIÓN_DPA!$J$2:$K$10,2,FALSE)),A101)</f>
        <v>170123CU0102100</v>
      </c>
      <c r="D101" s="32" t="s">
        <v>84</v>
      </c>
      <c r="E101" s="32" t="s">
        <v>12</v>
      </c>
      <c r="F101" s="32" t="s">
        <v>21</v>
      </c>
      <c r="G101" s="32" t="s">
        <v>24</v>
      </c>
      <c r="H101" s="32" t="s">
        <v>887</v>
      </c>
      <c r="I101" s="32" t="s">
        <v>888</v>
      </c>
      <c r="J101" s="32" t="s">
        <v>889</v>
      </c>
      <c r="K101" s="35">
        <v>-0.20312661595788001</v>
      </c>
      <c r="L101" s="35">
        <v>-78.488870859443395</v>
      </c>
      <c r="M101" s="32"/>
      <c r="N101" s="32"/>
      <c r="O101" s="32"/>
      <c r="P101" s="32"/>
      <c r="Q101" s="32"/>
      <c r="R101" s="42" t="s">
        <v>890</v>
      </c>
    </row>
    <row r="102" spans="1:18" ht="15.75" customHeight="1" x14ac:dyDescent="0.25">
      <c r="A102" s="32" t="s">
        <v>891</v>
      </c>
      <c r="B102" s="32" t="s">
        <v>202</v>
      </c>
      <c r="C102" s="32" t="str">
        <f>CONCATENATE(VLOOKUP($D102,CODIFICACIÓN_DPA!$A$2:$B$66,2,FALSE),VLOOKUP($G102,CODIFICACIÓN_DPA!$D$2:$E$6,2,FALSE),CONCATENATE(VLOOKUP($E102,CODIFICACIÓN_DPA!$G$2:$H$3,2,FALSE),VLOOKUP($F102,CODIFICACIÓN_DPA!$J$2:$K$10,2,FALSE)),A102)</f>
        <v>170103CU0101101</v>
      </c>
      <c r="D102" s="32" t="s">
        <v>22</v>
      </c>
      <c r="E102" s="32" t="s">
        <v>12</v>
      </c>
      <c r="F102" s="32" t="s">
        <v>14</v>
      </c>
      <c r="G102" s="32" t="s">
        <v>24</v>
      </c>
      <c r="H102" s="32" t="s">
        <v>892</v>
      </c>
      <c r="I102" s="37" t="s">
        <v>893</v>
      </c>
      <c r="J102" s="32" t="s">
        <v>894</v>
      </c>
      <c r="K102" s="35">
        <v>-0.224154117830479</v>
      </c>
      <c r="L102" s="35">
        <v>-78.508546818046199</v>
      </c>
      <c r="M102" s="32"/>
      <c r="N102" s="32" t="s">
        <v>216</v>
      </c>
      <c r="O102" s="32"/>
      <c r="P102" s="32" t="s">
        <v>895</v>
      </c>
      <c r="Q102" s="32"/>
      <c r="R102" s="42" t="s">
        <v>896</v>
      </c>
    </row>
    <row r="103" spans="1:18" ht="15.75" customHeight="1" x14ac:dyDescent="0.25">
      <c r="A103" s="32" t="s">
        <v>897</v>
      </c>
      <c r="B103" s="32" t="s">
        <v>202</v>
      </c>
      <c r="C103" s="32" t="str">
        <f>CONCATENATE(VLOOKUP($D103,CODIFICACIÓN_DPA!$A$2:$B$66,2,FALSE),VLOOKUP($G103,CODIFICACIÓN_DPA!$D$2:$E$6,2,FALSE),CONCATENATE(VLOOKUP($E103,CODIFICACIÓN_DPA!$G$2:$H$3,2,FALSE),VLOOKUP($F103,CODIFICACIÓN_DPA!$J$2:$K$10,2,FALSE)),A103)</f>
        <v>170103CU0101102</v>
      </c>
      <c r="D103" s="32" t="s">
        <v>22</v>
      </c>
      <c r="E103" s="32" t="s">
        <v>12</v>
      </c>
      <c r="F103" s="32" t="s">
        <v>14</v>
      </c>
      <c r="G103" s="32" t="s">
        <v>24</v>
      </c>
      <c r="H103" s="56" t="s">
        <v>898</v>
      </c>
      <c r="I103" s="37" t="s">
        <v>899</v>
      </c>
      <c r="J103" s="32" t="s">
        <v>900</v>
      </c>
      <c r="K103" s="35">
        <v>-0.223377376247752</v>
      </c>
      <c r="L103" s="35">
        <v>-78.509594272868796</v>
      </c>
      <c r="M103" s="32" t="s">
        <v>224</v>
      </c>
      <c r="N103" s="32" t="s">
        <v>216</v>
      </c>
      <c r="O103" s="32"/>
      <c r="P103" s="32"/>
      <c r="Q103" s="32"/>
      <c r="R103" s="32" t="s">
        <v>901</v>
      </c>
    </row>
    <row r="104" spans="1:18" ht="15.75" customHeight="1" x14ac:dyDescent="0.25">
      <c r="A104" s="32" t="s">
        <v>902</v>
      </c>
      <c r="B104" s="32" t="s">
        <v>202</v>
      </c>
      <c r="C104" s="32" t="str">
        <f>CONCATENATE(VLOOKUP($D104,CODIFICACIÓN_DPA!$A$2:$B$66,2,FALSE),VLOOKUP($G104,CODIFICACIÓN_DPA!$D$2:$E$6,2,FALSE),CONCATENATE(VLOOKUP($E104,CODIFICACIÓN_DPA!$G$2:$H$3,2,FALSE),VLOOKUP($F104,CODIFICACIÓN_DPA!$J$2:$K$10,2,FALSE)),A104)</f>
        <v>170123CU0102103</v>
      </c>
      <c r="D104" s="32" t="s">
        <v>84</v>
      </c>
      <c r="E104" s="32" t="s">
        <v>12</v>
      </c>
      <c r="F104" s="32" t="s">
        <v>21</v>
      </c>
      <c r="G104" s="32" t="s">
        <v>24</v>
      </c>
      <c r="H104" s="32" t="s">
        <v>903</v>
      </c>
      <c r="I104" s="32" t="s">
        <v>904</v>
      </c>
      <c r="J104" s="32" t="s">
        <v>905</v>
      </c>
      <c r="K104" s="35">
        <v>-0.211142969656162</v>
      </c>
      <c r="L104" s="63">
        <v>-78.487631691073204</v>
      </c>
      <c r="M104" s="32"/>
      <c r="N104" s="32" t="s">
        <v>906</v>
      </c>
      <c r="O104" s="32" t="s">
        <v>907</v>
      </c>
      <c r="P104" s="32" t="s">
        <v>908</v>
      </c>
      <c r="Q104" s="32"/>
      <c r="R104" s="32" t="s">
        <v>909</v>
      </c>
    </row>
    <row r="105" spans="1:18" ht="15.75" customHeight="1" x14ac:dyDescent="0.25">
      <c r="A105" s="32" t="s">
        <v>910</v>
      </c>
      <c r="B105" s="32" t="s">
        <v>202</v>
      </c>
      <c r="C105" s="32" t="str">
        <f>CONCATENATE(VLOOKUP($D105,CODIFICACIÓN_DPA!$A$2:$B$66,2,FALSE),VLOOKUP($G105,CODIFICACIÓN_DPA!$D$2:$E$6,2,FALSE),CONCATENATE(VLOOKUP($E105,CODIFICACIÓN_DPA!$G$2:$H$3,2,FALSE),VLOOKUP($F105,CODIFICACIÓN_DPA!$J$2:$K$10,2,FALSE)),A105)</f>
        <v>170155CU0209104</v>
      </c>
      <c r="D105" s="32" t="s">
        <v>118</v>
      </c>
      <c r="E105" s="32" t="s">
        <v>19</v>
      </c>
      <c r="F105" s="32" t="s">
        <v>54</v>
      </c>
      <c r="G105" s="32" t="s">
        <v>24</v>
      </c>
      <c r="H105" s="56" t="s">
        <v>911</v>
      </c>
      <c r="I105" s="37" t="s">
        <v>912</v>
      </c>
      <c r="J105" s="32" t="s">
        <v>913</v>
      </c>
      <c r="K105" s="35">
        <v>-0.12682645249074501</v>
      </c>
      <c r="L105" s="35">
        <v>-78.4202656822835</v>
      </c>
      <c r="M105" s="32" t="s">
        <v>224</v>
      </c>
      <c r="N105" s="32" t="s">
        <v>914</v>
      </c>
      <c r="O105" s="32" t="s">
        <v>915</v>
      </c>
      <c r="P105" s="32" t="s">
        <v>916</v>
      </c>
      <c r="Q105" s="32"/>
      <c r="R105" s="42" t="s">
        <v>917</v>
      </c>
    </row>
    <row r="106" spans="1:18" ht="15.75" customHeight="1" x14ac:dyDescent="0.25">
      <c r="A106" s="32" t="s">
        <v>918</v>
      </c>
      <c r="B106" s="32" t="s">
        <v>202</v>
      </c>
      <c r="C106" s="32" t="str">
        <f>CONCATENATE(VLOOKUP($D106,CODIFICACIÓN_DPA!$A$2:$B$66,2,FALSE),VLOOKUP($G106,CODIFICACIÓN_DPA!$D$2:$E$6,2,FALSE),CONCATENATE(VLOOKUP($E106,CODIFICACIÓN_DPA!$G$2:$H$3,2,FALSE),VLOOKUP($F106,CODIFICACIÓN_DPA!$J$2:$K$10,2,FALSE)),A106)</f>
        <v>170155CU0209105</v>
      </c>
      <c r="D106" s="32" t="s">
        <v>118</v>
      </c>
      <c r="E106" s="32" t="s">
        <v>19</v>
      </c>
      <c r="F106" s="32" t="s">
        <v>54</v>
      </c>
      <c r="G106" s="32" t="s">
        <v>24</v>
      </c>
      <c r="H106" s="32" t="s">
        <v>919</v>
      </c>
      <c r="I106" s="37" t="s">
        <v>920</v>
      </c>
      <c r="J106" s="32" t="s">
        <v>921</v>
      </c>
      <c r="K106" s="35">
        <v>-0.118112388026725</v>
      </c>
      <c r="L106" s="35">
        <v>-78.432144889210903</v>
      </c>
      <c r="M106" s="32" t="s">
        <v>922</v>
      </c>
      <c r="N106" s="32" t="s">
        <v>923</v>
      </c>
      <c r="O106" s="32" t="s">
        <v>924</v>
      </c>
      <c r="P106" s="32" t="s">
        <v>925</v>
      </c>
      <c r="Q106" s="32" t="s">
        <v>926</v>
      </c>
      <c r="R106" s="42" t="s">
        <v>927</v>
      </c>
    </row>
    <row r="107" spans="1:18" ht="15.75" customHeight="1" x14ac:dyDescent="0.25">
      <c r="A107" s="32" t="s">
        <v>928</v>
      </c>
      <c r="B107" s="32" t="s">
        <v>202</v>
      </c>
      <c r="C107" s="32" t="str">
        <f>CONCATENATE(VLOOKUP($D107,CODIFICACIÓN_DPA!$A$2:$B$66,2,FALSE),VLOOKUP($G107,CODIFICACIÓN_DPA!$D$2:$E$6,2,FALSE),CONCATENATE(VLOOKUP($E107,CODIFICACIÓN_DPA!$G$2:$H$3,2,FALSE),VLOOKUP($F107,CODIFICACIÓN_DPA!$J$2:$K$10,2,FALSE)),A107)</f>
        <v>170154CU0204106</v>
      </c>
      <c r="D107" s="32" t="s">
        <v>116</v>
      </c>
      <c r="E107" s="32" t="s">
        <v>19</v>
      </c>
      <c r="F107" s="32" t="s">
        <v>32</v>
      </c>
      <c r="G107" s="32" t="s">
        <v>24</v>
      </c>
      <c r="H107" s="32" t="s">
        <v>929</v>
      </c>
      <c r="I107" s="32" t="s">
        <v>930</v>
      </c>
      <c r="J107" s="32" t="s">
        <v>931</v>
      </c>
      <c r="K107" s="35">
        <v>2.6571812192831699E-2</v>
      </c>
      <c r="L107" s="61">
        <v>-78.488142817942403</v>
      </c>
      <c r="M107" s="32" t="s">
        <v>932</v>
      </c>
      <c r="N107" s="32" t="s">
        <v>933</v>
      </c>
      <c r="O107" s="32" t="s">
        <v>934</v>
      </c>
      <c r="P107" s="32" t="s">
        <v>935</v>
      </c>
      <c r="Q107" s="32"/>
      <c r="R107" s="42" t="s">
        <v>936</v>
      </c>
    </row>
    <row r="108" spans="1:18" ht="15.75" customHeight="1" x14ac:dyDescent="0.25">
      <c r="A108" s="32" t="s">
        <v>937</v>
      </c>
      <c r="B108" s="32" t="s">
        <v>202</v>
      </c>
      <c r="C108" s="32" t="str">
        <f>CONCATENATE(VLOOKUP($D108,CODIFICACIÓN_DPA!$A$2:$B$66,2,FALSE),VLOOKUP($G108,CODIFICACIÓN_DPA!$D$2:$E$6,2,FALSE),CONCATENATE(VLOOKUP($E108,CODIFICACIÓN_DPA!$G$2:$H$3,2,FALSE),VLOOKUP($F108,CODIFICACIÓN_DPA!$J$2:$K$10,2,FALSE)),A108)</f>
        <v>170174CO0206107</v>
      </c>
      <c r="D108" s="32" t="s">
        <v>152</v>
      </c>
      <c r="E108" s="32" t="s">
        <v>19</v>
      </c>
      <c r="F108" s="32" t="s">
        <v>42</v>
      </c>
      <c r="G108" s="32" t="s">
        <v>36</v>
      </c>
      <c r="H108" s="32" t="s">
        <v>938</v>
      </c>
      <c r="I108" s="32" t="s">
        <v>939</v>
      </c>
      <c r="J108" s="32" t="s">
        <v>940</v>
      </c>
      <c r="K108" s="35">
        <v>0.11216191892112699</v>
      </c>
      <c r="L108" s="35">
        <v>-78.425173615148694</v>
      </c>
      <c r="M108" s="32" t="s">
        <v>224</v>
      </c>
      <c r="N108" s="32" t="s">
        <v>941</v>
      </c>
      <c r="O108" s="32" t="s">
        <v>942</v>
      </c>
      <c r="P108" s="32" t="s">
        <v>943</v>
      </c>
      <c r="Q108" s="32"/>
      <c r="R108" s="42" t="s">
        <v>944</v>
      </c>
    </row>
    <row r="109" spans="1:18" ht="15.75" customHeight="1" x14ac:dyDescent="0.25">
      <c r="A109" s="64" t="s">
        <v>945</v>
      </c>
      <c r="B109" s="32" t="s">
        <v>202</v>
      </c>
      <c r="C109" s="32" t="str">
        <f>CONCATENATE(VLOOKUP($D109,CODIFICACIÓN_DPA!$A$2:$B$66,2,FALSE),VLOOKUP($G109,CODIFICACIÓN_DPA!$D$2:$E$6,2,FALSE),CONCATENATE(VLOOKUP($E109,CODIFICACIÓN_DPA!$G$2:$H$3,2,FALSE),VLOOKUP($F109,CODIFICACIÓN_DPA!$J$2:$K$10,2,FALSE)),A109)</f>
        <v>170184GA0208108</v>
      </c>
      <c r="D109" s="32" t="s">
        <v>170</v>
      </c>
      <c r="E109" s="32" t="s">
        <v>19</v>
      </c>
      <c r="F109" s="32" t="s">
        <v>50</v>
      </c>
      <c r="G109" s="32" t="s">
        <v>17</v>
      </c>
      <c r="H109" s="32" t="s">
        <v>946</v>
      </c>
      <c r="I109" s="34" t="s">
        <v>947</v>
      </c>
      <c r="J109" s="34" t="s">
        <v>948</v>
      </c>
      <c r="K109" s="49">
        <v>-0.204237145180414</v>
      </c>
      <c r="L109" s="49">
        <v>-78.418496152112994</v>
      </c>
      <c r="M109" s="44" t="s">
        <v>949</v>
      </c>
      <c r="N109" s="34" t="s">
        <v>950</v>
      </c>
      <c r="O109" s="34" t="s">
        <v>951</v>
      </c>
      <c r="P109" s="34" t="s">
        <v>952</v>
      </c>
      <c r="Q109" s="34"/>
      <c r="R109" s="65" t="s">
        <v>953</v>
      </c>
    </row>
    <row r="110" spans="1:18" ht="15.75" customHeight="1" x14ac:dyDescent="0.25">
      <c r="A110" s="32" t="s">
        <v>954</v>
      </c>
      <c r="B110" s="32" t="s">
        <v>202</v>
      </c>
      <c r="C110" s="32" t="str">
        <f>CONCATENATE(VLOOKUP($D110,CODIFICACIÓN_DPA!$A$2:$B$66,2,FALSE),VLOOKUP($G110,CODIFICACIÓN_DPA!$D$2:$E$6,2,FALSE),CONCATENATE(VLOOKUP($E110,CODIFICACIÓN_DPA!$G$2:$H$3,2,FALSE),VLOOKUP($F110,CODIFICACIÓN_DPA!$J$2:$K$10,2,FALSE)),A110)</f>
        <v>170123CU0102109</v>
      </c>
      <c r="D110" s="32" t="s">
        <v>84</v>
      </c>
      <c r="E110" s="32" t="s">
        <v>12</v>
      </c>
      <c r="F110" s="32" t="s">
        <v>21</v>
      </c>
      <c r="G110" s="32" t="s">
        <v>24</v>
      </c>
      <c r="H110" s="32" t="s">
        <v>955</v>
      </c>
      <c r="I110" s="32" t="s">
        <v>956</v>
      </c>
      <c r="J110" s="32" t="s">
        <v>957</v>
      </c>
      <c r="K110" s="35">
        <v>-0.208691781332554</v>
      </c>
      <c r="L110" s="35">
        <v>-78.493998475514701</v>
      </c>
      <c r="M110" s="32" t="s">
        <v>258</v>
      </c>
      <c r="N110" s="32" t="s">
        <v>958</v>
      </c>
      <c r="O110" s="32" t="s">
        <v>959</v>
      </c>
      <c r="P110" s="32" t="s">
        <v>960</v>
      </c>
      <c r="Q110" s="32"/>
      <c r="R110" s="42" t="s">
        <v>961</v>
      </c>
    </row>
    <row r="111" spans="1:18" ht="15.75" customHeight="1" x14ac:dyDescent="0.25">
      <c r="A111" s="32" t="s">
        <v>962</v>
      </c>
      <c r="B111" s="32" t="s">
        <v>202</v>
      </c>
      <c r="C111" s="32" t="str">
        <f>CONCATENATE(VLOOKUP($D111,CODIFICACIÓN_DPA!$A$2:$B$66,2,FALSE),VLOOKUP($G111,CODIFICACIÓN_DPA!$D$2:$E$6,2,FALSE),CONCATENATE(VLOOKUP($E111,CODIFICACIÓN_DPA!$G$2:$H$3,2,FALSE),VLOOKUP($F111,CODIFICACIÓN_DPA!$J$2:$K$10,2,FALSE)),A111)</f>
        <v>170123GA0102110</v>
      </c>
      <c r="D111" s="32" t="s">
        <v>84</v>
      </c>
      <c r="E111" s="32" t="s">
        <v>12</v>
      </c>
      <c r="F111" s="32" t="s">
        <v>21</v>
      </c>
      <c r="G111" s="32" t="s">
        <v>17</v>
      </c>
      <c r="H111" s="32" t="s">
        <v>963</v>
      </c>
      <c r="I111" s="32" t="s">
        <v>964</v>
      </c>
      <c r="J111" s="32" t="s">
        <v>965</v>
      </c>
      <c r="K111" s="35">
        <v>-0.20285921826262501</v>
      </c>
      <c r="L111" s="35">
        <v>-78.492229209285398</v>
      </c>
      <c r="M111" s="32" t="s">
        <v>258</v>
      </c>
      <c r="N111" s="32" t="s">
        <v>966</v>
      </c>
      <c r="O111" s="32"/>
      <c r="P111" s="32" t="s">
        <v>960</v>
      </c>
      <c r="Q111" s="32"/>
      <c r="R111" s="42" t="s">
        <v>967</v>
      </c>
    </row>
    <row r="112" spans="1:18" ht="15.75" customHeight="1" x14ac:dyDescent="0.25">
      <c r="A112" s="32" t="s">
        <v>968</v>
      </c>
      <c r="B112" s="32" t="s">
        <v>202</v>
      </c>
      <c r="C112" s="32" t="str">
        <f>CONCATENATE(VLOOKUP($D112,CODIFICACIÓN_DPA!$A$2:$B$66,2,FALSE),VLOOKUP($G112,CODIFICACIÓN_DPA!$D$2:$E$6,2,FALSE),CONCATENATE(VLOOKUP($E112,CODIFICACIÓN_DPA!$G$2:$H$3,2,FALSE),VLOOKUP($F112,CODIFICACIÓN_DPA!$J$2:$K$10,2,FALSE)),A112)</f>
        <v>170123CU0102111</v>
      </c>
      <c r="D112" s="32" t="s">
        <v>84</v>
      </c>
      <c r="E112" s="32" t="s">
        <v>12</v>
      </c>
      <c r="F112" s="32" t="s">
        <v>21</v>
      </c>
      <c r="G112" s="32" t="s">
        <v>24</v>
      </c>
      <c r="H112" s="32" t="s">
        <v>969</v>
      </c>
      <c r="I112" s="32" t="s">
        <v>970</v>
      </c>
      <c r="J112" s="32" t="s">
        <v>971</v>
      </c>
      <c r="K112" s="35">
        <v>-0.20352946152596599</v>
      </c>
      <c r="L112" s="35">
        <v>-78.488626136216098</v>
      </c>
      <c r="M112" s="32" t="s">
        <v>258</v>
      </c>
      <c r="N112" s="51" t="s">
        <v>972</v>
      </c>
      <c r="O112" s="32"/>
      <c r="P112" s="32"/>
      <c r="Q112" s="32"/>
      <c r="R112" s="32" t="s">
        <v>973</v>
      </c>
    </row>
    <row r="113" spans="1:18" ht="15.75" customHeight="1" x14ac:dyDescent="0.25">
      <c r="A113" s="32" t="s">
        <v>974</v>
      </c>
      <c r="B113" s="32" t="s">
        <v>202</v>
      </c>
      <c r="C113" s="32" t="str">
        <f>CONCATENATE(VLOOKUP($D113,CODIFICACIÓN_DPA!$A$2:$B$66,2,FALSE),VLOOKUP($G113,CODIFICACIÓN_DPA!$D$2:$E$6,2,FALSE),CONCATENATE(VLOOKUP($E113,CODIFICACIÓN_DPA!$G$2:$H$3,2,FALSE),VLOOKUP($F113,CODIFICACIÓN_DPA!$J$2:$K$10,2,FALSE)),A113)</f>
        <v>170123GA0102112</v>
      </c>
      <c r="D113" s="32" t="s">
        <v>84</v>
      </c>
      <c r="E113" s="32" t="s">
        <v>12</v>
      </c>
      <c r="F113" s="32" t="s">
        <v>21</v>
      </c>
      <c r="G113" s="32" t="s">
        <v>17</v>
      </c>
      <c r="H113" s="32" t="s">
        <v>975</v>
      </c>
      <c r="I113" s="32" t="s">
        <v>976</v>
      </c>
      <c r="J113" s="32" t="s">
        <v>977</v>
      </c>
      <c r="K113" s="35">
        <v>-0.204673390502039</v>
      </c>
      <c r="L113" s="35">
        <v>-78.494279994540094</v>
      </c>
      <c r="M113" s="32" t="s">
        <v>224</v>
      </c>
      <c r="N113" s="32" t="s">
        <v>978</v>
      </c>
      <c r="O113" s="32" t="s">
        <v>979</v>
      </c>
      <c r="P113" s="32" t="s">
        <v>980</v>
      </c>
      <c r="Q113" s="32"/>
      <c r="R113" s="42" t="s">
        <v>981</v>
      </c>
    </row>
    <row r="114" spans="1:18" ht="15.75" customHeight="1" x14ac:dyDescent="0.25">
      <c r="A114" s="64" t="s">
        <v>982</v>
      </c>
      <c r="B114" s="32" t="s">
        <v>202</v>
      </c>
      <c r="C114" s="32" t="str">
        <f>CONCATENATE(VLOOKUP($D114,CODIFICACIÓN_DPA!$A$2:$B$66,2,FALSE),VLOOKUP($G114,CODIFICACIÓN_DPA!$D$2:$E$6,2,FALSE),CONCATENATE(VLOOKUP($E114,CODIFICACIÓN_DPA!$G$2:$H$3,2,FALSE),VLOOKUP($F114,CODIFICACIÓN_DPA!$J$2:$K$10,2,FALSE)),A114)</f>
        <v>170112GA0103113</v>
      </c>
      <c r="D114" s="32" t="s">
        <v>60</v>
      </c>
      <c r="E114" s="32" t="s">
        <v>12</v>
      </c>
      <c r="F114" s="32" t="s">
        <v>26</v>
      </c>
      <c r="G114" s="32" t="s">
        <v>17</v>
      </c>
      <c r="H114" s="32" t="s">
        <v>983</v>
      </c>
      <c r="I114" s="32" t="s">
        <v>984</v>
      </c>
      <c r="J114" s="32" t="s">
        <v>985</v>
      </c>
      <c r="K114" s="35" t="s">
        <v>986</v>
      </c>
      <c r="L114" s="35" t="s">
        <v>987</v>
      </c>
      <c r="M114" s="32" t="s">
        <v>258</v>
      </c>
      <c r="N114" s="32" t="s">
        <v>988</v>
      </c>
      <c r="O114" s="32" t="s">
        <v>989</v>
      </c>
      <c r="P114" s="32" t="s">
        <v>960</v>
      </c>
      <c r="Q114" s="32"/>
      <c r="R114" s="32" t="s">
        <v>990</v>
      </c>
    </row>
    <row r="115" spans="1:18" ht="15.75" customHeight="1" x14ac:dyDescent="0.25">
      <c r="A115" s="32" t="s">
        <v>991</v>
      </c>
      <c r="B115" s="32" t="s">
        <v>202</v>
      </c>
      <c r="C115" s="32" t="str">
        <f>CONCATENATE(VLOOKUP($D115,CODIFICACIÓN_DPA!$A$2:$B$66,2,FALSE),VLOOKUP($G115,CODIFICACIÓN_DPA!$D$2:$E$6,2,FALSE),CONCATENATE(VLOOKUP($E115,CODIFICACIÓN_DPA!$G$2:$H$3,2,FALSE),VLOOKUP($F115,CODIFICACIÓN_DPA!$J$2:$K$10,2,FALSE)),A115)</f>
        <v>170112GA0103114</v>
      </c>
      <c r="D115" s="32" t="s">
        <v>60</v>
      </c>
      <c r="E115" s="32" t="s">
        <v>12</v>
      </c>
      <c r="F115" s="32" t="s">
        <v>26</v>
      </c>
      <c r="G115" s="32" t="s">
        <v>17</v>
      </c>
      <c r="H115" s="32" t="s">
        <v>992</v>
      </c>
      <c r="I115" s="32" t="s">
        <v>993</v>
      </c>
      <c r="J115" s="32" t="s">
        <v>994</v>
      </c>
      <c r="K115" s="35" t="s">
        <v>995</v>
      </c>
      <c r="L115" s="35" t="s">
        <v>996</v>
      </c>
      <c r="M115" s="32" t="s">
        <v>258</v>
      </c>
      <c r="N115" s="32" t="s">
        <v>997</v>
      </c>
      <c r="O115" s="32" t="s">
        <v>998</v>
      </c>
      <c r="P115" s="32"/>
      <c r="Q115" s="32"/>
      <c r="R115" s="32" t="s">
        <v>999</v>
      </c>
    </row>
    <row r="116" spans="1:18" ht="15.75" customHeight="1" x14ac:dyDescent="0.25">
      <c r="A116" s="32" t="s">
        <v>1000</v>
      </c>
      <c r="B116" s="32" t="s">
        <v>202</v>
      </c>
      <c r="C116" s="32" t="str">
        <f>CONCATENATE(VLOOKUP($D116,CODIFICACIÓN_DPA!$A$2:$B$66,2,FALSE),VLOOKUP($G116,CODIFICACIÓN_DPA!$D$2:$E$6,2,FALSE),CONCATENATE(VLOOKUP($E116,CODIFICACIÓN_DPA!$G$2:$H$3,2,FALSE),VLOOKUP($F116,CODIFICACIÓN_DPA!$J$2:$K$10,2,FALSE)),A116)</f>
        <v>170127GA0103115</v>
      </c>
      <c r="D116" s="32" t="s">
        <v>98</v>
      </c>
      <c r="E116" s="32" t="s">
        <v>12</v>
      </c>
      <c r="F116" s="32" t="s">
        <v>26</v>
      </c>
      <c r="G116" s="32" t="s">
        <v>17</v>
      </c>
      <c r="H116" s="32" t="s">
        <v>1001</v>
      </c>
      <c r="I116" s="32" t="s">
        <v>1002</v>
      </c>
      <c r="J116" s="32" t="s">
        <v>1003</v>
      </c>
      <c r="K116" s="35" t="s">
        <v>1004</v>
      </c>
      <c r="L116" s="35" t="s">
        <v>1005</v>
      </c>
      <c r="M116" s="32" t="s">
        <v>258</v>
      </c>
      <c r="N116" s="32" t="s">
        <v>1006</v>
      </c>
      <c r="O116" s="32" t="s">
        <v>1007</v>
      </c>
      <c r="P116" s="32"/>
      <c r="Q116" s="32"/>
      <c r="R116" s="62" t="s">
        <v>1008</v>
      </c>
    </row>
    <row r="117" spans="1:18" ht="15.75" customHeight="1" x14ac:dyDescent="0.25">
      <c r="A117" s="32" t="s">
        <v>1009</v>
      </c>
      <c r="B117" s="32" t="s">
        <v>202</v>
      </c>
      <c r="C117" s="32" t="str">
        <f>CONCATENATE(VLOOKUP($D117,CODIFICACIÓN_DPA!$A$2:$B$66,2,FALSE),VLOOKUP($G117,CODIFICACIÓN_DPA!$D$2:$E$6,2,FALSE),CONCATENATE(VLOOKUP($E117,CODIFICACIÓN_DPA!$G$2:$H$3,2,FALSE),VLOOKUP($F117,CODIFICACIÓN_DPA!$J$2:$K$10,2,FALSE)),A117)</f>
        <v>170151GA0207116</v>
      </c>
      <c r="D117" s="32" t="s">
        <v>110</v>
      </c>
      <c r="E117" s="32" t="s">
        <v>19</v>
      </c>
      <c r="F117" s="32" t="s">
        <v>46</v>
      </c>
      <c r="G117" s="32" t="s">
        <v>17</v>
      </c>
      <c r="H117" s="32" t="s">
        <v>1010</v>
      </c>
      <c r="I117" s="32" t="s">
        <v>1011</v>
      </c>
      <c r="J117" s="32" t="s">
        <v>1012</v>
      </c>
      <c r="K117" s="35" t="s">
        <v>1013</v>
      </c>
      <c r="L117" s="35" t="s">
        <v>1014</v>
      </c>
      <c r="M117" s="32" t="s">
        <v>258</v>
      </c>
      <c r="N117" s="32" t="s">
        <v>1015</v>
      </c>
      <c r="O117" s="32" t="s">
        <v>1016</v>
      </c>
      <c r="P117" s="32" t="s">
        <v>1017</v>
      </c>
      <c r="Q117" s="32"/>
      <c r="R117" s="32">
        <v>995636746</v>
      </c>
    </row>
    <row r="118" spans="1:18" ht="15.75" customHeight="1" x14ac:dyDescent="0.25">
      <c r="A118" s="32" t="s">
        <v>1018</v>
      </c>
      <c r="B118" s="32" t="s">
        <v>202</v>
      </c>
      <c r="C118" s="32" t="str">
        <f>CONCATENATE(VLOOKUP($D118,CODIFICACIÓN_DPA!$A$2:$B$66,2,FALSE),VLOOKUP($G118,CODIFICACIÓN_DPA!$D$2:$E$6,2,FALSE),CONCATENATE(VLOOKUP($E118,CODIFICACIÓN_DPA!$G$2:$H$3,2,FALSE),VLOOKUP($F118,CODIFICACIÓN_DPA!$J$2:$K$10,2,FALSE)),A118)</f>
        <v>170112GA0103117</v>
      </c>
      <c r="D118" s="32" t="s">
        <v>60</v>
      </c>
      <c r="E118" s="32" t="s">
        <v>12</v>
      </c>
      <c r="F118" s="32" t="s">
        <v>26</v>
      </c>
      <c r="G118" s="32" t="s">
        <v>17</v>
      </c>
      <c r="H118" s="32" t="s">
        <v>1019</v>
      </c>
      <c r="I118" s="32" t="s">
        <v>1020</v>
      </c>
      <c r="J118" s="32" t="s">
        <v>1021</v>
      </c>
      <c r="K118" s="35" t="s">
        <v>1022</v>
      </c>
      <c r="L118" s="35" t="s">
        <v>1023</v>
      </c>
      <c r="M118" s="32" t="s">
        <v>258</v>
      </c>
      <c r="N118" s="32" t="s">
        <v>1024</v>
      </c>
      <c r="O118" s="32" t="s">
        <v>1025</v>
      </c>
      <c r="P118" s="32" t="s">
        <v>1026</v>
      </c>
      <c r="Q118" s="32"/>
      <c r="R118" s="32" t="s">
        <v>1027</v>
      </c>
    </row>
    <row r="119" spans="1:18" ht="15.75" customHeight="1" x14ac:dyDescent="0.25">
      <c r="A119" s="64" t="s">
        <v>1028</v>
      </c>
      <c r="B119" s="32" t="s">
        <v>202</v>
      </c>
      <c r="C119" s="32" t="str">
        <f>CONCATENATE(VLOOKUP($D119,CODIFICACIÓN_DPA!$A$2:$B$66,2,FALSE),VLOOKUP($G119,CODIFICACIÓN_DPA!$D$2:$E$6,2,FALSE),CONCATENATE(VLOOKUP($E119,CODIFICACIÓN_DPA!$G$2:$H$3,2,FALSE),VLOOKUP($F119,CODIFICACIÓN_DPA!$J$2:$K$10,2,FALSE)),A119)</f>
        <v>170118GA0101118</v>
      </c>
      <c r="D119" s="32" t="s">
        <v>72</v>
      </c>
      <c r="E119" s="32" t="s">
        <v>12</v>
      </c>
      <c r="F119" s="32" t="s">
        <v>14</v>
      </c>
      <c r="G119" s="32" t="s">
        <v>17</v>
      </c>
      <c r="H119" s="32" t="s">
        <v>1029</v>
      </c>
      <c r="I119" s="32" t="s">
        <v>1030</v>
      </c>
      <c r="J119" s="32" t="s">
        <v>1031</v>
      </c>
      <c r="K119" s="35" t="s">
        <v>1032</v>
      </c>
      <c r="L119" s="35" t="s">
        <v>1033</v>
      </c>
      <c r="M119" s="32" t="s">
        <v>258</v>
      </c>
      <c r="N119" s="32" t="s">
        <v>1034</v>
      </c>
      <c r="O119" s="32" t="s">
        <v>1035</v>
      </c>
      <c r="P119" s="32"/>
      <c r="Q119" s="32"/>
      <c r="R119" s="32" t="s">
        <v>1036</v>
      </c>
    </row>
    <row r="120" spans="1:18" ht="15.75" customHeight="1" x14ac:dyDescent="0.25">
      <c r="A120" s="32" t="s">
        <v>1037</v>
      </c>
      <c r="B120" s="32" t="s">
        <v>202</v>
      </c>
      <c r="C120" s="32" t="str">
        <f>CONCATENATE(VLOOKUP($D120,CODIFICACIÓN_DPA!$A$2:$B$66,2,FALSE),VLOOKUP($G120,CODIFICACIÓN_DPA!$D$2:$E$6,2,FALSE),CONCATENATE(VLOOKUP($E120,CODIFICACIÓN_DPA!$G$2:$H$3,2,FALSE),VLOOKUP($F120,CODIFICACIÓN_DPA!$J$2:$K$10,2,FALSE)),A120)</f>
        <v>170112GA0103119</v>
      </c>
      <c r="D120" s="32" t="s">
        <v>60</v>
      </c>
      <c r="E120" s="32" t="s">
        <v>12</v>
      </c>
      <c r="F120" s="32" t="s">
        <v>26</v>
      </c>
      <c r="G120" s="32" t="s">
        <v>17</v>
      </c>
      <c r="H120" s="32" t="s">
        <v>1038</v>
      </c>
      <c r="I120" s="32" t="s">
        <v>1039</v>
      </c>
      <c r="J120" s="32" t="s">
        <v>1040</v>
      </c>
      <c r="K120" s="35" t="s">
        <v>1041</v>
      </c>
      <c r="L120" s="35" t="s">
        <v>1042</v>
      </c>
      <c r="M120" s="32" t="s">
        <v>258</v>
      </c>
      <c r="N120" s="32" t="s">
        <v>1043</v>
      </c>
      <c r="O120" s="32" t="s">
        <v>1044</v>
      </c>
      <c r="P120" s="32" t="s">
        <v>1026</v>
      </c>
      <c r="Q120" s="32"/>
      <c r="R120" s="32" t="s">
        <v>1045</v>
      </c>
    </row>
    <row r="121" spans="1:18" ht="15.75" customHeight="1" x14ac:dyDescent="0.25">
      <c r="A121" s="32" t="s">
        <v>1046</v>
      </c>
      <c r="B121" s="32" t="s">
        <v>202</v>
      </c>
      <c r="C121" s="32" t="str">
        <f>CONCATENATE(VLOOKUP($D121,CODIFICACIÓN_DPA!$A$2:$B$66,2,FALSE),VLOOKUP($G121,CODIFICACIÓN_DPA!$D$2:$E$6,2,FALSE),CONCATENATE(VLOOKUP($E121,CODIFICACIÓN_DPA!$G$2:$H$3,2,FALSE),VLOOKUP($F121,CODIFICACIÓN_DPA!$J$2:$K$10,2,FALSE)),A121)</f>
        <v>170112GA0103120</v>
      </c>
      <c r="D121" s="32" t="s">
        <v>60</v>
      </c>
      <c r="E121" s="32" t="s">
        <v>12</v>
      </c>
      <c r="F121" s="32" t="s">
        <v>26</v>
      </c>
      <c r="G121" s="32" t="s">
        <v>17</v>
      </c>
      <c r="H121" s="32" t="s">
        <v>1047</v>
      </c>
      <c r="I121" s="32" t="s">
        <v>1048</v>
      </c>
      <c r="J121" s="32" t="s">
        <v>1049</v>
      </c>
      <c r="K121" s="35" t="s">
        <v>1050</v>
      </c>
      <c r="L121" s="35" t="s">
        <v>1051</v>
      </c>
      <c r="M121" s="32" t="s">
        <v>258</v>
      </c>
      <c r="N121" s="32" t="s">
        <v>1052</v>
      </c>
      <c r="O121" s="32" t="s">
        <v>1053</v>
      </c>
      <c r="P121" s="32" t="s">
        <v>1026</v>
      </c>
      <c r="Q121" s="32"/>
      <c r="R121" s="46" t="s">
        <v>1054</v>
      </c>
    </row>
    <row r="122" spans="1:18" ht="15.75" customHeight="1" x14ac:dyDescent="0.25">
      <c r="A122" s="32" t="s">
        <v>1055</v>
      </c>
      <c r="B122" s="32" t="s">
        <v>202</v>
      </c>
      <c r="C122" s="32" t="str">
        <f>CONCATENATE(VLOOKUP($D122,CODIFICACIÓN_DPA!$A$2:$B$66,2,FALSE),VLOOKUP($G122,CODIFICACIÓN_DPA!$D$2:$E$6,2,FALSE),CONCATENATE(VLOOKUP($E122,CODIFICACIÓN_DPA!$G$2:$H$3,2,FALSE),VLOOKUP($F122,CODIFICACIÓN_DPA!$J$2:$K$10,2,FALSE)),A122)</f>
        <v>170112GA0103121</v>
      </c>
      <c r="D122" s="32" t="s">
        <v>60</v>
      </c>
      <c r="E122" s="32" t="s">
        <v>12</v>
      </c>
      <c r="F122" s="32" t="s">
        <v>26</v>
      </c>
      <c r="G122" s="32" t="s">
        <v>17</v>
      </c>
      <c r="H122" s="32" t="s">
        <v>1056</v>
      </c>
      <c r="I122" s="32" t="s">
        <v>1057</v>
      </c>
      <c r="J122" s="32" t="s">
        <v>1058</v>
      </c>
      <c r="K122" s="35" t="s">
        <v>1059</v>
      </c>
      <c r="L122" s="35" t="s">
        <v>1060</v>
      </c>
      <c r="M122" s="32" t="s">
        <v>258</v>
      </c>
      <c r="N122" s="32" t="s">
        <v>1061</v>
      </c>
      <c r="O122" s="32" t="s">
        <v>1062</v>
      </c>
      <c r="P122" s="32" t="s">
        <v>1063</v>
      </c>
      <c r="Q122" s="32" t="s">
        <v>1064</v>
      </c>
      <c r="R122" s="32" t="s">
        <v>1065</v>
      </c>
    </row>
    <row r="123" spans="1:18" ht="15.75" customHeight="1" x14ac:dyDescent="0.25">
      <c r="A123" s="32" t="s">
        <v>1066</v>
      </c>
      <c r="B123" s="32" t="s">
        <v>202</v>
      </c>
      <c r="C123" s="32" t="str">
        <f>CONCATENATE(VLOOKUP($D123,CODIFICACIÓN_DPA!$A$2:$B$66,2,FALSE),VLOOKUP($G123,CODIFICACIÓN_DPA!$D$2:$E$6,2,FALSE),CONCATENATE(VLOOKUP($E123,CODIFICACIÓN_DPA!$G$2:$H$3,2,FALSE),VLOOKUP($F123,CODIFICACIÓN_DPA!$J$2:$K$10,2,FALSE)),A123)</f>
        <v>170122GA0101122</v>
      </c>
      <c r="D123" s="32" t="s">
        <v>82</v>
      </c>
      <c r="E123" s="32" t="s">
        <v>12</v>
      </c>
      <c r="F123" s="32" t="s">
        <v>14</v>
      </c>
      <c r="G123" s="32" t="s">
        <v>17</v>
      </c>
      <c r="H123" s="32" t="s">
        <v>1067</v>
      </c>
      <c r="I123" s="32" t="s">
        <v>1068</v>
      </c>
      <c r="J123" s="32" t="s">
        <v>1069</v>
      </c>
      <c r="K123" s="35" t="s">
        <v>1070</v>
      </c>
      <c r="L123" s="35" t="s">
        <v>1071</v>
      </c>
      <c r="M123" s="32" t="s">
        <v>258</v>
      </c>
      <c r="N123" s="32" t="s">
        <v>1072</v>
      </c>
      <c r="O123" s="32" t="s">
        <v>1073</v>
      </c>
      <c r="P123" s="32" t="s">
        <v>1074</v>
      </c>
      <c r="Q123" s="32"/>
      <c r="R123" s="32">
        <v>968911438</v>
      </c>
    </row>
    <row r="124" spans="1:18" ht="15.75" customHeight="1" x14ac:dyDescent="0.25">
      <c r="A124" s="64" t="s">
        <v>1075</v>
      </c>
      <c r="B124" s="32" t="s">
        <v>202</v>
      </c>
      <c r="C124" s="32" t="str">
        <f>CONCATENATE(VLOOKUP($D124,CODIFICACIÓN_DPA!$A$2:$B$66,2,FALSE),VLOOKUP($G124,CODIFICACIÓN_DPA!$D$2:$E$6,2,FALSE),CONCATENATE(VLOOKUP($E124,CODIFICACIÓN_DPA!$G$2:$H$3,2,FALSE),VLOOKUP($F124,CODIFICACIÓN_DPA!$J$2:$K$10,2,FALSE)),A124)</f>
        <v>170112GA0103123</v>
      </c>
      <c r="D124" s="32" t="s">
        <v>60</v>
      </c>
      <c r="E124" s="32" t="s">
        <v>12</v>
      </c>
      <c r="F124" s="32" t="s">
        <v>26</v>
      </c>
      <c r="G124" s="32" t="s">
        <v>17</v>
      </c>
      <c r="H124" s="32" t="s">
        <v>1076</v>
      </c>
      <c r="I124" s="32" t="s">
        <v>1077</v>
      </c>
      <c r="J124" s="32" t="s">
        <v>1078</v>
      </c>
      <c r="K124" s="35" t="s">
        <v>1079</v>
      </c>
      <c r="L124" s="35" t="s">
        <v>1080</v>
      </c>
      <c r="M124" s="32" t="s">
        <v>258</v>
      </c>
      <c r="N124" s="32" t="s">
        <v>1081</v>
      </c>
      <c r="O124" s="32" t="s">
        <v>1082</v>
      </c>
      <c r="P124" s="32" t="s">
        <v>1026</v>
      </c>
      <c r="Q124" s="32"/>
      <c r="R124" s="32" t="s">
        <v>1083</v>
      </c>
    </row>
    <row r="125" spans="1:18" ht="15.75" customHeight="1" x14ac:dyDescent="0.25">
      <c r="A125" s="64" t="s">
        <v>1084</v>
      </c>
      <c r="B125" s="32" t="s">
        <v>202</v>
      </c>
      <c r="C125" s="32" t="str">
        <f>CONCATENATE(VLOOKUP($D125,CODIFICACIÓN_DPA!$A$2:$B$66,2,FALSE),VLOOKUP($G125,CODIFICACIÓN_DPA!$D$2:$E$6,2,FALSE),CONCATENATE(VLOOKUP($E125,CODIFICACIÓN_DPA!$G$2:$H$3,2,FALSE),VLOOKUP($F125,CODIFICACIÓN_DPA!$J$2:$K$10,2,FALSE)),A125)</f>
        <v>170103GA0103124</v>
      </c>
      <c r="D125" s="32" t="s">
        <v>22</v>
      </c>
      <c r="E125" s="32" t="s">
        <v>12</v>
      </c>
      <c r="F125" s="32" t="s">
        <v>26</v>
      </c>
      <c r="G125" s="32" t="s">
        <v>17</v>
      </c>
      <c r="H125" s="32" t="s">
        <v>1085</v>
      </c>
      <c r="I125" s="32"/>
      <c r="J125" s="32" t="s">
        <v>1086</v>
      </c>
      <c r="K125" s="35" t="s">
        <v>1087</v>
      </c>
      <c r="L125" s="35" t="s">
        <v>1088</v>
      </c>
      <c r="M125" s="32" t="s">
        <v>258</v>
      </c>
      <c r="N125" s="32" t="s">
        <v>1089</v>
      </c>
      <c r="O125" s="32" t="s">
        <v>1090</v>
      </c>
      <c r="P125" s="32"/>
      <c r="Q125" s="32"/>
      <c r="R125" s="66" t="s">
        <v>1091</v>
      </c>
    </row>
    <row r="126" spans="1:18" ht="15.75" customHeight="1" x14ac:dyDescent="0.25">
      <c r="A126" s="64" t="s">
        <v>1092</v>
      </c>
      <c r="B126" s="32" t="s">
        <v>202</v>
      </c>
      <c r="C126" s="32" t="str">
        <f>CONCATENATE(VLOOKUP($D126,CODIFICACIÓN_DPA!$A$2:$B$66,2,FALSE),VLOOKUP($G126,CODIFICACIÓN_DPA!$D$2:$E$6,2,FALSE),CONCATENATE(VLOOKUP($E126,CODIFICACIÓN_DPA!$G$2:$H$3,2,FALSE),VLOOKUP($F126,CODIFICACIÓN_DPA!$J$2:$K$10,2,FALSE)),A126)</f>
        <v>170130GA0101125</v>
      </c>
      <c r="D126" s="32" t="s">
        <v>104</v>
      </c>
      <c r="E126" s="32" t="s">
        <v>12</v>
      </c>
      <c r="F126" s="32" t="s">
        <v>14</v>
      </c>
      <c r="G126" s="32" t="s">
        <v>17</v>
      </c>
      <c r="H126" s="32" t="s">
        <v>1093</v>
      </c>
      <c r="I126" s="32" t="s">
        <v>1094</v>
      </c>
      <c r="J126" s="32" t="s">
        <v>1095</v>
      </c>
      <c r="K126" s="35" t="s">
        <v>1096</v>
      </c>
      <c r="L126" s="35" t="s">
        <v>1097</v>
      </c>
      <c r="M126" s="32" t="s">
        <v>249</v>
      </c>
      <c r="N126" s="32" t="s">
        <v>1098</v>
      </c>
      <c r="O126" s="32" t="s">
        <v>1099</v>
      </c>
      <c r="P126" s="32"/>
      <c r="Q126" s="32"/>
      <c r="R126" s="66" t="s">
        <v>1100</v>
      </c>
    </row>
    <row r="127" spans="1:18" ht="15.75" customHeight="1" x14ac:dyDescent="0.25">
      <c r="A127" s="64" t="s">
        <v>1101</v>
      </c>
      <c r="B127" s="32" t="s">
        <v>202</v>
      </c>
      <c r="C127" s="32" t="str">
        <f>CONCATENATE(VLOOKUP($D127,CODIFICACIÓN_DPA!$A$2:$B$66,2,FALSE),VLOOKUP($G127,CODIFICACIÓN_DPA!$D$2:$E$6,2,FALSE),CONCATENATE(VLOOKUP($E127,CODIFICACIÓN_DPA!$G$2:$H$3,2,FALSE),VLOOKUP($F127,CODIFICACIÓN_DPA!$J$2:$K$10,2,FALSE)),A127)</f>
        <v>170112GA0103126</v>
      </c>
      <c r="D127" s="32" t="s">
        <v>60</v>
      </c>
      <c r="E127" s="32" t="s">
        <v>12</v>
      </c>
      <c r="F127" s="32" t="s">
        <v>26</v>
      </c>
      <c r="G127" s="32" t="s">
        <v>17</v>
      </c>
      <c r="H127" s="32" t="s">
        <v>1102</v>
      </c>
      <c r="I127" s="32" t="s">
        <v>1103</v>
      </c>
      <c r="J127" s="32" t="s">
        <v>1104</v>
      </c>
      <c r="K127" s="35" t="s">
        <v>1105</v>
      </c>
      <c r="L127" s="35" t="s">
        <v>1106</v>
      </c>
      <c r="M127" s="32"/>
      <c r="N127" s="32" t="s">
        <v>1098</v>
      </c>
      <c r="O127" s="32"/>
      <c r="P127" s="32"/>
      <c r="Q127" s="32"/>
      <c r="R127" s="42" t="s">
        <v>1107</v>
      </c>
    </row>
    <row r="128" spans="1:18" ht="44.25" customHeight="1" x14ac:dyDescent="0.25">
      <c r="A128" s="64" t="s">
        <v>1108</v>
      </c>
      <c r="B128" s="32" t="s">
        <v>202</v>
      </c>
      <c r="C128" s="32" t="str">
        <f>CONCATENATE(VLOOKUP($D128,CODIFICACIÓN_DPA!$A$2:$B$66,2,FALSE),VLOOKUP($G128,CODIFICACIÓN_DPA!$D$2:$E$6,2,FALSE),CONCATENATE(VLOOKUP($E128,CODIFICACIÓN_DPA!$G$2:$H$3,2,FALSE),VLOOKUP($F128,CODIFICACIÓN_DPA!$J$2:$K$10,2,FALSE)),A128)</f>
        <v>170123GA0102127</v>
      </c>
      <c r="D128" s="32" t="s">
        <v>84</v>
      </c>
      <c r="E128" s="32" t="s">
        <v>12</v>
      </c>
      <c r="F128" s="32" t="s">
        <v>21</v>
      </c>
      <c r="G128" s="32" t="s">
        <v>17</v>
      </c>
      <c r="H128" s="32" t="s">
        <v>1109</v>
      </c>
      <c r="I128" s="67" t="s">
        <v>1110</v>
      </c>
      <c r="J128" s="32" t="s">
        <v>1111</v>
      </c>
      <c r="K128" s="35" t="s">
        <v>1112</v>
      </c>
      <c r="L128" s="35" t="s">
        <v>1113</v>
      </c>
      <c r="M128" s="32" t="s">
        <v>557</v>
      </c>
      <c r="N128" s="32" t="s">
        <v>1114</v>
      </c>
      <c r="O128" s="68" t="s">
        <v>1115</v>
      </c>
      <c r="P128" s="69"/>
      <c r="Q128" s="69"/>
      <c r="R128" s="70" t="s">
        <v>1116</v>
      </c>
    </row>
    <row r="129" spans="1:18" ht="44.25" customHeight="1" x14ac:dyDescent="0.25">
      <c r="A129" s="64" t="s">
        <v>1117</v>
      </c>
      <c r="B129" s="32" t="s">
        <v>202</v>
      </c>
      <c r="C129" s="32" t="str">
        <f>CONCATENATE(VLOOKUP($D129,CODIFICACIÓN_DPA!$A$2:$B$66,2,FALSE),VLOOKUP($G129,CODIFICACIÓN_DPA!$D$2:$E$6,2,FALSE),CONCATENATE(VLOOKUP($E129,CODIFICACIÓN_DPA!$G$2:$H$3,2,FALSE),VLOOKUP($F129,CODIFICACIÓN_DPA!$J$2:$K$10,2,FALSE)),A129)</f>
        <v>170123CU0102128</v>
      </c>
      <c r="D129" s="32" t="s">
        <v>84</v>
      </c>
      <c r="E129" s="32" t="s">
        <v>12</v>
      </c>
      <c r="F129" s="32" t="s">
        <v>21</v>
      </c>
      <c r="G129" s="32" t="s">
        <v>24</v>
      </c>
      <c r="H129" s="71" t="s">
        <v>1118</v>
      </c>
      <c r="I129" s="32" t="s">
        <v>1119</v>
      </c>
      <c r="J129" s="32" t="s">
        <v>1120</v>
      </c>
      <c r="K129" s="35" t="s">
        <v>1121</v>
      </c>
      <c r="L129" s="35" t="s">
        <v>1122</v>
      </c>
      <c r="M129" s="32" t="s">
        <v>1123</v>
      </c>
      <c r="N129" s="72" t="s">
        <v>1124</v>
      </c>
      <c r="O129" s="32" t="s">
        <v>1125</v>
      </c>
      <c r="P129" s="32"/>
      <c r="Q129" s="32"/>
      <c r="R129" s="58" t="s">
        <v>1126</v>
      </c>
    </row>
    <row r="130" spans="1:18" ht="15.75" customHeight="1" x14ac:dyDescent="0.25">
      <c r="A130" s="64" t="s">
        <v>1127</v>
      </c>
      <c r="B130" s="32" t="s">
        <v>202</v>
      </c>
      <c r="C130" s="32" t="str">
        <f>CONCATENATE(VLOOKUP($D130,CODIFICACIÓN_DPA!$A$2:$B$66,2,FALSE),VLOOKUP($G130,CODIFICACIÓN_DPA!$D$2:$E$6,2,FALSE),CONCATENATE(VLOOKUP($E130,CODIFICACIÓN_DPA!$G$2:$H$3,2,FALSE),VLOOKUP($F130,CODIFICACIÓN_DPA!$J$2:$K$10,2,FALSE)),A130)</f>
        <v>170112CU0103129</v>
      </c>
      <c r="D130" s="32" t="s">
        <v>60</v>
      </c>
      <c r="E130" s="32" t="s">
        <v>12</v>
      </c>
      <c r="F130" s="32" t="s">
        <v>26</v>
      </c>
      <c r="G130" s="32" t="s">
        <v>24</v>
      </c>
      <c r="H130" s="32" t="s">
        <v>1128</v>
      </c>
      <c r="I130" s="32" t="s">
        <v>1129</v>
      </c>
      <c r="J130" s="73" t="s">
        <v>1130</v>
      </c>
      <c r="K130" s="35" t="s">
        <v>1131</v>
      </c>
      <c r="L130" s="35" t="s">
        <v>1132</v>
      </c>
      <c r="M130" s="32" t="s">
        <v>258</v>
      </c>
      <c r="N130" s="32" t="s">
        <v>1133</v>
      </c>
      <c r="O130" s="32" t="s">
        <v>1134</v>
      </c>
      <c r="P130" s="32"/>
      <c r="Q130" s="32"/>
      <c r="R130" s="42" t="s">
        <v>1135</v>
      </c>
    </row>
    <row r="131" spans="1:18" ht="15.75" customHeight="1" x14ac:dyDescent="0.25">
      <c r="A131" s="64" t="s">
        <v>1136</v>
      </c>
      <c r="B131" s="32" t="s">
        <v>202</v>
      </c>
      <c r="C131" s="32" t="str">
        <f>CONCATENATE(VLOOKUP($D131,CODIFICACIÓN_DPA!$A$2:$B$66,2,FALSE),VLOOKUP($G131,CODIFICACIÓN_DPA!$D$2:$E$6,2,FALSE),CONCATENATE(VLOOKUP($E131,CODIFICACIÓN_DPA!$G$2:$H$3,2,FALSE),VLOOKUP($F131,CODIFICACIÓN_DPA!$J$2:$K$10,2,FALSE)),A131)</f>
        <v>170103GA0101130</v>
      </c>
      <c r="D131" s="32" t="s">
        <v>22</v>
      </c>
      <c r="E131" s="32" t="s">
        <v>12</v>
      </c>
      <c r="F131" s="32" t="s">
        <v>14</v>
      </c>
      <c r="G131" s="32" t="s">
        <v>17</v>
      </c>
      <c r="H131" s="71" t="s">
        <v>1137</v>
      </c>
      <c r="I131" s="37" t="s">
        <v>1138</v>
      </c>
      <c r="J131" s="32" t="s">
        <v>1139</v>
      </c>
      <c r="K131" s="35" t="s">
        <v>1140</v>
      </c>
      <c r="L131" s="35" t="s">
        <v>1141</v>
      </c>
      <c r="M131" s="32"/>
      <c r="N131" s="32" t="s">
        <v>1142</v>
      </c>
      <c r="O131" s="32" t="s">
        <v>1143</v>
      </c>
      <c r="P131" s="32" t="s">
        <v>1144</v>
      </c>
      <c r="Q131" s="32"/>
      <c r="R131" s="32" t="s">
        <v>1145</v>
      </c>
    </row>
    <row r="132" spans="1:18" ht="15.75" customHeight="1" x14ac:dyDescent="0.25">
      <c r="A132" s="64" t="s">
        <v>1146</v>
      </c>
      <c r="B132" s="32" t="s">
        <v>202</v>
      </c>
      <c r="C132" s="32" t="str">
        <f>CONCATENATE(VLOOKUP($D132,CODIFICACIÓN_DPA!$A$2:$B$66,2,FALSE),VLOOKUP($G132,CODIFICACIÓN_DPA!$D$2:$E$6,2,FALSE),CONCATENATE(VLOOKUP($E132,CODIFICACIÓN_DPA!$G$2:$H$3,2,FALSE),VLOOKUP($F132,CODIFICACIÓN_DPA!$J$2:$K$10,2,FALSE)),A132)</f>
        <v>170124GA0103131</v>
      </c>
      <c r="D132" s="32" t="s">
        <v>86</v>
      </c>
      <c r="E132" s="32" t="s">
        <v>12</v>
      </c>
      <c r="F132" s="32" t="s">
        <v>26</v>
      </c>
      <c r="G132" s="32" t="s">
        <v>17</v>
      </c>
      <c r="H132" s="32" t="s">
        <v>1147</v>
      </c>
      <c r="I132" s="32" t="s">
        <v>1148</v>
      </c>
      <c r="J132" s="32" t="s">
        <v>1149</v>
      </c>
      <c r="K132" s="35">
        <v>-0.123358720604356</v>
      </c>
      <c r="L132" s="35" t="s">
        <v>1150</v>
      </c>
      <c r="M132" s="32"/>
      <c r="N132" s="32" t="s">
        <v>1151</v>
      </c>
      <c r="O132" s="32" t="s">
        <v>1143</v>
      </c>
      <c r="P132" s="32"/>
      <c r="Q132" s="32"/>
      <c r="R132" s="32" t="s">
        <v>1152</v>
      </c>
    </row>
    <row r="133" spans="1:18" ht="15.75" customHeight="1" x14ac:dyDescent="0.25">
      <c r="A133" s="74" t="s">
        <v>1153</v>
      </c>
      <c r="B133" s="74" t="s">
        <v>430</v>
      </c>
      <c r="C133" s="74" t="str">
        <f>CONCATENATE(VLOOKUP($D133,CODIFICACIÓN_DPA!$A$2:$B$66,2,FALSE),VLOOKUP($G133,CODIFICACIÓN_DPA!$D$2:$E$6,2,FALSE),CONCATENATE(VLOOKUP($E133,CODIFICACIÓN_DPA!$G$2:$H$3,2,FALSE),VLOOKUP($F133,CODIFICACIÓN_DPA!$J$2:$K$10,2,FALSE)),A133)</f>
        <v>170103GA0101132</v>
      </c>
      <c r="D133" s="74" t="s">
        <v>22</v>
      </c>
      <c r="E133" s="74" t="s">
        <v>12</v>
      </c>
      <c r="F133" s="74" t="s">
        <v>14</v>
      </c>
      <c r="G133" s="74" t="s">
        <v>17</v>
      </c>
      <c r="H133" s="75" t="s">
        <v>1154</v>
      </c>
      <c r="I133" s="37" t="s">
        <v>1155</v>
      </c>
      <c r="J133" s="32" t="s">
        <v>1156</v>
      </c>
      <c r="K133" s="46" t="s">
        <v>1157</v>
      </c>
      <c r="L133" s="46" t="s">
        <v>1158</v>
      </c>
      <c r="M133" s="32" t="s">
        <v>792</v>
      </c>
      <c r="N133" s="32" t="s">
        <v>1159</v>
      </c>
      <c r="O133" s="32" t="s">
        <v>1160</v>
      </c>
      <c r="P133" s="74"/>
      <c r="Q133" s="74"/>
      <c r="R133" s="76" t="s">
        <v>1161</v>
      </c>
    </row>
    <row r="134" spans="1:18" ht="15.75" customHeight="1" x14ac:dyDescent="0.25">
      <c r="A134" s="74" t="s">
        <v>1162</v>
      </c>
      <c r="B134" s="74" t="s">
        <v>202</v>
      </c>
      <c r="C134" s="74" t="str">
        <f>CONCATENATE(VLOOKUP($D134,CODIFICACIÓN_DPA!$A$2:$B$66,2,FALSE),VLOOKUP($G134,CODIFICACIÓN_DPA!$D$2:$E$6,2,FALSE),CONCATENATE(VLOOKUP($E134,CODIFICACIÓN_DPA!$G$2:$H$3,2,FALSE),VLOOKUP($F134,CODIFICACIÓN_DPA!$J$2:$K$10,2,FALSE)),A134)</f>
        <v>170103CU0101133</v>
      </c>
      <c r="D134" s="74" t="s">
        <v>22</v>
      </c>
      <c r="E134" s="74" t="s">
        <v>12</v>
      </c>
      <c r="F134" s="74" t="s">
        <v>14</v>
      </c>
      <c r="G134" s="74" t="s">
        <v>24</v>
      </c>
      <c r="H134" s="74" t="s">
        <v>1163</v>
      </c>
      <c r="I134" s="37" t="s">
        <v>1164</v>
      </c>
      <c r="J134" s="74" t="s">
        <v>1165</v>
      </c>
      <c r="K134" s="77" t="s">
        <v>1166</v>
      </c>
      <c r="L134" s="77" t="s">
        <v>1167</v>
      </c>
      <c r="M134" s="32" t="s">
        <v>792</v>
      </c>
      <c r="N134" s="74" t="s">
        <v>1168</v>
      </c>
      <c r="O134" s="74" t="s">
        <v>1169</v>
      </c>
      <c r="P134" s="74"/>
      <c r="Q134" s="74"/>
      <c r="R134" s="78" t="s">
        <v>1170</v>
      </c>
    </row>
    <row r="135" spans="1:18" ht="15.75" customHeight="1" x14ac:dyDescent="0.25">
      <c r="A135" s="74" t="s">
        <v>1171</v>
      </c>
      <c r="B135" s="74" t="s">
        <v>202</v>
      </c>
      <c r="C135" s="74" t="str">
        <f>CONCATENATE(VLOOKUP($D135,CODIFICACIÓN_DPA!$A$2:$B$66,2,FALSE),VLOOKUP($G135,CODIFICACIÓN_DPA!$D$2:$E$6,2,FALSE),CONCATENATE(VLOOKUP($E135,CODIFICACIÓN_DPA!$G$2:$H$3,2,FALSE),VLOOKUP($F135,CODIFICACIÓN_DPA!$J$2:$K$10,2,FALSE)),A135)</f>
        <v>170123GA0102134</v>
      </c>
      <c r="D135" s="74" t="s">
        <v>84</v>
      </c>
      <c r="E135" s="74" t="s">
        <v>12</v>
      </c>
      <c r="F135" s="74" t="s">
        <v>21</v>
      </c>
      <c r="G135" s="74" t="s">
        <v>17</v>
      </c>
      <c r="H135" s="74" t="s">
        <v>1172</v>
      </c>
      <c r="I135" s="74" t="s">
        <v>1173</v>
      </c>
      <c r="J135" s="74" t="s">
        <v>1174</v>
      </c>
      <c r="K135" s="77">
        <v>-0.20519103835973301</v>
      </c>
      <c r="L135" s="77" t="s">
        <v>1175</v>
      </c>
      <c r="M135" s="74"/>
      <c r="N135" s="74" t="s">
        <v>1176</v>
      </c>
      <c r="O135" s="74" t="s">
        <v>1177</v>
      </c>
      <c r="P135" s="74" t="s">
        <v>1178</v>
      </c>
      <c r="Q135" s="74"/>
      <c r="R135" s="79" t="s">
        <v>1179</v>
      </c>
    </row>
    <row r="136" spans="1:18" ht="15.75" customHeight="1" x14ac:dyDescent="0.25">
      <c r="A136" s="74">
        <v>135</v>
      </c>
      <c r="B136" s="74" t="s">
        <v>202</v>
      </c>
      <c r="C136" s="74" t="str">
        <f>CONCATENATE(VLOOKUP($D136,CODIFICACIÓN_DPA!$A$2:$B$66,2,FALSE),VLOOKUP($G136,CODIFICACIÓN_DPA!$D$2:$E$6,2,FALSE),CONCATENATE(VLOOKUP($E136,CODIFICACIÓN_DPA!$G$2:$H$3,2,FALSE),VLOOKUP($F136,CODIFICACIÓN_DPA!$J$2:$K$10,2,FALSE)),A136)</f>
        <v>170112CU0103135</v>
      </c>
      <c r="D136" s="74" t="s">
        <v>60</v>
      </c>
      <c r="E136" s="74" t="s">
        <v>12</v>
      </c>
      <c r="F136" s="74" t="s">
        <v>26</v>
      </c>
      <c r="G136" s="74" t="s">
        <v>24</v>
      </c>
      <c r="H136" s="80" t="s">
        <v>1180</v>
      </c>
      <c r="I136" s="81" t="s">
        <v>1181</v>
      </c>
      <c r="J136" s="82" t="s">
        <v>1182</v>
      </c>
      <c r="K136" s="77" t="s">
        <v>1183</v>
      </c>
      <c r="L136" s="77" t="s">
        <v>1184</v>
      </c>
      <c r="M136" s="74"/>
      <c r="N136" s="83" t="s">
        <v>1185</v>
      </c>
      <c r="O136" s="74" t="s">
        <v>1186</v>
      </c>
      <c r="P136" s="74"/>
      <c r="Q136" s="74"/>
      <c r="R136" s="84" t="s">
        <v>1187</v>
      </c>
    </row>
    <row r="137" spans="1:18" ht="15.75" customHeight="1" x14ac:dyDescent="0.25">
      <c r="A137" s="74">
        <v>136</v>
      </c>
      <c r="B137" s="74" t="s">
        <v>202</v>
      </c>
      <c r="C137" s="74" t="str">
        <f>CONCATENATE(VLOOKUP($D137,CODIFICACIÓN_DPA!$A$2:$B$66,2,FALSE),VLOOKUP($G137,CODIFICACIÓN_DPA!$D$2:$E$6,2,FALSE),CONCATENATE(VLOOKUP($E137,CODIFICACIÓN_DPA!$G$2:$H$3,2,FALSE),VLOOKUP($F137,CODIFICACIÓN_DPA!$J$2:$K$10,2,FALSE)),A137)</f>
        <v>170103GA0101136</v>
      </c>
      <c r="D137" s="74" t="s">
        <v>22</v>
      </c>
      <c r="E137" s="74" t="s">
        <v>12</v>
      </c>
      <c r="F137" s="74" t="s">
        <v>14</v>
      </c>
      <c r="G137" s="74" t="s">
        <v>17</v>
      </c>
      <c r="H137" s="74" t="s">
        <v>1188</v>
      </c>
      <c r="I137" s="37" t="s">
        <v>1189</v>
      </c>
      <c r="J137" s="74" t="s">
        <v>1190</v>
      </c>
      <c r="K137" s="77" t="s">
        <v>1191</v>
      </c>
      <c r="L137" s="77" t="s">
        <v>1192</v>
      </c>
      <c r="M137" s="74"/>
      <c r="N137" s="74" t="s">
        <v>1193</v>
      </c>
      <c r="O137" s="74" t="s">
        <v>1177</v>
      </c>
      <c r="P137" s="74"/>
      <c r="Q137" s="74"/>
      <c r="R137" s="85" t="s">
        <v>1194</v>
      </c>
    </row>
    <row r="138" spans="1:18" ht="15.75" customHeight="1" x14ac:dyDescent="0.25">
      <c r="A138" s="74">
        <v>137</v>
      </c>
      <c r="B138" s="74" t="s">
        <v>202</v>
      </c>
      <c r="C138" s="74" t="str">
        <f>CONCATENATE(VLOOKUP($D138,CODIFICACIÓN_DPA!$A$2:$B$66,2,FALSE),VLOOKUP($G138,CODIFICACIÓN_DPA!$D$2:$E$6,2,FALSE),CONCATENATE(VLOOKUP($E138,CODIFICACIÓN_DPA!$G$2:$H$3,2,FALSE),VLOOKUP($F138,CODIFICACIÓN_DPA!$J$2:$K$10,2,FALSE)),A138)</f>
        <v>170171NA0205137</v>
      </c>
      <c r="D138" s="74" t="s">
        <v>148</v>
      </c>
      <c r="E138" s="74" t="s">
        <v>19</v>
      </c>
      <c r="F138" s="74" t="s">
        <v>38</v>
      </c>
      <c r="G138" s="74" t="s">
        <v>10</v>
      </c>
      <c r="H138" s="86" t="s">
        <v>1195</v>
      </c>
      <c r="I138" s="87" t="s">
        <v>1196</v>
      </c>
      <c r="J138" s="74" t="s">
        <v>1197</v>
      </c>
      <c r="K138" s="77" t="s">
        <v>1198</v>
      </c>
      <c r="L138" s="77" t="s">
        <v>1199</v>
      </c>
      <c r="M138" s="87" t="s">
        <v>1200</v>
      </c>
      <c r="N138" s="74" t="s">
        <v>1201</v>
      </c>
      <c r="O138" s="87" t="s">
        <v>1202</v>
      </c>
      <c r="P138" s="74"/>
      <c r="Q138" s="74"/>
      <c r="R138" s="32" t="s">
        <v>1203</v>
      </c>
    </row>
    <row r="139" spans="1:18" ht="15.75" customHeight="1" x14ac:dyDescent="0.25">
      <c r="A139" s="74">
        <v>138</v>
      </c>
      <c r="B139" s="74" t="s">
        <v>202</v>
      </c>
      <c r="C139" s="74" t="str">
        <f>CONCATENATE(VLOOKUP($D139,CODIFICACIÓN_DPA!$A$2:$B$66,2,FALSE),VLOOKUP($G139,CODIFICACIÓN_DPA!$D$2:$E$6,2,FALSE),CONCATENATE(VLOOKUP($E139,CODIFICACIÓN_DPA!$G$2:$H$3,2,FALSE),VLOOKUP($F139,CODIFICACIÓN_DPA!$J$2:$K$10,2,FALSE)),A139)</f>
        <v>170123GA0102138</v>
      </c>
      <c r="D139" s="74" t="s">
        <v>84</v>
      </c>
      <c r="E139" s="74" t="s">
        <v>12</v>
      </c>
      <c r="F139" s="74" t="s">
        <v>21</v>
      </c>
      <c r="G139" s="74" t="s">
        <v>17</v>
      </c>
      <c r="H139" s="74" t="s">
        <v>1204</v>
      </c>
      <c r="I139" s="87" t="s">
        <v>1205</v>
      </c>
      <c r="J139" s="74" t="s">
        <v>1206</v>
      </c>
      <c r="K139" s="77" t="s">
        <v>1207</v>
      </c>
      <c r="L139" s="77" t="s">
        <v>1208</v>
      </c>
      <c r="M139" s="74" t="s">
        <v>1209</v>
      </c>
      <c r="N139" s="74" t="s">
        <v>1210</v>
      </c>
      <c r="O139" s="74" t="s">
        <v>1211</v>
      </c>
      <c r="P139" s="74" t="s">
        <v>1212</v>
      </c>
      <c r="Q139" s="74"/>
      <c r="R139" s="76" t="s">
        <v>1213</v>
      </c>
    </row>
    <row r="140" spans="1:18" ht="15.75" customHeight="1" x14ac:dyDescent="0.25">
      <c r="A140" s="56">
        <v>139</v>
      </c>
      <c r="B140" s="56" t="s">
        <v>202</v>
      </c>
      <c r="C140" s="74" t="str">
        <f>CONCATENATE(VLOOKUP($D140,CODIFICACIÓN_DPA!$A$2:$B$66,2,FALSE),VLOOKUP($G140,CODIFICACIÓN_DPA!$D$2:$E$6,2,FALSE),CONCATENATE(VLOOKUP($E140,CODIFICACIÓN_DPA!$G$2:$H$3,2,FALSE),VLOOKUP($F140,CODIFICACIÓN_DPA!$J$2:$K$10,2,FALSE)),A140)</f>
        <v>170179GA0108139</v>
      </c>
      <c r="D140" s="56" t="s">
        <v>162</v>
      </c>
      <c r="E140" s="56" t="s">
        <v>12</v>
      </c>
      <c r="F140" s="56" t="s">
        <v>50</v>
      </c>
      <c r="G140" s="56" t="s">
        <v>17</v>
      </c>
      <c r="H140" s="82" t="s">
        <v>1214</v>
      </c>
      <c r="I140" s="88" t="s">
        <v>1215</v>
      </c>
      <c r="J140" s="82" t="s">
        <v>1216</v>
      </c>
      <c r="K140" s="89" t="s">
        <v>1217</v>
      </c>
      <c r="L140" s="89" t="s">
        <v>1218</v>
      </c>
      <c r="M140" s="56" t="s">
        <v>792</v>
      </c>
      <c r="N140" s="90" t="s">
        <v>1219</v>
      </c>
      <c r="O140" s="56" t="s">
        <v>1160</v>
      </c>
      <c r="P140" s="56"/>
      <c r="Q140" s="56"/>
      <c r="R140" s="91" t="s">
        <v>1220</v>
      </c>
    </row>
    <row r="141" spans="1:18" ht="15.75" customHeight="1" x14ac:dyDescent="0.25">
      <c r="A141" s="56">
        <v>140</v>
      </c>
      <c r="B141" s="56" t="s">
        <v>202</v>
      </c>
      <c r="C141" s="74" t="str">
        <f>CONCATENATE(VLOOKUP($D141,CODIFICACIÓN_DPA!$A$2:$B$66,2,FALSE),VLOOKUP($G141,CODIFICACIÓN_DPA!$D$2:$E$6,2,FALSE),CONCATENATE(VLOOKUP($E141,CODIFICACIÓN_DPA!$G$2:$H$3,2,FALSE),VLOOKUP($F141,CODIFICACIÓN_DPA!$J$2:$K$10,2,FALSE)),A141)</f>
        <v>170103GA0101140</v>
      </c>
      <c r="D141" s="56" t="s">
        <v>22</v>
      </c>
      <c r="E141" s="56" t="s">
        <v>12</v>
      </c>
      <c r="F141" s="56" t="s">
        <v>14</v>
      </c>
      <c r="G141" s="56" t="s">
        <v>17</v>
      </c>
      <c r="H141" s="92" t="s">
        <v>1221</v>
      </c>
      <c r="I141" s="37" t="s">
        <v>1222</v>
      </c>
      <c r="J141" s="93" t="s">
        <v>1223</v>
      </c>
      <c r="K141" s="89" t="s">
        <v>1224</v>
      </c>
      <c r="L141" s="89" t="s">
        <v>1225</v>
      </c>
      <c r="M141" s="56"/>
      <c r="N141" s="88" t="s">
        <v>1226</v>
      </c>
      <c r="O141" s="56" t="s">
        <v>1160</v>
      </c>
      <c r="P141" s="56"/>
      <c r="Q141" s="56"/>
      <c r="R141" s="42" t="s">
        <v>1227</v>
      </c>
    </row>
    <row r="142" spans="1:18" ht="15.75" customHeight="1" x14ac:dyDescent="0.25">
      <c r="A142" s="56">
        <v>141</v>
      </c>
      <c r="B142" s="56" t="s">
        <v>202</v>
      </c>
      <c r="C142" s="74" t="str">
        <f>CONCATENATE(VLOOKUP($D142,CODIFICACIÓN_DPA!$A$2:$B$66,2,FALSE),VLOOKUP($G142,CODIFICACIÓN_DPA!$D$2:$E$6,2,FALSE),CONCATENATE(VLOOKUP($E142,CODIFICACIÓN_DPA!$G$2:$H$3,2,FALSE),VLOOKUP($F142,CODIFICACIÓN_DPA!$J$2:$K$10,2,FALSE)),A142)</f>
        <v>170157GA0208141</v>
      </c>
      <c r="D142" s="56" t="s">
        <v>122</v>
      </c>
      <c r="E142" s="56" t="s">
        <v>19</v>
      </c>
      <c r="F142" s="56" t="s">
        <v>50</v>
      </c>
      <c r="G142" s="56" t="s">
        <v>17</v>
      </c>
      <c r="H142" s="94" t="s">
        <v>1228</v>
      </c>
      <c r="I142" s="95" t="s">
        <v>1229</v>
      </c>
      <c r="J142" s="96" t="s">
        <v>1230</v>
      </c>
      <c r="K142" s="89" t="s">
        <v>1231</v>
      </c>
      <c r="L142" s="89" t="s">
        <v>1232</v>
      </c>
      <c r="M142" s="56"/>
      <c r="N142" s="87"/>
      <c r="O142" s="56" t="s">
        <v>1160</v>
      </c>
      <c r="P142" s="56" t="s">
        <v>1233</v>
      </c>
      <c r="Q142" s="56"/>
      <c r="R142" s="42" t="s">
        <v>1234</v>
      </c>
    </row>
    <row r="143" spans="1:18" ht="15.75" customHeight="1" x14ac:dyDescent="0.25">
      <c r="A143" s="56">
        <v>142</v>
      </c>
      <c r="B143" s="56" t="s">
        <v>202</v>
      </c>
      <c r="C143" s="74" t="str">
        <f>CONCATENATE(VLOOKUP($D143,CODIFICACIÓN_DPA!$A$2:$B$66,2,FALSE),VLOOKUP($G143,CODIFICACIÓN_DPA!$D$2:$E$6,2,FALSE),CONCATENATE(VLOOKUP($E143,CODIFICACIÓN_DPA!$G$2:$H$3,2,FALSE),VLOOKUP($F143,CODIFICACIÓN_DPA!$J$2:$K$10,2,FALSE)),A143)</f>
        <v>170101GA0102142</v>
      </c>
      <c r="D143" s="56" t="s">
        <v>8</v>
      </c>
      <c r="E143" s="56" t="s">
        <v>12</v>
      </c>
      <c r="F143" s="56" t="s">
        <v>21</v>
      </c>
      <c r="G143" s="56" t="s">
        <v>17</v>
      </c>
      <c r="H143" s="92" t="s">
        <v>1235</v>
      </c>
      <c r="I143" s="95" t="s">
        <v>1236</v>
      </c>
      <c r="J143" s="93" t="s">
        <v>1237</v>
      </c>
      <c r="K143" s="89" t="s">
        <v>1238</v>
      </c>
      <c r="L143" s="89" t="s">
        <v>1239</v>
      </c>
      <c r="M143" s="56"/>
      <c r="N143" s="88" t="s">
        <v>1240</v>
      </c>
      <c r="O143" s="56" t="s">
        <v>1160</v>
      </c>
      <c r="P143" s="56" t="s">
        <v>1241</v>
      </c>
      <c r="Q143" s="56"/>
      <c r="R143" s="42" t="s">
        <v>1242</v>
      </c>
    </row>
    <row r="144" spans="1:18" ht="15.75" customHeight="1" x14ac:dyDescent="0.25">
      <c r="A144" s="56">
        <v>143</v>
      </c>
      <c r="B144" s="56" t="s">
        <v>202</v>
      </c>
      <c r="C144" s="74" t="str">
        <f>CONCATENATE(VLOOKUP($D144,CODIFICACIÓN_DPA!$A$2:$B$66,2,FALSE),VLOOKUP($G144,CODIFICACIÓN_DPA!$D$2:$E$6,2,FALSE),CONCATENATE(VLOOKUP($E144,CODIFICACIÓN_DPA!$G$2:$H$3,2,FALSE),VLOOKUP($F144,CODIFICACIÓN_DPA!$J$2:$K$10,2,FALSE)),A144)</f>
        <v>170123GA0102143</v>
      </c>
      <c r="D144" s="56" t="s">
        <v>84</v>
      </c>
      <c r="E144" s="56" t="s">
        <v>12</v>
      </c>
      <c r="F144" s="56" t="s">
        <v>21</v>
      </c>
      <c r="G144" s="56" t="s">
        <v>17</v>
      </c>
      <c r="H144" s="92" t="s">
        <v>1243</v>
      </c>
      <c r="I144" s="95" t="s">
        <v>1244</v>
      </c>
      <c r="J144" s="93" t="s">
        <v>1245</v>
      </c>
      <c r="K144" s="89" t="s">
        <v>1246</v>
      </c>
      <c r="L144" s="89" t="s">
        <v>1247</v>
      </c>
      <c r="M144" s="56"/>
      <c r="N144" s="88" t="s">
        <v>1248</v>
      </c>
      <c r="O144" s="56" t="s">
        <v>1160</v>
      </c>
      <c r="P144" s="56" t="s">
        <v>1249</v>
      </c>
      <c r="Q144" s="56"/>
      <c r="R144" s="42" t="s">
        <v>1250</v>
      </c>
    </row>
    <row r="145" spans="1:18" ht="15.75" customHeight="1" x14ac:dyDescent="0.25">
      <c r="A145" s="56">
        <v>144</v>
      </c>
      <c r="B145" s="56" t="s">
        <v>202</v>
      </c>
      <c r="C145" s="74" t="str">
        <f>CONCATENATE(VLOOKUP($D145,CODIFICACIÓN_DPA!$A$2:$B$66,2,FALSE),VLOOKUP($G145,CODIFICACIÓN_DPA!$D$2:$E$6,2,FALSE),CONCATENATE(VLOOKUP($E145,CODIFICACIÓN_DPA!$G$2:$H$3,2,FALSE),VLOOKUP($F145,CODIFICACIÓN_DPA!$J$2:$K$10,2,FALSE)),A145)</f>
        <v>170117GA0103144</v>
      </c>
      <c r="D145" s="56" t="s">
        <v>70</v>
      </c>
      <c r="E145" s="56" t="s">
        <v>12</v>
      </c>
      <c r="F145" s="56" t="s">
        <v>26</v>
      </c>
      <c r="G145" s="56" t="s">
        <v>17</v>
      </c>
      <c r="H145" s="92" t="s">
        <v>1251</v>
      </c>
      <c r="I145" s="95" t="s">
        <v>1252</v>
      </c>
      <c r="J145" s="93" t="s">
        <v>1253</v>
      </c>
      <c r="K145" s="89" t="s">
        <v>1254</v>
      </c>
      <c r="L145" s="89" t="s">
        <v>1255</v>
      </c>
      <c r="M145" s="56"/>
      <c r="N145" s="88" t="s">
        <v>1256</v>
      </c>
      <c r="O145" s="56" t="s">
        <v>1160</v>
      </c>
      <c r="P145" s="56" t="s">
        <v>1257</v>
      </c>
      <c r="Q145" s="56"/>
      <c r="R145" s="32" t="s">
        <v>1258</v>
      </c>
    </row>
    <row r="146" spans="1:18" ht="15.75" customHeight="1" x14ac:dyDescent="0.25">
      <c r="A146" s="56">
        <v>145</v>
      </c>
      <c r="B146" s="56" t="s">
        <v>430</v>
      </c>
      <c r="C146" s="74" t="str">
        <f>CONCATENATE(VLOOKUP($D146,CODIFICACIÓN_DPA!$A$2:$B$66,2,FALSE),VLOOKUP($G146,CODIFICACIÓN_DPA!$D$2:$E$6,2,FALSE),CONCATENATE(VLOOKUP($E146,CODIFICACIÓN_DPA!$G$2:$H$3,2,FALSE),VLOOKUP($F146,CODIFICACIÓN_DPA!$J$2:$K$10,2,FALSE)),A146)</f>
        <v>170123GA0102145</v>
      </c>
      <c r="D146" s="56" t="s">
        <v>84</v>
      </c>
      <c r="E146" s="56" t="s">
        <v>12</v>
      </c>
      <c r="F146" s="56" t="s">
        <v>21</v>
      </c>
      <c r="G146" s="56" t="s">
        <v>17</v>
      </c>
      <c r="H146" s="92" t="s">
        <v>1259</v>
      </c>
      <c r="I146" s="95" t="s">
        <v>1260</v>
      </c>
      <c r="J146" s="93" t="s">
        <v>1261</v>
      </c>
      <c r="K146" s="97" t="s">
        <v>1262</v>
      </c>
      <c r="L146" s="97" t="s">
        <v>1263</v>
      </c>
      <c r="M146" s="56"/>
      <c r="N146" s="88" t="s">
        <v>1264</v>
      </c>
      <c r="O146" s="56" t="s">
        <v>1160</v>
      </c>
      <c r="P146" s="56" t="s">
        <v>1265</v>
      </c>
      <c r="Q146" s="56"/>
      <c r="R146" s="32" t="s">
        <v>1266</v>
      </c>
    </row>
    <row r="147" spans="1:18" ht="15.75" customHeight="1" x14ac:dyDescent="0.25">
      <c r="A147" s="56">
        <v>147</v>
      </c>
      <c r="B147" s="56" t="s">
        <v>430</v>
      </c>
      <c r="C147" s="74" t="str">
        <f>CONCATENATE(VLOOKUP($D147,CODIFICACIÓN_DPA!$A$2:$B$66,2,FALSE),VLOOKUP($G147,CODIFICACIÓN_DPA!$D$2:$E$6,2,FALSE),CONCATENATE(VLOOKUP($E147,CODIFICACIÓN_DPA!$G$2:$H$3,2,FALSE),VLOOKUP($F147,CODIFICACIÓN_DPA!$J$2:$K$10,2,FALSE)),A147)</f>
        <v>170103GA0103147</v>
      </c>
      <c r="D147" s="56" t="s">
        <v>22</v>
      </c>
      <c r="E147" s="56" t="s">
        <v>12</v>
      </c>
      <c r="F147" s="56" t="s">
        <v>26</v>
      </c>
      <c r="G147" s="56" t="s">
        <v>17</v>
      </c>
      <c r="H147" s="92" t="s">
        <v>1267</v>
      </c>
      <c r="I147" s="95" t="s">
        <v>1268</v>
      </c>
      <c r="J147" s="93" t="s">
        <v>1269</v>
      </c>
      <c r="K147" s="97" t="s">
        <v>1270</v>
      </c>
      <c r="L147" s="97" t="s">
        <v>1271</v>
      </c>
      <c r="M147" s="56"/>
      <c r="N147" s="88" t="s">
        <v>1264</v>
      </c>
      <c r="O147" s="56" t="s">
        <v>1160</v>
      </c>
      <c r="P147" s="56" t="s">
        <v>1272</v>
      </c>
      <c r="Q147" s="56"/>
      <c r="R147" s="42" t="s">
        <v>1273</v>
      </c>
    </row>
    <row r="148" spans="1:18" ht="15.75" customHeight="1" x14ac:dyDescent="0.25">
      <c r="A148" s="56">
        <v>148</v>
      </c>
      <c r="B148" s="32" t="s">
        <v>202</v>
      </c>
      <c r="C148" s="74" t="str">
        <f>CONCATENATE(VLOOKUP($D148,CODIFICACIÓN_DPA!$A$2:$B$66,2,FALSE),VLOOKUP($G148,CODIFICACIÓN_DPA!$D$2:$E$6,2,FALSE),CONCATENATE(VLOOKUP($E148,CODIFICACIÓN_DPA!$G$2:$H$3,2,FALSE),VLOOKUP($F148,CODIFICACIÓN_DPA!$J$2:$K$10,2,FALSE)),A148)</f>
        <v>170157GA0208148</v>
      </c>
      <c r="D148" s="32" t="s">
        <v>122</v>
      </c>
      <c r="E148" s="32" t="s">
        <v>19</v>
      </c>
      <c r="F148" s="32" t="s">
        <v>50</v>
      </c>
      <c r="G148" s="32" t="s">
        <v>17</v>
      </c>
      <c r="H148" s="32" t="s">
        <v>1274</v>
      </c>
      <c r="I148" s="32" t="s">
        <v>1275</v>
      </c>
      <c r="J148" s="32" t="s">
        <v>1276</v>
      </c>
      <c r="K148" s="35" t="s">
        <v>1277</v>
      </c>
      <c r="L148" s="35" t="s">
        <v>1278</v>
      </c>
      <c r="M148" s="32"/>
      <c r="N148" s="32" t="s">
        <v>1279</v>
      </c>
      <c r="O148" s="56" t="s">
        <v>1160</v>
      </c>
      <c r="P148" s="32" t="s">
        <v>1280</v>
      </c>
      <c r="Q148" s="32"/>
      <c r="R148" s="32" t="s">
        <v>1281</v>
      </c>
    </row>
    <row r="149" spans="1:18" ht="15.75" customHeight="1" x14ac:dyDescent="0.25">
      <c r="A149" s="56">
        <v>149</v>
      </c>
      <c r="B149" s="32" t="s">
        <v>202</v>
      </c>
      <c r="C149" s="74" t="str">
        <f>CONCATENATE(VLOOKUP($D149,CODIFICACIÓN_DPA!$A$2:$B$66,2,FALSE),VLOOKUP($G149,CODIFICACIÓN_DPA!$D$2:$E$6,2,FALSE),CONCATENATE(VLOOKUP($E149,CODIFICACIÓN_DPA!$G$2:$H$3,2,FALSE),VLOOKUP($F149,CODIFICACIÓN_DPA!$J$2:$K$10,2,FALSE)),A149)</f>
        <v>170123GA0102149</v>
      </c>
      <c r="D149" s="32" t="s">
        <v>84</v>
      </c>
      <c r="E149" s="32" t="s">
        <v>12</v>
      </c>
      <c r="F149" s="32" t="s">
        <v>21</v>
      </c>
      <c r="G149" s="32" t="s">
        <v>17</v>
      </c>
      <c r="H149" s="32" t="s">
        <v>1282</v>
      </c>
      <c r="I149" s="32" t="s">
        <v>1283</v>
      </c>
      <c r="J149" s="32" t="s">
        <v>1284</v>
      </c>
      <c r="K149" s="35" t="s">
        <v>1285</v>
      </c>
      <c r="L149" s="35" t="s">
        <v>1286</v>
      </c>
      <c r="M149" s="32"/>
      <c r="N149" s="32" t="s">
        <v>1287</v>
      </c>
      <c r="O149" s="56" t="s">
        <v>1160</v>
      </c>
      <c r="P149" s="32" t="s">
        <v>1288</v>
      </c>
      <c r="Q149" s="32"/>
      <c r="R149" s="32" t="s">
        <v>1289</v>
      </c>
    </row>
    <row r="150" spans="1:18" ht="15.75" customHeight="1" x14ac:dyDescent="0.25">
      <c r="A150" s="56">
        <v>150</v>
      </c>
      <c r="B150" s="32" t="s">
        <v>202</v>
      </c>
      <c r="C150" s="74" t="str">
        <f>CONCATENATE(VLOOKUP($D150,CODIFICACIÓN_DPA!$A$2:$B$66,2,FALSE),VLOOKUP($G150,CODIFICACIÓN_DPA!$D$2:$E$6,2,FALSE),CONCATENATE(VLOOKUP($E150,CODIFICACIÓN_DPA!$G$2:$H$3,2,FALSE),VLOOKUP($F150,CODIFICACIÓN_DPA!$J$2:$K$10,2,FALSE)),A150)</f>
        <v>170171CO0205150</v>
      </c>
      <c r="D150" s="32" t="s">
        <v>148</v>
      </c>
      <c r="E150" s="32" t="s">
        <v>19</v>
      </c>
      <c r="F150" s="32" t="s">
        <v>38</v>
      </c>
      <c r="G150" s="32" t="s">
        <v>36</v>
      </c>
      <c r="H150" s="32" t="s">
        <v>1290</v>
      </c>
      <c r="I150" s="32" t="s">
        <v>1291</v>
      </c>
      <c r="J150" s="32" t="s">
        <v>1292</v>
      </c>
      <c r="K150" s="35" t="s">
        <v>1293</v>
      </c>
      <c r="L150" s="35" t="s">
        <v>1294</v>
      </c>
      <c r="M150" s="32"/>
      <c r="N150" s="32"/>
      <c r="O150" s="56" t="s">
        <v>1160</v>
      </c>
      <c r="P150" s="32" t="s">
        <v>1257</v>
      </c>
      <c r="Q150" s="32"/>
      <c r="R150" s="32" t="s">
        <v>1295</v>
      </c>
    </row>
    <row r="151" spans="1:18" ht="15.75" customHeight="1" x14ac:dyDescent="0.25">
      <c r="A151" s="56">
        <v>151</v>
      </c>
      <c r="B151" s="32" t="s">
        <v>202</v>
      </c>
      <c r="C151" s="74" t="str">
        <f>CONCATENATE(VLOOKUP($D151,CODIFICACIÓN_DPA!$A$2:$B$66,2,FALSE),VLOOKUP($G151,CODIFICACIÓN_DPA!$D$2:$E$6,2,FALSE),CONCATENATE(VLOOKUP($E151,CODIFICACIÓN_DPA!$G$2:$H$3,2,FALSE),VLOOKUP($F151,CODIFICACIÓN_DPA!$J$2:$K$10,2,FALSE)),A151)</f>
        <v>170169GA0205151</v>
      </c>
      <c r="D151" s="32" t="s">
        <v>144</v>
      </c>
      <c r="E151" s="32" t="s">
        <v>19</v>
      </c>
      <c r="F151" s="32" t="s">
        <v>38</v>
      </c>
      <c r="G151" s="32" t="s">
        <v>17</v>
      </c>
      <c r="H151" s="32" t="s">
        <v>1296</v>
      </c>
      <c r="I151" s="32" t="s">
        <v>1297</v>
      </c>
      <c r="J151" s="32" t="s">
        <v>1298</v>
      </c>
      <c r="K151" s="35" t="s">
        <v>1299</v>
      </c>
      <c r="L151" s="35" t="s">
        <v>1300</v>
      </c>
      <c r="M151" s="32"/>
      <c r="N151" s="32" t="s">
        <v>1301</v>
      </c>
      <c r="O151" s="56" t="s">
        <v>1160</v>
      </c>
      <c r="P151" s="32" t="s">
        <v>1302</v>
      </c>
      <c r="Q151" s="32"/>
      <c r="R151" s="42" t="s">
        <v>1303</v>
      </c>
    </row>
    <row r="152" spans="1:18" ht="15.75" customHeight="1" x14ac:dyDescent="0.25">
      <c r="A152" s="56">
        <v>152</v>
      </c>
      <c r="B152" s="32" t="s">
        <v>202</v>
      </c>
      <c r="C152" s="74" t="str">
        <f>CONCATENATE(VLOOKUP($D152,CODIFICACIÓN_DPA!$A$2:$B$66,2,FALSE),VLOOKUP($G152,CODIFICACIÓN_DPA!$D$2:$E$6,2,FALSE),CONCATENATE(VLOOKUP($E152,CODIFICACIÓN_DPA!$G$2:$H$3,2,FALSE),VLOOKUP($F152,CODIFICACIÓN_DPA!$J$2:$K$10,2,FALSE)),A152)</f>
        <v>170123GA0102152</v>
      </c>
      <c r="D152" s="32" t="s">
        <v>84</v>
      </c>
      <c r="E152" s="32" t="s">
        <v>12</v>
      </c>
      <c r="F152" s="32" t="s">
        <v>21</v>
      </c>
      <c r="G152" s="32" t="s">
        <v>17</v>
      </c>
      <c r="H152" s="32" t="s">
        <v>1304</v>
      </c>
      <c r="I152" s="98" t="s">
        <v>1305</v>
      </c>
      <c r="J152" s="32" t="s">
        <v>1306</v>
      </c>
      <c r="K152" s="35" t="s">
        <v>1307</v>
      </c>
      <c r="L152" s="35" t="s">
        <v>1308</v>
      </c>
      <c r="M152" s="32"/>
      <c r="N152" s="32" t="s">
        <v>1309</v>
      </c>
      <c r="O152" s="56" t="s">
        <v>1160</v>
      </c>
      <c r="P152" s="32" t="s">
        <v>1310</v>
      </c>
      <c r="Q152" s="32"/>
      <c r="R152" s="42" t="s">
        <v>1311</v>
      </c>
    </row>
    <row r="153" spans="1:18" ht="15.75" customHeight="1" x14ac:dyDescent="0.25">
      <c r="A153" s="56">
        <v>153</v>
      </c>
      <c r="B153" s="32" t="s">
        <v>202</v>
      </c>
      <c r="C153" s="74" t="str">
        <f>CONCATENATE(VLOOKUP($D153,CODIFICACIÓN_DPA!$A$2:$B$66,2,FALSE),VLOOKUP($G153,CODIFICACIÓN_DPA!$D$2:$E$6,2,FALSE),CONCATENATE(VLOOKUP($E153,CODIFICACIÓN_DPA!$G$2:$H$3,2,FALSE),VLOOKUP($F153,CODIFICACIÓN_DPA!$J$2:$K$10,2,FALSE)),A153)</f>
        <v>170123GA0102153</v>
      </c>
      <c r="D153" s="32" t="s">
        <v>84</v>
      </c>
      <c r="E153" s="32" t="s">
        <v>12</v>
      </c>
      <c r="F153" s="32" t="s">
        <v>21</v>
      </c>
      <c r="G153" s="32" t="s">
        <v>17</v>
      </c>
      <c r="H153" s="32" t="s">
        <v>1312</v>
      </c>
      <c r="I153" s="32" t="s">
        <v>1313</v>
      </c>
      <c r="J153" s="32" t="s">
        <v>1314</v>
      </c>
      <c r="K153" s="35" t="s">
        <v>1315</v>
      </c>
      <c r="L153" s="35" t="s">
        <v>1316</v>
      </c>
      <c r="M153" s="32"/>
      <c r="N153" s="32" t="s">
        <v>1317</v>
      </c>
      <c r="O153" s="56" t="s">
        <v>1160</v>
      </c>
      <c r="P153" s="32" t="s">
        <v>1318</v>
      </c>
      <c r="Q153" s="32"/>
      <c r="R153" s="42" t="s">
        <v>1319</v>
      </c>
    </row>
    <row r="154" spans="1:18" ht="15.75" customHeight="1" x14ac:dyDescent="0.25">
      <c r="A154" s="56">
        <v>154</v>
      </c>
      <c r="B154" s="32" t="s">
        <v>202</v>
      </c>
      <c r="C154" s="74" t="str">
        <f>CONCATENATE(VLOOKUP($D154,CODIFICACIÓN_DPA!$A$2:$B$66,2,FALSE),VLOOKUP($G154,CODIFICACIÓN_DPA!$D$2:$E$6,2,FALSE),CONCATENATE(VLOOKUP($E154,CODIFICACIÓN_DPA!$G$2:$H$3,2,FALSE),VLOOKUP($F154,CODIFICACIÓN_DPA!$J$2:$K$10,2,FALSE)),A154)</f>
        <v>170112GA0103154</v>
      </c>
      <c r="D154" s="32" t="s">
        <v>60</v>
      </c>
      <c r="E154" s="32" t="s">
        <v>12</v>
      </c>
      <c r="F154" s="32" t="s">
        <v>26</v>
      </c>
      <c r="G154" s="32" t="s">
        <v>17</v>
      </c>
      <c r="H154" s="32" t="s">
        <v>1320</v>
      </c>
      <c r="I154" s="32" t="s">
        <v>1321</v>
      </c>
      <c r="J154" s="32" t="s">
        <v>1322</v>
      </c>
      <c r="K154" s="35" t="s">
        <v>1323</v>
      </c>
      <c r="L154" s="35" t="s">
        <v>1324</v>
      </c>
      <c r="M154" s="32"/>
      <c r="N154" s="32" t="s">
        <v>1325</v>
      </c>
      <c r="O154" s="56" t="s">
        <v>1160</v>
      </c>
      <c r="P154" s="32" t="s">
        <v>1326</v>
      </c>
      <c r="Q154" s="32"/>
      <c r="R154" s="42" t="s">
        <v>1327</v>
      </c>
    </row>
    <row r="155" spans="1:18" ht="15.75" customHeight="1" x14ac:dyDescent="0.25">
      <c r="A155" s="56">
        <v>155</v>
      </c>
      <c r="B155" s="32" t="s">
        <v>202</v>
      </c>
      <c r="C155" s="74" t="str">
        <f>CONCATENATE(VLOOKUP($D155,CODIFICACIÓN_DPA!$A$2:$B$66,2,FALSE),VLOOKUP($G155,CODIFICACIÓN_DPA!$D$2:$E$6,2,FALSE),CONCATENATE(VLOOKUP($E155,CODIFICACIÓN_DPA!$G$2:$H$3,2,FALSE),VLOOKUP($F155,CODIFICACIÓN_DPA!$J$2:$K$10,2,FALSE)),A155)</f>
        <v>170103GA0101155</v>
      </c>
      <c r="D155" s="32" t="s">
        <v>22</v>
      </c>
      <c r="E155" s="32" t="s">
        <v>12</v>
      </c>
      <c r="F155" s="32" t="s">
        <v>14</v>
      </c>
      <c r="G155" s="32" t="s">
        <v>17</v>
      </c>
      <c r="H155" s="32" t="s">
        <v>1328</v>
      </c>
      <c r="I155" s="37" t="s">
        <v>1329</v>
      </c>
      <c r="J155" s="32" t="s">
        <v>1330</v>
      </c>
      <c r="K155" s="35" t="s">
        <v>1331</v>
      </c>
      <c r="L155" s="35" t="s">
        <v>1332</v>
      </c>
      <c r="M155" s="32"/>
      <c r="N155" s="32" t="s">
        <v>1333</v>
      </c>
      <c r="O155" s="56" t="s">
        <v>1160</v>
      </c>
      <c r="P155" s="32" t="s">
        <v>1334</v>
      </c>
      <c r="Q155" s="32"/>
      <c r="R155" s="42" t="s">
        <v>1335</v>
      </c>
    </row>
    <row r="156" spans="1:18" ht="15.75" customHeight="1" x14ac:dyDescent="0.25">
      <c r="A156" s="56">
        <v>156</v>
      </c>
      <c r="B156" s="32" t="s">
        <v>202</v>
      </c>
      <c r="C156" s="74" t="str">
        <f>CONCATENATE(VLOOKUP($D156,CODIFICACIÓN_DPA!$A$2:$B$66,2,FALSE),VLOOKUP($G156,CODIFICACIÓN_DPA!$D$2:$E$6,2,FALSE),CONCATENATE(VLOOKUP($E156,CODIFICACIÓN_DPA!$G$2:$H$3,2,FALSE),VLOOKUP($F156,CODIFICACIÓN_DPA!$J$2:$K$10,2,FALSE)),A156)</f>
        <v>170123GA0102156</v>
      </c>
      <c r="D156" s="32" t="s">
        <v>84</v>
      </c>
      <c r="E156" s="32" t="s">
        <v>12</v>
      </c>
      <c r="F156" s="32" t="s">
        <v>21</v>
      </c>
      <c r="G156" s="32" t="s">
        <v>17</v>
      </c>
      <c r="H156" s="32" t="s">
        <v>1336</v>
      </c>
      <c r="I156" s="32" t="s">
        <v>1337</v>
      </c>
      <c r="J156" s="32" t="s">
        <v>1338</v>
      </c>
      <c r="K156" s="35" t="s">
        <v>1339</v>
      </c>
      <c r="L156" s="35" t="s">
        <v>1340</v>
      </c>
      <c r="M156" s="32"/>
      <c r="N156" s="32" t="s">
        <v>1341</v>
      </c>
      <c r="O156" s="56" t="s">
        <v>1160</v>
      </c>
      <c r="P156" s="32" t="s">
        <v>1342</v>
      </c>
      <c r="Q156" s="32"/>
      <c r="R156" s="42" t="s">
        <v>1343</v>
      </c>
    </row>
    <row r="157" spans="1:18" ht="15.75" customHeight="1" x14ac:dyDescent="0.25">
      <c r="A157" s="32">
        <v>157</v>
      </c>
      <c r="B157" s="32" t="s">
        <v>202</v>
      </c>
      <c r="C157" s="74" t="str">
        <f>CONCATENATE(VLOOKUP($D157,CODIFICACIÓN_DPA!$A$2:$B$66,2,FALSE),VLOOKUP($G157,CODIFICACIÓN_DPA!$D$2:$E$6,2,FALSE),CONCATENATE(VLOOKUP($E157,CODIFICACIÓN_DPA!$G$2:$H$3,2,FALSE),VLOOKUP($F157,CODIFICACIÓN_DPA!$J$2:$K$10,2,FALSE)),A157)</f>
        <v>170155CO0209157</v>
      </c>
      <c r="D157" s="32" t="s">
        <v>118</v>
      </c>
      <c r="E157" s="32" t="s">
        <v>19</v>
      </c>
      <c r="F157" s="32" t="s">
        <v>54</v>
      </c>
      <c r="G157" s="32" t="s">
        <v>36</v>
      </c>
      <c r="H157" s="92" t="s">
        <v>1344</v>
      </c>
      <c r="I157" s="99" t="s">
        <v>1345</v>
      </c>
      <c r="J157" s="32" t="s">
        <v>1346</v>
      </c>
      <c r="K157" s="35">
        <v>-0.11948303221520799</v>
      </c>
      <c r="L157" s="35">
        <v>-78.430293228832198</v>
      </c>
      <c r="M157" s="32" t="s">
        <v>1347</v>
      </c>
      <c r="N157" s="32" t="s">
        <v>1348</v>
      </c>
      <c r="O157" s="32"/>
      <c r="P157" s="32"/>
      <c r="Q157" s="32"/>
      <c r="R157" s="100" t="s">
        <v>1349</v>
      </c>
    </row>
    <row r="158" spans="1:18" ht="15.75" customHeight="1" x14ac:dyDescent="0.25">
      <c r="A158" s="32">
        <v>158</v>
      </c>
      <c r="B158" s="32" t="s">
        <v>202</v>
      </c>
      <c r="C158" s="74" t="str">
        <f>CONCATENATE(VLOOKUP($D158,CODIFICACIÓN_DPA!$A$2:$B$66,2,FALSE),VLOOKUP($G158,CODIFICACIÓN_DPA!$D$2:$E$6,2,FALSE),CONCATENATE(VLOOKUP($E158,CODIFICACIÓN_DPA!$G$2:$H$3,2,FALSE),VLOOKUP($F158,CODIFICACIÓN_DPA!$J$2:$K$10,2,FALSE)),A158)</f>
        <v>170155GA0209158</v>
      </c>
      <c r="D158" s="32" t="s">
        <v>118</v>
      </c>
      <c r="E158" s="32" t="s">
        <v>19</v>
      </c>
      <c r="F158" s="32" t="s">
        <v>54</v>
      </c>
      <c r="G158" s="32" t="s">
        <v>17</v>
      </c>
      <c r="H158" s="101" t="s">
        <v>1350</v>
      </c>
      <c r="I158" s="99" t="s">
        <v>1351</v>
      </c>
      <c r="J158" s="32" t="s">
        <v>1352</v>
      </c>
      <c r="K158" s="35">
        <v>-0.12594906106300199</v>
      </c>
      <c r="L158" s="35">
        <v>-78.427509586506602</v>
      </c>
      <c r="M158" s="32" t="s">
        <v>1353</v>
      </c>
      <c r="N158" s="32" t="s">
        <v>1354</v>
      </c>
      <c r="O158" s="32"/>
      <c r="P158" s="32"/>
      <c r="Q158" s="32"/>
      <c r="R158" s="102" t="s">
        <v>1355</v>
      </c>
    </row>
    <row r="159" spans="1:18" ht="15.75" customHeight="1" x14ac:dyDescent="0.25">
      <c r="A159" s="32">
        <v>159</v>
      </c>
      <c r="B159" s="32" t="s">
        <v>202</v>
      </c>
      <c r="C159" s="74" t="str">
        <f>CONCATENATE(VLOOKUP($D159,CODIFICACIÓN_DPA!$A$2:$B$66,2,FALSE),VLOOKUP($G159,CODIFICACIÓN_DPA!$D$2:$E$6,2,FALSE),CONCATENATE(VLOOKUP($E159,CODIFICACIÓN_DPA!$G$2:$H$3,2,FALSE),VLOOKUP($F159,CODIFICACIÓN_DPA!$J$2:$K$10,2,FALSE)),A159)</f>
        <v>170155GA0209159</v>
      </c>
      <c r="D159" s="32" t="s">
        <v>118</v>
      </c>
      <c r="E159" s="32" t="s">
        <v>19</v>
      </c>
      <c r="F159" s="32" t="s">
        <v>54</v>
      </c>
      <c r="G159" s="32" t="s">
        <v>17</v>
      </c>
      <c r="H159" s="101" t="s">
        <v>1356</v>
      </c>
      <c r="I159" s="37" t="s">
        <v>1357</v>
      </c>
      <c r="J159" s="32" t="s">
        <v>1358</v>
      </c>
      <c r="K159" s="35">
        <v>-0.11814457458079999</v>
      </c>
      <c r="L159" s="35">
        <v>-78.432198528836594</v>
      </c>
      <c r="M159" s="32" t="s">
        <v>1347</v>
      </c>
      <c r="N159" s="32" t="s">
        <v>923</v>
      </c>
      <c r="O159" s="32"/>
      <c r="P159" s="32"/>
      <c r="Q159" s="32"/>
      <c r="R159" s="32" t="s">
        <v>1359</v>
      </c>
    </row>
    <row r="160" spans="1:18" ht="15.75" customHeight="1" x14ac:dyDescent="0.25">
      <c r="A160" s="32">
        <v>160</v>
      </c>
      <c r="B160" s="32" t="s">
        <v>202</v>
      </c>
      <c r="C160" s="74" t="str">
        <f>CONCATENATE(VLOOKUP($D160,CODIFICACIÓN_DPA!$A$2:$B$66,2,FALSE),VLOOKUP($G160,CODIFICACIÓN_DPA!$D$2:$E$6,2,FALSE),CONCATENATE(VLOOKUP($E160,CODIFICACIÓN_DPA!$G$2:$H$3,2,FALSE),VLOOKUP($F160,CODIFICACIÓN_DPA!$J$2:$K$10,2,FALSE)),A160)</f>
        <v>170155GA0209160</v>
      </c>
      <c r="D160" s="32" t="s">
        <v>118</v>
      </c>
      <c r="E160" s="32" t="s">
        <v>19</v>
      </c>
      <c r="F160" s="32" t="s">
        <v>54</v>
      </c>
      <c r="G160" s="32" t="s">
        <v>17</v>
      </c>
      <c r="H160" s="103" t="s">
        <v>1360</v>
      </c>
      <c r="I160" s="104" t="s">
        <v>1361</v>
      </c>
      <c r="J160" s="32" t="s">
        <v>1346</v>
      </c>
      <c r="K160" s="35">
        <v>-0.11948303221520799</v>
      </c>
      <c r="L160" s="35">
        <v>-78.430293228832198</v>
      </c>
      <c r="M160" s="32" t="s">
        <v>1353</v>
      </c>
      <c r="N160" s="32" t="s">
        <v>1348</v>
      </c>
      <c r="O160" s="32"/>
      <c r="P160" s="32"/>
      <c r="Q160" s="32"/>
      <c r="R160" s="32"/>
    </row>
    <row r="161" spans="1:18" ht="15.75" customHeight="1" x14ac:dyDescent="0.25">
      <c r="A161" s="32">
        <v>161</v>
      </c>
      <c r="B161" s="32" t="s">
        <v>202</v>
      </c>
      <c r="C161" s="74" t="str">
        <f>CONCATENATE(VLOOKUP($D161,CODIFICACIÓN_DPA!$A$2:$B$66,2,FALSE),VLOOKUP($G161,CODIFICACIÓN_DPA!$D$2:$E$6,2,FALSE),CONCATENATE(VLOOKUP($E161,CODIFICACIÓN_DPA!$G$2:$H$3,2,FALSE),VLOOKUP($F161,CODIFICACIÓN_DPA!$J$2:$K$10,2,FALSE)),A161)</f>
        <v>170123GA0102161</v>
      </c>
      <c r="D161" s="32" t="s">
        <v>84</v>
      </c>
      <c r="E161" s="32" t="s">
        <v>12</v>
      </c>
      <c r="F161" s="32" t="s">
        <v>21</v>
      </c>
      <c r="G161" s="32" t="s">
        <v>17</v>
      </c>
      <c r="H161" s="32" t="s">
        <v>1362</v>
      </c>
      <c r="I161" s="32" t="s">
        <v>1363</v>
      </c>
      <c r="J161" s="32" t="s">
        <v>1364</v>
      </c>
      <c r="K161" s="35">
        <v>-0.20538004400000001</v>
      </c>
      <c r="L161" s="35">
        <v>-78.480465190000004</v>
      </c>
      <c r="M161" s="32" t="s">
        <v>1365</v>
      </c>
      <c r="N161" s="32" t="s">
        <v>1366</v>
      </c>
      <c r="O161" s="32" t="s">
        <v>1367</v>
      </c>
      <c r="P161" s="32" t="s">
        <v>925</v>
      </c>
      <c r="Q161" s="32"/>
      <c r="R161" s="32" t="s">
        <v>1368</v>
      </c>
    </row>
    <row r="162" spans="1:18" ht="15.75" customHeight="1" x14ac:dyDescent="0.25">
      <c r="A162" s="32">
        <v>162</v>
      </c>
      <c r="B162" s="32" t="s">
        <v>202</v>
      </c>
      <c r="C162" s="74" t="str">
        <f>CONCATENATE(VLOOKUP($D162,CODIFICACIÓN_DPA!$A$2:$B$66,2,FALSE),VLOOKUP($G162,CODIFICACIÓN_DPA!$D$2:$E$6,2,FALSE),CONCATENATE(VLOOKUP($E162,CODIFICACIÓN_DPA!$G$2:$H$3,2,FALSE),VLOOKUP($F162,CODIFICACIÓN_DPA!$J$2:$K$10,2,FALSE)),A162)</f>
        <v>170123GA0102162</v>
      </c>
      <c r="D162" s="32" t="s">
        <v>84</v>
      </c>
      <c r="E162" s="32" t="s">
        <v>12</v>
      </c>
      <c r="F162" s="32" t="s">
        <v>21</v>
      </c>
      <c r="G162" s="32" t="s">
        <v>17</v>
      </c>
      <c r="H162" s="32" t="s">
        <v>1369</v>
      </c>
      <c r="I162" s="32" t="s">
        <v>1370</v>
      </c>
      <c r="J162" s="32" t="s">
        <v>1371</v>
      </c>
      <c r="K162" s="35">
        <v>-0.20587671099999999</v>
      </c>
      <c r="L162" s="35">
        <v>-78.480620900000005</v>
      </c>
      <c r="M162" s="32" t="s">
        <v>1372</v>
      </c>
      <c r="N162" s="32" t="s">
        <v>1373</v>
      </c>
      <c r="O162" s="32" t="s">
        <v>1374</v>
      </c>
      <c r="P162" s="32" t="s">
        <v>925</v>
      </c>
      <c r="Q162" s="32"/>
      <c r="R162" s="32" t="s">
        <v>1375</v>
      </c>
    </row>
    <row r="163" spans="1:18" ht="15.75" customHeight="1" x14ac:dyDescent="0.25">
      <c r="A163" s="32">
        <v>163</v>
      </c>
      <c r="B163" s="32" t="s">
        <v>202</v>
      </c>
      <c r="C163" s="74" t="str">
        <f>CONCATENATE(VLOOKUP($D163,CODIFICACIÓN_DPA!$A$2:$B$66,2,FALSE),VLOOKUP($G163,CODIFICACIÓN_DPA!$D$2:$E$6,2,FALSE),CONCATENATE(VLOOKUP($E163,CODIFICACIÓN_DPA!$G$2:$H$3,2,FALSE),VLOOKUP($F163,CODIFICACIÓN_DPA!$J$2:$K$10,2,FALSE)),A163)</f>
        <v>170123GA0102163</v>
      </c>
      <c r="D163" s="32" t="s">
        <v>84</v>
      </c>
      <c r="E163" s="32" t="s">
        <v>12</v>
      </c>
      <c r="F163" s="32" t="s">
        <v>21</v>
      </c>
      <c r="G163" s="32" t="s">
        <v>17</v>
      </c>
      <c r="H163" s="32" t="s">
        <v>1376</v>
      </c>
      <c r="I163" s="32" t="s">
        <v>1377</v>
      </c>
      <c r="J163" s="32" t="s">
        <v>1378</v>
      </c>
      <c r="K163" s="35">
        <v>-0.206622853</v>
      </c>
      <c r="L163" s="35">
        <v>-78.482598449999998</v>
      </c>
      <c r="M163" s="32" t="s">
        <v>1379</v>
      </c>
      <c r="N163" s="32" t="s">
        <v>1380</v>
      </c>
      <c r="O163" s="32" t="s">
        <v>1381</v>
      </c>
      <c r="P163" s="32" t="s">
        <v>925</v>
      </c>
      <c r="Q163" s="32"/>
      <c r="R163" s="32" t="s">
        <v>1382</v>
      </c>
    </row>
    <row r="164" spans="1:18" ht="15.75" customHeight="1" x14ac:dyDescent="0.25">
      <c r="A164" s="32">
        <v>164</v>
      </c>
      <c r="B164" s="32" t="s">
        <v>202</v>
      </c>
      <c r="C164" s="74" t="str">
        <f>CONCATENATE(VLOOKUP($D164,CODIFICACIÓN_DPA!$A$2:$B$66,2,FALSE),VLOOKUP($G164,CODIFICACIÓN_DPA!$D$2:$E$6,2,FALSE),CONCATENATE(VLOOKUP($E164,CODIFICACIÓN_DPA!$G$2:$H$3,2,FALSE),VLOOKUP($F164,CODIFICACIÓN_DPA!$J$2:$K$10,2,FALSE)),A164)</f>
        <v>170123GA0102164</v>
      </c>
      <c r="D164" s="32" t="s">
        <v>84</v>
      </c>
      <c r="E164" s="32" t="s">
        <v>12</v>
      </c>
      <c r="F164" s="32" t="s">
        <v>21</v>
      </c>
      <c r="G164" s="32" t="s">
        <v>17</v>
      </c>
      <c r="H164" s="32" t="s">
        <v>1383</v>
      </c>
      <c r="I164" s="32" t="s">
        <v>1384</v>
      </c>
      <c r="J164" s="32" t="s">
        <v>1385</v>
      </c>
      <c r="K164" s="35">
        <v>-0.206987372</v>
      </c>
      <c r="L164" s="35">
        <v>-78.482785899999996</v>
      </c>
      <c r="M164" s="32" t="s">
        <v>1386</v>
      </c>
      <c r="N164" s="32" t="s">
        <v>1387</v>
      </c>
      <c r="O164" s="32" t="s">
        <v>1388</v>
      </c>
      <c r="P164" s="32" t="s">
        <v>925</v>
      </c>
      <c r="Q164" s="32"/>
      <c r="R164" s="32" t="s">
        <v>1389</v>
      </c>
    </row>
    <row r="165" spans="1:18" ht="15.75" customHeight="1" x14ac:dyDescent="0.25">
      <c r="A165" s="32">
        <v>165</v>
      </c>
      <c r="B165" s="32" t="s">
        <v>202</v>
      </c>
      <c r="C165" s="74" t="str">
        <f>CONCATENATE(VLOOKUP($D165,CODIFICACIÓN_DPA!$A$2:$B$66,2,FALSE),VLOOKUP($G165,CODIFICACIÓN_DPA!$D$2:$E$6,2,FALSE),CONCATENATE(VLOOKUP($E165,CODIFICACIÓN_DPA!$G$2:$H$3,2,FALSE),VLOOKUP($F165,CODIFICACIÓN_DPA!$J$2:$K$10,2,FALSE)),A165)</f>
        <v>170123GA0102165</v>
      </c>
      <c r="D165" s="32" t="s">
        <v>84</v>
      </c>
      <c r="E165" s="32" t="s">
        <v>12</v>
      </c>
      <c r="F165" s="32" t="s">
        <v>21</v>
      </c>
      <c r="G165" s="32" t="s">
        <v>17</v>
      </c>
      <c r="H165" s="32" t="s">
        <v>1390</v>
      </c>
      <c r="I165" s="32" t="s">
        <v>1391</v>
      </c>
      <c r="J165" s="32" t="s">
        <v>1392</v>
      </c>
      <c r="K165" s="35">
        <v>-0.20773493600000001</v>
      </c>
      <c r="L165" s="35">
        <v>-78.483633810000001</v>
      </c>
      <c r="M165" s="32" t="s">
        <v>1365</v>
      </c>
      <c r="N165" s="32" t="s">
        <v>1393</v>
      </c>
      <c r="O165" s="32" t="s">
        <v>1394</v>
      </c>
      <c r="P165" s="32" t="s">
        <v>925</v>
      </c>
      <c r="Q165" s="32"/>
      <c r="R165" s="32" t="s">
        <v>1395</v>
      </c>
    </row>
    <row r="166" spans="1:18" ht="15.75" customHeight="1" x14ac:dyDescent="0.25">
      <c r="A166" s="32">
        <v>166</v>
      </c>
      <c r="B166" s="32" t="s">
        <v>202</v>
      </c>
      <c r="C166" s="74" t="str">
        <f>CONCATENATE(VLOOKUP($D166,CODIFICACIÓN_DPA!$A$2:$B$66,2,FALSE),VLOOKUP($G166,CODIFICACIÓN_DPA!$D$2:$E$6,2,FALSE),CONCATENATE(VLOOKUP($E166,CODIFICACIÓN_DPA!$G$2:$H$3,2,FALSE),VLOOKUP($F166,CODIFICACIÓN_DPA!$J$2:$K$10,2,FALSE)),A166)</f>
        <v>170123GA0102166</v>
      </c>
      <c r="D166" s="32" t="s">
        <v>84</v>
      </c>
      <c r="E166" s="32" t="s">
        <v>12</v>
      </c>
      <c r="F166" s="32" t="s">
        <v>21</v>
      </c>
      <c r="G166" s="32" t="s">
        <v>17</v>
      </c>
      <c r="H166" s="32" t="s">
        <v>1396</v>
      </c>
      <c r="I166" s="32" t="s">
        <v>1397</v>
      </c>
      <c r="J166" s="32" t="s">
        <v>1398</v>
      </c>
      <c r="K166" s="35">
        <v>-0.20754710500000001</v>
      </c>
      <c r="L166" s="35">
        <v>-78.482819259999999</v>
      </c>
      <c r="M166" s="32" t="s">
        <v>1399</v>
      </c>
      <c r="N166" s="32" t="s">
        <v>1400</v>
      </c>
      <c r="O166" s="32" t="s">
        <v>1394</v>
      </c>
      <c r="P166" s="32" t="s">
        <v>925</v>
      </c>
      <c r="Q166" s="32"/>
      <c r="R166" s="32" t="s">
        <v>1401</v>
      </c>
    </row>
    <row r="167" spans="1:18" ht="15.75" customHeight="1" x14ac:dyDescent="0.25">
      <c r="A167" s="32">
        <v>167</v>
      </c>
      <c r="B167" s="32" t="s">
        <v>202</v>
      </c>
      <c r="C167" s="74" t="str">
        <f>CONCATENATE(VLOOKUP($D167,CODIFICACIÓN_DPA!$A$2:$B$66,2,FALSE),VLOOKUP($G167,CODIFICACIÓN_DPA!$D$2:$E$6,2,FALSE),CONCATENATE(VLOOKUP($E167,CODIFICACIÓN_DPA!$G$2:$H$3,2,FALSE),VLOOKUP($F167,CODIFICACIÓN_DPA!$J$2:$K$10,2,FALSE)),A167)</f>
        <v>170123GA0102167</v>
      </c>
      <c r="D167" s="32" t="s">
        <v>84</v>
      </c>
      <c r="E167" s="32" t="s">
        <v>12</v>
      </c>
      <c r="F167" s="32" t="s">
        <v>21</v>
      </c>
      <c r="G167" s="32" t="s">
        <v>17</v>
      </c>
      <c r="H167" s="32" t="s">
        <v>1402</v>
      </c>
      <c r="I167" s="32" t="s">
        <v>1403</v>
      </c>
      <c r="J167" s="32" t="s">
        <v>1398</v>
      </c>
      <c r="K167" s="35">
        <v>-0.20724584099999999</v>
      </c>
      <c r="L167" s="35">
        <v>-78.48277684</v>
      </c>
      <c r="M167" s="32" t="s">
        <v>1404</v>
      </c>
      <c r="N167" s="32" t="s">
        <v>1405</v>
      </c>
      <c r="O167" s="32" t="s">
        <v>1394</v>
      </c>
      <c r="P167" s="32" t="s">
        <v>925</v>
      </c>
      <c r="Q167" s="32"/>
      <c r="R167" s="32" t="s">
        <v>1406</v>
      </c>
    </row>
    <row r="168" spans="1:18" ht="15.75" customHeight="1" x14ac:dyDescent="0.25">
      <c r="A168" s="32">
        <v>168</v>
      </c>
      <c r="B168" s="32" t="s">
        <v>202</v>
      </c>
      <c r="C168" s="74" t="str">
        <f>CONCATENATE(VLOOKUP($D168,CODIFICACIÓN_DPA!$A$2:$B$66,2,FALSE),VLOOKUP($G168,CODIFICACIÓN_DPA!$D$2:$E$6,2,FALSE),CONCATENATE(VLOOKUP($E168,CODIFICACIÓN_DPA!$G$2:$H$3,2,FALSE),VLOOKUP($F168,CODIFICACIÓN_DPA!$J$2:$K$10,2,FALSE)),A168)</f>
        <v>170123GA0102168</v>
      </c>
      <c r="D168" s="32" t="s">
        <v>84</v>
      </c>
      <c r="E168" s="32" t="s">
        <v>12</v>
      </c>
      <c r="F168" s="32" t="s">
        <v>21</v>
      </c>
      <c r="G168" s="32" t="s">
        <v>17</v>
      </c>
      <c r="H168" s="32" t="s">
        <v>1407</v>
      </c>
      <c r="I168" s="32" t="s">
        <v>1408</v>
      </c>
      <c r="J168" s="32" t="s">
        <v>1409</v>
      </c>
      <c r="K168" s="35">
        <v>-0.209085936</v>
      </c>
      <c r="L168" s="35">
        <v>-78.483183920000002</v>
      </c>
      <c r="M168" s="32" t="s">
        <v>1399</v>
      </c>
      <c r="N168" s="32" t="s">
        <v>1410</v>
      </c>
      <c r="O168" s="32" t="s">
        <v>1411</v>
      </c>
      <c r="P168" s="32" t="s">
        <v>925</v>
      </c>
      <c r="Q168" s="32"/>
      <c r="R168" s="32" t="s">
        <v>1412</v>
      </c>
    </row>
    <row r="169" spans="1:18" ht="15.75" customHeight="1" x14ac:dyDescent="0.25">
      <c r="A169" s="32">
        <v>169</v>
      </c>
      <c r="B169" s="32" t="s">
        <v>202</v>
      </c>
      <c r="C169" s="74" t="str">
        <f>CONCATENATE(VLOOKUP($D169,CODIFICACIÓN_DPA!$A$2:$B$66,2,FALSE),VLOOKUP($G169,CODIFICACIÓN_DPA!$D$2:$E$6,2,FALSE),CONCATENATE(VLOOKUP($E169,CODIFICACIÓN_DPA!$G$2:$H$3,2,FALSE),VLOOKUP($F169,CODIFICACIÓN_DPA!$J$2:$K$10,2,FALSE)),A169)</f>
        <v>170123GA0102169</v>
      </c>
      <c r="D169" s="32" t="s">
        <v>84</v>
      </c>
      <c r="E169" s="32" t="s">
        <v>12</v>
      </c>
      <c r="F169" s="32" t="s">
        <v>21</v>
      </c>
      <c r="G169" s="32" t="s">
        <v>17</v>
      </c>
      <c r="H169" s="32" t="s">
        <v>1413</v>
      </c>
      <c r="I169" s="32" t="s">
        <v>1414</v>
      </c>
      <c r="J169" s="32" t="s">
        <v>1415</v>
      </c>
      <c r="K169" s="35">
        <v>-0.20953686399999999</v>
      </c>
      <c r="L169" s="35">
        <v>-78.483113259999996</v>
      </c>
      <c r="M169" s="32" t="s">
        <v>1416</v>
      </c>
      <c r="N169" s="32" t="s">
        <v>1417</v>
      </c>
      <c r="O169" s="32" t="s">
        <v>1418</v>
      </c>
      <c r="P169" s="32" t="s">
        <v>925</v>
      </c>
      <c r="Q169" s="32"/>
      <c r="R169" s="32" t="s">
        <v>1419</v>
      </c>
    </row>
    <row r="170" spans="1:18" ht="15.75" customHeight="1" x14ac:dyDescent="0.25">
      <c r="A170" s="32">
        <v>170</v>
      </c>
      <c r="B170" s="32" t="s">
        <v>202</v>
      </c>
      <c r="C170" s="74" t="str">
        <f>CONCATENATE(VLOOKUP($D170,CODIFICACIÓN_DPA!$A$2:$B$66,2,FALSE),VLOOKUP($G170,CODIFICACIÓN_DPA!$D$2:$E$6,2,FALSE),CONCATENATE(VLOOKUP($E170,CODIFICACIÓN_DPA!$G$2:$H$3,2,FALSE),VLOOKUP($F170,CODIFICACIÓN_DPA!$J$2:$K$10,2,FALSE)),A170)</f>
        <v>170123GA0102170</v>
      </c>
      <c r="D170" s="32" t="s">
        <v>84</v>
      </c>
      <c r="E170" s="32" t="s">
        <v>12</v>
      </c>
      <c r="F170" s="32" t="s">
        <v>21</v>
      </c>
      <c r="G170" s="32" t="s">
        <v>17</v>
      </c>
      <c r="H170" s="32" t="s">
        <v>1420</v>
      </c>
      <c r="I170" s="32" t="s">
        <v>1421</v>
      </c>
      <c r="J170" s="32" t="s">
        <v>1422</v>
      </c>
      <c r="K170" s="35">
        <v>-0.20870559299999999</v>
      </c>
      <c r="L170" s="35">
        <v>-78.484095909999994</v>
      </c>
      <c r="M170" s="32" t="s">
        <v>1423</v>
      </c>
      <c r="N170" s="32" t="s">
        <v>1424</v>
      </c>
      <c r="O170" s="32" t="s">
        <v>1425</v>
      </c>
      <c r="P170" s="32" t="s">
        <v>1426</v>
      </c>
      <c r="Q170" s="32"/>
      <c r="R170" s="32" t="s">
        <v>1427</v>
      </c>
    </row>
    <row r="171" spans="1:18" ht="15.75" customHeight="1" x14ac:dyDescent="0.25">
      <c r="A171" s="32">
        <v>171</v>
      </c>
      <c r="B171" s="32" t="s">
        <v>202</v>
      </c>
      <c r="C171" s="74" t="str">
        <f>CONCATENATE(VLOOKUP($D171,CODIFICACIÓN_DPA!$A$2:$B$66,2,FALSE),VLOOKUP($G171,CODIFICACIÓN_DPA!$D$2:$E$6,2,FALSE),CONCATENATE(VLOOKUP($E171,CODIFICACIÓN_DPA!$G$2:$H$3,2,FALSE),VLOOKUP($F171,CODIFICACIÓN_DPA!$J$2:$K$10,2,FALSE)),A171)</f>
        <v>170123GA0102171</v>
      </c>
      <c r="D171" s="32" t="s">
        <v>84</v>
      </c>
      <c r="E171" s="32" t="s">
        <v>12</v>
      </c>
      <c r="F171" s="32" t="s">
        <v>21</v>
      </c>
      <c r="G171" s="32" t="s">
        <v>17</v>
      </c>
      <c r="H171" s="32" t="s">
        <v>1428</v>
      </c>
      <c r="I171" s="32" t="s">
        <v>1429</v>
      </c>
      <c r="J171" s="32" t="s">
        <v>1430</v>
      </c>
      <c r="K171" s="35">
        <v>-0.20846424799999999</v>
      </c>
      <c r="L171" s="35">
        <v>-78.48450364</v>
      </c>
      <c r="M171" s="32" t="s">
        <v>1431</v>
      </c>
      <c r="N171" s="32" t="s">
        <v>1432</v>
      </c>
      <c r="O171" s="32" t="s">
        <v>1418</v>
      </c>
      <c r="P171" s="32" t="s">
        <v>925</v>
      </c>
      <c r="Q171" s="32"/>
      <c r="R171" s="32" t="s">
        <v>1433</v>
      </c>
    </row>
    <row r="172" spans="1:18" ht="15.75" customHeight="1" x14ac:dyDescent="0.25">
      <c r="A172" s="32">
        <v>172</v>
      </c>
      <c r="B172" s="32" t="s">
        <v>202</v>
      </c>
      <c r="C172" s="74" t="str">
        <f>CONCATENATE(VLOOKUP($D172,CODIFICACIÓN_DPA!$A$2:$B$66,2,FALSE),VLOOKUP($G172,CODIFICACIÓN_DPA!$D$2:$E$6,2,FALSE),CONCATENATE(VLOOKUP($E172,CODIFICACIÓN_DPA!$G$2:$H$3,2,FALSE),VLOOKUP($F172,CODIFICACIÓN_DPA!$J$2:$K$10,2,FALSE)),A172)</f>
        <v>170123GA0102172</v>
      </c>
      <c r="D172" s="32" t="s">
        <v>84</v>
      </c>
      <c r="E172" s="32" t="s">
        <v>12</v>
      </c>
      <c r="F172" s="32" t="s">
        <v>21</v>
      </c>
      <c r="G172" s="32" t="s">
        <v>17</v>
      </c>
      <c r="H172" s="32" t="s">
        <v>1434</v>
      </c>
      <c r="I172" s="32" t="s">
        <v>1435</v>
      </c>
      <c r="J172" s="32" t="s">
        <v>1436</v>
      </c>
      <c r="K172" s="35">
        <v>-0.20627377399999999</v>
      </c>
      <c r="L172" s="35">
        <v>-78.483423149999993</v>
      </c>
      <c r="M172" s="32" t="s">
        <v>1437</v>
      </c>
      <c r="N172" s="32" t="s">
        <v>1438</v>
      </c>
      <c r="O172" s="32" t="s">
        <v>1439</v>
      </c>
      <c r="P172" s="32" t="s">
        <v>925</v>
      </c>
      <c r="Q172" s="32"/>
      <c r="R172" s="32" t="s">
        <v>1440</v>
      </c>
    </row>
    <row r="173" spans="1:18" ht="15.75" customHeight="1" x14ac:dyDescent="0.25">
      <c r="A173" s="32">
        <v>173</v>
      </c>
      <c r="B173" s="32" t="s">
        <v>202</v>
      </c>
      <c r="C173" s="74" t="str">
        <f>CONCATENATE(VLOOKUP($D173,CODIFICACIÓN_DPA!$A$2:$B$66,2,FALSE),VLOOKUP($G173,CODIFICACIÓN_DPA!$D$2:$E$6,2,FALSE),CONCATENATE(VLOOKUP($E173,CODIFICACIÓN_DPA!$G$2:$H$3,2,FALSE),VLOOKUP($F173,CODIFICACIÓN_DPA!$J$2:$K$10,2,FALSE)),A173)</f>
        <v>170123GA0102173</v>
      </c>
      <c r="D173" s="32" t="s">
        <v>84</v>
      </c>
      <c r="E173" s="32" t="s">
        <v>12</v>
      </c>
      <c r="F173" s="32" t="s">
        <v>21</v>
      </c>
      <c r="G173" s="32" t="s">
        <v>17</v>
      </c>
      <c r="H173" s="32" t="s">
        <v>1441</v>
      </c>
      <c r="I173" s="32" t="s">
        <v>1442</v>
      </c>
      <c r="J173" s="32" t="s">
        <v>1443</v>
      </c>
      <c r="K173" s="35">
        <v>-0.205842829</v>
      </c>
      <c r="L173" s="35">
        <v>-78.483361430000002</v>
      </c>
      <c r="M173" s="32" t="s">
        <v>1399</v>
      </c>
      <c r="N173" s="32" t="s">
        <v>1444</v>
      </c>
      <c r="O173" s="32" t="s">
        <v>1445</v>
      </c>
      <c r="P173" s="32" t="s">
        <v>925</v>
      </c>
      <c r="Q173" s="32"/>
      <c r="R173" s="32" t="s">
        <v>1394</v>
      </c>
    </row>
    <row r="174" spans="1:18" ht="15.75" customHeight="1" x14ac:dyDescent="0.25">
      <c r="A174" s="32">
        <v>174</v>
      </c>
      <c r="B174" s="32" t="s">
        <v>202</v>
      </c>
      <c r="C174" s="74" t="str">
        <f>CONCATENATE(VLOOKUP($D174,CODIFICACIÓN_DPA!$A$2:$B$66,2,FALSE),VLOOKUP($G174,CODIFICACIÓN_DPA!$D$2:$E$6,2,FALSE),CONCATENATE(VLOOKUP($E174,CODIFICACIÓN_DPA!$G$2:$H$3,2,FALSE),VLOOKUP($F174,CODIFICACIÓN_DPA!$J$2:$K$10,2,FALSE)),A174)</f>
        <v>170123GA0102174</v>
      </c>
      <c r="D174" s="32" t="s">
        <v>84</v>
      </c>
      <c r="E174" s="32" t="s">
        <v>12</v>
      </c>
      <c r="F174" s="32" t="s">
        <v>21</v>
      </c>
      <c r="G174" s="32" t="s">
        <v>17</v>
      </c>
      <c r="H174" s="32" t="s">
        <v>1446</v>
      </c>
      <c r="I174" s="32" t="s">
        <v>1447</v>
      </c>
      <c r="J174" s="32" t="s">
        <v>1448</v>
      </c>
      <c r="K174" s="35">
        <v>-0.206623268</v>
      </c>
      <c r="L174" s="35">
        <v>-78.485706980000003</v>
      </c>
      <c r="M174" s="32" t="s">
        <v>1379</v>
      </c>
      <c r="N174" s="32" t="s">
        <v>1449</v>
      </c>
      <c r="O174" s="32" t="s">
        <v>1450</v>
      </c>
      <c r="P174" s="32" t="s">
        <v>925</v>
      </c>
      <c r="Q174" s="32"/>
      <c r="R174" s="32" t="s">
        <v>1451</v>
      </c>
    </row>
    <row r="175" spans="1:18" ht="15.75" customHeight="1" x14ac:dyDescent="0.25">
      <c r="A175" s="32">
        <v>175</v>
      </c>
      <c r="B175" s="32" t="s">
        <v>430</v>
      </c>
      <c r="C175" s="74" t="str">
        <f>CONCATENATE(VLOOKUP($D175,CODIFICACIÓN_DPA!$A$2:$B$66,2,FALSE),VLOOKUP($G175,CODIFICACIÓN_DPA!$D$2:$E$6,2,FALSE),CONCATENATE(VLOOKUP($E175,CODIFICACIÓN_DPA!$G$2:$H$3,2,FALSE),VLOOKUP($F175,CODIFICACIÓN_DPA!$J$2:$K$10,2,FALSE)),A175)</f>
        <v>170123GA0102175</v>
      </c>
      <c r="D175" s="32" t="s">
        <v>84</v>
      </c>
      <c r="E175" s="32" t="s">
        <v>12</v>
      </c>
      <c r="F175" s="32" t="s">
        <v>21</v>
      </c>
      <c r="G175" s="32" t="s">
        <v>17</v>
      </c>
      <c r="H175" s="32" t="s">
        <v>1452</v>
      </c>
      <c r="I175" s="32" t="s">
        <v>1453</v>
      </c>
      <c r="J175" s="32" t="s">
        <v>1454</v>
      </c>
      <c r="K175" s="105">
        <v>-0.20577573399999999</v>
      </c>
      <c r="L175" s="106">
        <v>-78.484625120000004</v>
      </c>
      <c r="M175" s="32" t="s">
        <v>1455</v>
      </c>
      <c r="N175" s="32" t="s">
        <v>1456</v>
      </c>
      <c r="O175" s="32" t="s">
        <v>1457</v>
      </c>
      <c r="P175" s="32" t="s">
        <v>1458</v>
      </c>
      <c r="Q175" s="32"/>
      <c r="R175" s="32" t="s">
        <v>1459</v>
      </c>
    </row>
    <row r="176" spans="1:18" ht="15.75" customHeight="1" x14ac:dyDescent="0.25">
      <c r="A176" s="32">
        <v>176</v>
      </c>
      <c r="B176" s="32" t="s">
        <v>202</v>
      </c>
      <c r="C176" s="74" t="str">
        <f>CONCATENATE(VLOOKUP($D176,CODIFICACIÓN_DPA!$A$2:$B$66,2,FALSE),VLOOKUP($G176,CODIFICACIÓN_DPA!$D$2:$E$6,2,FALSE),CONCATENATE(VLOOKUP($E176,CODIFICACIÓN_DPA!$G$2:$H$3,2,FALSE),VLOOKUP($F176,CODIFICACIÓN_DPA!$J$2:$K$10,2,FALSE)),A176)</f>
        <v>170101GA0102176</v>
      </c>
      <c r="D176" s="32" t="s">
        <v>8</v>
      </c>
      <c r="E176" s="32" t="s">
        <v>12</v>
      </c>
      <c r="F176" s="32" t="s">
        <v>21</v>
      </c>
      <c r="G176" s="32" t="s">
        <v>17</v>
      </c>
      <c r="H176" s="32" t="s">
        <v>1460</v>
      </c>
      <c r="I176" s="32" t="s">
        <v>1461</v>
      </c>
      <c r="J176" s="32" t="s">
        <v>1462</v>
      </c>
      <c r="K176" s="35">
        <v>-0.193002921059895</v>
      </c>
      <c r="L176" s="35">
        <v>-78.499204275439197</v>
      </c>
      <c r="M176" s="32" t="s">
        <v>1399</v>
      </c>
      <c r="N176" s="32" t="s">
        <v>1463</v>
      </c>
      <c r="O176" s="32" t="s">
        <v>1464</v>
      </c>
      <c r="P176" s="32" t="s">
        <v>1426</v>
      </c>
      <c r="Q176" s="32"/>
      <c r="R176" s="32" t="s">
        <v>1465</v>
      </c>
    </row>
    <row r="177" spans="1:18" ht="15.75" customHeight="1" x14ac:dyDescent="0.25">
      <c r="A177" s="32">
        <v>177</v>
      </c>
      <c r="B177" s="32" t="s">
        <v>202</v>
      </c>
      <c r="C177" s="74" t="str">
        <f>CONCATENATE(VLOOKUP($D177,CODIFICACIÓN_DPA!$A$2:$B$66,2,FALSE),VLOOKUP($G177,CODIFICACIÓN_DPA!$D$2:$E$6,2,FALSE),CONCATENATE(VLOOKUP($E177,CODIFICACIÓN_DPA!$G$2:$H$3,2,FALSE),VLOOKUP($F177,CODIFICACIÓN_DPA!$J$2:$K$10,2,FALSE)),A177)</f>
        <v>170123GA0102177</v>
      </c>
      <c r="D177" s="32" t="s">
        <v>84</v>
      </c>
      <c r="E177" s="32" t="s">
        <v>12</v>
      </c>
      <c r="F177" s="32" t="s">
        <v>21</v>
      </c>
      <c r="G177" s="32" t="s">
        <v>17</v>
      </c>
      <c r="H177" s="32" t="s">
        <v>1466</v>
      </c>
      <c r="I177" s="32" t="s">
        <v>1467</v>
      </c>
      <c r="J177" s="32" t="s">
        <v>1468</v>
      </c>
      <c r="K177" s="35">
        <v>-0.20322131006992999</v>
      </c>
      <c r="L177" s="35">
        <v>-78.4951906910715</v>
      </c>
      <c r="M177" s="32" t="s">
        <v>1399</v>
      </c>
      <c r="N177" s="32" t="s">
        <v>1463</v>
      </c>
      <c r="O177" s="32" t="s">
        <v>1469</v>
      </c>
      <c r="P177" s="32" t="s">
        <v>1426</v>
      </c>
      <c r="Q177" s="32"/>
      <c r="R177" s="32" t="s">
        <v>1470</v>
      </c>
    </row>
    <row r="178" spans="1:18" ht="15.75" customHeight="1" x14ac:dyDescent="0.25">
      <c r="A178" s="32">
        <v>178</v>
      </c>
      <c r="B178" s="32" t="s">
        <v>202</v>
      </c>
      <c r="C178" s="74" t="str">
        <f>CONCATENATE(VLOOKUP($D178,CODIFICACIÓN_DPA!$A$2:$B$66,2,FALSE),VLOOKUP($G178,CODIFICACIÓN_DPA!$D$2:$E$6,2,FALSE),CONCATENATE(VLOOKUP($E178,CODIFICACIÓN_DPA!$G$2:$H$3,2,FALSE),VLOOKUP($F178,CODIFICACIÓN_DPA!$J$2:$K$10,2,FALSE)),A178)</f>
        <v>170156GA0207178</v>
      </c>
      <c r="D178" s="32" t="s">
        <v>120</v>
      </c>
      <c r="E178" s="32" t="s">
        <v>19</v>
      </c>
      <c r="F178" s="32" t="s">
        <v>46</v>
      </c>
      <c r="G178" s="32" t="s">
        <v>17</v>
      </c>
      <c r="H178" s="32" t="s">
        <v>1471</v>
      </c>
      <c r="I178" s="32" t="s">
        <v>1472</v>
      </c>
      <c r="J178" s="32" t="s">
        <v>1473</v>
      </c>
      <c r="K178" s="35">
        <v>-0.29911437326603801</v>
      </c>
      <c r="L178" s="35">
        <v>-78.466113951901306</v>
      </c>
      <c r="M178" s="32" t="s">
        <v>1399</v>
      </c>
      <c r="N178" s="32" t="s">
        <v>1463</v>
      </c>
      <c r="O178" s="32" t="s">
        <v>1469</v>
      </c>
      <c r="P178" s="32" t="s">
        <v>1426</v>
      </c>
      <c r="Q178" s="32"/>
      <c r="R178" s="32">
        <v>992754081</v>
      </c>
    </row>
    <row r="179" spans="1:18" ht="15.75" customHeight="1" x14ac:dyDescent="0.25">
      <c r="A179" s="32">
        <v>179</v>
      </c>
      <c r="B179" s="32" t="s">
        <v>202</v>
      </c>
      <c r="C179" s="74" t="str">
        <f>CONCATENATE(VLOOKUP($D179,CODIFICACIÓN_DPA!$A$2:$B$66,2,FALSE),VLOOKUP($G179,CODIFICACIÓN_DPA!$D$2:$E$6,2,FALSE),CONCATENATE(VLOOKUP($E179,CODIFICACIÓN_DPA!$G$2:$H$3,2,FALSE),VLOOKUP($F179,CODIFICACIÓN_DPA!$J$2:$K$10,2,FALSE)),A179)</f>
        <v>170123GA0102179</v>
      </c>
      <c r="D179" s="32" t="s">
        <v>84</v>
      </c>
      <c r="E179" s="32" t="s">
        <v>12</v>
      </c>
      <c r="F179" s="32" t="s">
        <v>21</v>
      </c>
      <c r="G179" s="32" t="s">
        <v>17</v>
      </c>
      <c r="H179" s="32" t="s">
        <v>1474</v>
      </c>
      <c r="I179" s="32" t="s">
        <v>1475</v>
      </c>
      <c r="J179" s="32" t="s">
        <v>1476</v>
      </c>
      <c r="K179" s="35">
        <v>-0.20876254896825</v>
      </c>
      <c r="L179" s="35">
        <v>-78.482985045234003</v>
      </c>
      <c r="M179" s="32" t="s">
        <v>1399</v>
      </c>
      <c r="N179" s="32" t="s">
        <v>1463</v>
      </c>
      <c r="O179" s="32"/>
      <c r="P179" s="32" t="s">
        <v>1426</v>
      </c>
      <c r="Q179" s="32"/>
      <c r="R179" s="42" t="s">
        <v>373</v>
      </c>
    </row>
    <row r="180" spans="1:18" ht="15.75" customHeight="1" x14ac:dyDescent="0.25">
      <c r="A180" s="32">
        <v>180</v>
      </c>
      <c r="B180" s="32" t="s">
        <v>202</v>
      </c>
      <c r="C180" s="74" t="str">
        <f>CONCATENATE(VLOOKUP($D180,CODIFICACIÓN_DPA!$A$2:$B$66,2,FALSE),VLOOKUP($G180,CODIFICACIÓN_DPA!$D$2:$E$6,2,FALSE),CONCATENATE(VLOOKUP($E180,CODIFICACIÓN_DPA!$G$2:$H$3,2,FALSE),VLOOKUP($F180,CODIFICACIÓN_DPA!$J$2:$K$10,2,FALSE)),A180)</f>
        <v>170180GA0104180</v>
      </c>
      <c r="D180" s="32" t="s">
        <v>164</v>
      </c>
      <c r="E180" s="32" t="s">
        <v>12</v>
      </c>
      <c r="F180" s="32" t="s">
        <v>32</v>
      </c>
      <c r="G180" s="32" t="s">
        <v>17</v>
      </c>
      <c r="H180" s="32" t="s">
        <v>1477</v>
      </c>
      <c r="I180" s="32" t="s">
        <v>1478</v>
      </c>
      <c r="J180" s="32" t="s">
        <v>347</v>
      </c>
      <c r="K180" s="35">
        <v>-2.2092181327690798E-3</v>
      </c>
      <c r="L180" s="35">
        <v>-78.454936567915794</v>
      </c>
      <c r="M180" s="32" t="s">
        <v>1399</v>
      </c>
      <c r="N180" s="32" t="s">
        <v>1463</v>
      </c>
      <c r="O180" s="32" t="s">
        <v>1479</v>
      </c>
      <c r="P180" s="32" t="s">
        <v>1144</v>
      </c>
      <c r="Q180" s="32"/>
      <c r="R180" s="42" t="s">
        <v>1480</v>
      </c>
    </row>
    <row r="181" spans="1:18" ht="15.75" customHeight="1" x14ac:dyDescent="0.25">
      <c r="A181" s="32">
        <v>181</v>
      </c>
      <c r="B181" s="32" t="s">
        <v>202</v>
      </c>
      <c r="C181" s="74" t="str">
        <f>CONCATENATE(VLOOKUP($D181,CODIFICACIÓN_DPA!$A$2:$B$66,2,FALSE),VLOOKUP($G181,CODIFICACIÓN_DPA!$D$2:$E$6,2,FALSE),CONCATENATE(VLOOKUP($E181,CODIFICACIÓN_DPA!$G$2:$H$3,2,FALSE),VLOOKUP($F181,CODIFICACIÓN_DPA!$J$2:$K$10,2,FALSE)),A181)</f>
        <v>170112CU0102181</v>
      </c>
      <c r="D181" s="32" t="s">
        <v>60</v>
      </c>
      <c r="E181" s="32" t="s">
        <v>12</v>
      </c>
      <c r="F181" s="32" t="s">
        <v>21</v>
      </c>
      <c r="G181" s="32" t="s">
        <v>24</v>
      </c>
      <c r="H181" s="32" t="s">
        <v>1481</v>
      </c>
      <c r="I181" s="32" t="s">
        <v>1482</v>
      </c>
      <c r="J181" s="32" t="s">
        <v>1483</v>
      </c>
      <c r="K181" s="35">
        <v>-0.20315039661269799</v>
      </c>
      <c r="L181" s="35">
        <v>-78.483901186856102</v>
      </c>
      <c r="M181" s="32" t="s">
        <v>1484</v>
      </c>
      <c r="N181" s="32" t="s">
        <v>216</v>
      </c>
      <c r="O181" s="32" t="s">
        <v>1479</v>
      </c>
      <c r="P181" s="32" t="s">
        <v>1144</v>
      </c>
      <c r="Q181" s="32"/>
      <c r="R181" s="42" t="s">
        <v>1485</v>
      </c>
    </row>
    <row r="182" spans="1:18" ht="15.75" customHeight="1" x14ac:dyDescent="0.25">
      <c r="A182" s="38"/>
      <c r="B182" s="38"/>
      <c r="C182" s="38"/>
      <c r="D182" s="38"/>
      <c r="E182" s="38"/>
      <c r="F182" s="38"/>
      <c r="G182" s="38"/>
      <c r="H182" s="38"/>
      <c r="I182" s="38"/>
      <c r="J182" s="38"/>
      <c r="K182" s="38"/>
      <c r="L182" s="38"/>
      <c r="M182" s="38"/>
      <c r="N182" s="38"/>
      <c r="O182" s="38"/>
      <c r="P182" s="38"/>
      <c r="Q182" s="38"/>
      <c r="R182" s="38"/>
    </row>
    <row r="183" spans="1:18" ht="15.75" customHeight="1" x14ac:dyDescent="0.25">
      <c r="A183" s="38"/>
      <c r="B183" s="38"/>
      <c r="C183" s="38"/>
      <c r="D183" s="38"/>
      <c r="E183" s="38"/>
      <c r="F183" s="38"/>
      <c r="G183" s="38"/>
      <c r="H183" s="38"/>
      <c r="I183" s="38"/>
      <c r="J183" s="38"/>
      <c r="K183" s="38"/>
      <c r="L183" s="38"/>
      <c r="M183" s="38"/>
      <c r="N183" s="38"/>
      <c r="O183" s="38"/>
      <c r="P183" s="38"/>
      <c r="Q183" s="38"/>
      <c r="R183" s="38"/>
    </row>
    <row r="184" spans="1:18" ht="15.75" customHeight="1" x14ac:dyDescent="0.25">
      <c r="A184" s="38"/>
      <c r="B184" s="38"/>
      <c r="C184" s="38"/>
      <c r="D184" s="38"/>
      <c r="E184" s="38"/>
      <c r="F184" s="38"/>
      <c r="G184" s="38"/>
      <c r="H184" s="38"/>
      <c r="I184" s="38"/>
      <c r="J184" s="38"/>
      <c r="K184" s="38"/>
      <c r="L184" s="38"/>
      <c r="M184" s="38"/>
      <c r="N184" s="38"/>
      <c r="O184" s="38"/>
      <c r="P184" s="38"/>
      <c r="Q184" s="38"/>
      <c r="R184" s="38"/>
    </row>
    <row r="185" spans="1:18" ht="15.75" customHeight="1" x14ac:dyDescent="0.25">
      <c r="A185" s="38"/>
      <c r="B185" s="38"/>
      <c r="C185" s="38"/>
      <c r="D185" s="38"/>
      <c r="E185" s="38"/>
      <c r="F185" s="38"/>
      <c r="G185" s="38"/>
      <c r="H185" s="38"/>
      <c r="I185" s="38"/>
      <c r="J185" s="38"/>
      <c r="K185" s="38"/>
      <c r="L185" s="38"/>
      <c r="M185" s="38"/>
      <c r="N185" s="38"/>
      <c r="O185" s="38"/>
      <c r="P185" s="38"/>
      <c r="Q185" s="38"/>
      <c r="R185" s="38"/>
    </row>
    <row r="186" spans="1:18" ht="15.75" customHeight="1" x14ac:dyDescent="0.25">
      <c r="A186" s="38"/>
      <c r="B186" s="38"/>
      <c r="C186" s="38"/>
      <c r="D186" s="38"/>
      <c r="E186" s="38"/>
      <c r="F186" s="38"/>
      <c r="G186" s="38"/>
      <c r="H186" s="38"/>
      <c r="I186" s="38"/>
      <c r="J186" s="38"/>
      <c r="K186" s="38"/>
      <c r="L186" s="38"/>
      <c r="M186" s="38"/>
      <c r="N186" s="38"/>
      <c r="O186" s="38"/>
      <c r="P186" s="38"/>
      <c r="Q186" s="38"/>
      <c r="R186" s="38"/>
    </row>
    <row r="187" spans="1:18" ht="15.75" customHeight="1" x14ac:dyDescent="0.25">
      <c r="A187" s="38"/>
      <c r="B187" s="38"/>
      <c r="C187" s="38"/>
      <c r="D187" s="38"/>
      <c r="E187" s="38"/>
      <c r="F187" s="38"/>
      <c r="G187" s="38"/>
      <c r="H187" s="38"/>
      <c r="I187" s="38"/>
      <c r="J187" s="38"/>
      <c r="K187" s="38"/>
      <c r="L187" s="38"/>
      <c r="M187" s="38"/>
      <c r="N187" s="38"/>
      <c r="O187" s="38"/>
      <c r="P187" s="38"/>
      <c r="Q187" s="38"/>
      <c r="R187" s="38"/>
    </row>
    <row r="188" spans="1:18" ht="15.75" customHeight="1" x14ac:dyDescent="0.25">
      <c r="A188" s="38"/>
      <c r="B188" s="38"/>
      <c r="C188" s="38"/>
      <c r="D188" s="38"/>
      <c r="E188" s="38"/>
      <c r="F188" s="38"/>
      <c r="G188" s="38"/>
      <c r="H188" s="38"/>
      <c r="I188" s="38"/>
      <c r="J188" s="38"/>
      <c r="K188" s="38"/>
      <c r="L188" s="38"/>
      <c r="M188" s="38"/>
      <c r="N188" s="38"/>
      <c r="O188" s="38"/>
      <c r="P188" s="38"/>
      <c r="Q188" s="38"/>
      <c r="R188" s="38"/>
    </row>
    <row r="189" spans="1:18" ht="15.75" customHeight="1" x14ac:dyDescent="0.25">
      <c r="A189" s="38"/>
      <c r="B189" s="38"/>
      <c r="C189" s="38"/>
      <c r="D189" s="38"/>
      <c r="E189" s="38"/>
      <c r="F189" s="38"/>
      <c r="G189" s="38"/>
      <c r="H189" s="38"/>
      <c r="I189" s="38"/>
      <c r="J189" s="38"/>
      <c r="K189" s="38"/>
      <c r="L189" s="38"/>
      <c r="M189" s="38"/>
      <c r="N189" s="38"/>
      <c r="O189" s="38"/>
      <c r="P189" s="38"/>
      <c r="Q189" s="38"/>
      <c r="R189" s="38"/>
    </row>
    <row r="190" spans="1:18" ht="15.75" customHeight="1" x14ac:dyDescent="0.25">
      <c r="A190" s="38"/>
      <c r="B190" s="38"/>
      <c r="C190" s="38"/>
      <c r="D190" s="38"/>
      <c r="E190" s="38"/>
      <c r="F190" s="38"/>
      <c r="G190" s="38"/>
      <c r="H190" s="38"/>
      <c r="I190" s="38"/>
      <c r="J190" s="38"/>
      <c r="K190" s="38"/>
      <c r="L190" s="38"/>
      <c r="M190" s="38"/>
      <c r="N190" s="38"/>
      <c r="O190" s="38"/>
      <c r="P190" s="38"/>
      <c r="Q190" s="38"/>
      <c r="R190" s="38"/>
    </row>
    <row r="191" spans="1:18" ht="15.75" customHeight="1" x14ac:dyDescent="0.25">
      <c r="A191" s="38"/>
      <c r="B191" s="38"/>
      <c r="C191" s="38"/>
      <c r="D191" s="38"/>
      <c r="E191" s="38"/>
      <c r="F191" s="38"/>
      <c r="G191" s="38"/>
      <c r="H191" s="38"/>
      <c r="I191" s="38"/>
      <c r="J191" s="38"/>
      <c r="K191" s="38"/>
      <c r="L191" s="38"/>
      <c r="M191" s="38"/>
      <c r="N191" s="38"/>
      <c r="O191" s="38"/>
      <c r="P191" s="38"/>
      <c r="Q191" s="38"/>
      <c r="R191" s="38"/>
    </row>
    <row r="192" spans="1:18" ht="15.75" customHeight="1" x14ac:dyDescent="0.25">
      <c r="A192" s="38"/>
      <c r="B192" s="38"/>
      <c r="C192" s="38"/>
      <c r="D192" s="38"/>
      <c r="E192" s="38"/>
      <c r="F192" s="38"/>
      <c r="G192" s="38"/>
      <c r="H192" s="38"/>
      <c r="I192" s="38"/>
      <c r="J192" s="38"/>
      <c r="K192" s="38"/>
      <c r="L192" s="38"/>
      <c r="M192" s="38"/>
      <c r="N192" s="38"/>
      <c r="O192" s="38"/>
      <c r="P192" s="38"/>
      <c r="Q192" s="38"/>
      <c r="R192" s="38"/>
    </row>
    <row r="193" spans="1:18" ht="15.75" customHeight="1" x14ac:dyDescent="0.25">
      <c r="A193" s="38"/>
      <c r="B193" s="38"/>
      <c r="C193" s="38"/>
      <c r="D193" s="38"/>
      <c r="E193" s="38"/>
      <c r="F193" s="38"/>
      <c r="G193" s="38"/>
      <c r="H193" s="38"/>
      <c r="I193" s="38"/>
      <c r="J193" s="38"/>
      <c r="K193" s="38"/>
      <c r="L193" s="38"/>
      <c r="M193" s="38"/>
      <c r="N193" s="38"/>
      <c r="O193" s="38"/>
      <c r="P193" s="38"/>
      <c r="Q193" s="38"/>
      <c r="R193" s="38"/>
    </row>
    <row r="194" spans="1:18" ht="15.75" customHeight="1" x14ac:dyDescent="0.25">
      <c r="A194" s="38"/>
      <c r="B194" s="38"/>
      <c r="C194" s="38"/>
      <c r="D194" s="38"/>
      <c r="E194" s="38"/>
      <c r="F194" s="38"/>
      <c r="G194" s="38"/>
      <c r="H194" s="38"/>
      <c r="I194" s="38"/>
      <c r="J194" s="38"/>
      <c r="K194" s="38"/>
      <c r="L194" s="38"/>
      <c r="M194" s="38"/>
      <c r="N194" s="38"/>
      <c r="O194" s="38"/>
      <c r="P194" s="38"/>
      <c r="Q194" s="38"/>
      <c r="R194" s="38"/>
    </row>
    <row r="195" spans="1:18" ht="15.75" customHeight="1" x14ac:dyDescent="0.25">
      <c r="A195" s="38"/>
      <c r="B195" s="38"/>
      <c r="C195" s="38"/>
      <c r="D195" s="38"/>
      <c r="E195" s="38"/>
      <c r="F195" s="38"/>
      <c r="G195" s="38"/>
      <c r="H195" s="38"/>
      <c r="I195" s="38"/>
      <c r="J195" s="38"/>
      <c r="K195" s="38"/>
      <c r="L195" s="38"/>
      <c r="M195" s="38"/>
      <c r="N195" s="38"/>
      <c r="O195" s="38"/>
      <c r="P195" s="38"/>
      <c r="Q195" s="38"/>
      <c r="R195" s="38"/>
    </row>
    <row r="196" spans="1:18" ht="15.75" customHeight="1" x14ac:dyDescent="0.25">
      <c r="A196" s="38"/>
      <c r="B196" s="38"/>
      <c r="C196" s="38"/>
      <c r="D196" s="38"/>
      <c r="E196" s="38"/>
      <c r="F196" s="38"/>
      <c r="G196" s="38"/>
      <c r="H196" s="38"/>
      <c r="I196" s="38"/>
      <c r="J196" s="38"/>
      <c r="K196" s="38"/>
      <c r="L196" s="38"/>
      <c r="M196" s="38"/>
      <c r="N196" s="38"/>
      <c r="O196" s="38"/>
      <c r="P196" s="38"/>
      <c r="Q196" s="38"/>
      <c r="R196" s="38"/>
    </row>
    <row r="197" spans="1:18" ht="15.75" customHeight="1" x14ac:dyDescent="0.25">
      <c r="A197" s="107"/>
      <c r="B197" s="107"/>
      <c r="C197" s="107"/>
      <c r="D197" s="107"/>
      <c r="E197" s="107"/>
      <c r="F197" s="107"/>
      <c r="G197" s="107"/>
      <c r="H197" s="107"/>
      <c r="I197" s="107"/>
      <c r="J197" s="107"/>
      <c r="K197" s="107"/>
      <c r="L197" s="107"/>
      <c r="M197" s="107"/>
      <c r="N197" s="107"/>
      <c r="O197" s="59"/>
      <c r="P197" s="107"/>
      <c r="Q197" s="107"/>
      <c r="R197" s="107"/>
    </row>
    <row r="198" spans="1:18" ht="15.75" customHeight="1" x14ac:dyDescent="0.25">
      <c r="A198" s="107"/>
      <c r="B198" s="107"/>
      <c r="C198" s="107"/>
      <c r="D198" s="107"/>
      <c r="E198" s="107"/>
      <c r="F198" s="107"/>
      <c r="G198" s="107"/>
      <c r="H198" s="107"/>
      <c r="I198" s="107"/>
      <c r="J198" s="107"/>
      <c r="K198" s="107"/>
      <c r="L198" s="107"/>
      <c r="M198" s="107"/>
      <c r="N198" s="107"/>
      <c r="O198" s="59"/>
      <c r="P198" s="107"/>
      <c r="Q198" s="107"/>
      <c r="R198" s="107"/>
    </row>
    <row r="199" spans="1:18" ht="15.75" customHeight="1" x14ac:dyDescent="0.25">
      <c r="A199" s="107"/>
      <c r="B199" s="107"/>
      <c r="C199" s="107"/>
      <c r="D199" s="107"/>
      <c r="E199" s="107"/>
      <c r="F199" s="107"/>
      <c r="G199" s="107"/>
      <c r="H199" s="107"/>
      <c r="I199" s="107"/>
      <c r="J199" s="107"/>
      <c r="K199" s="107"/>
      <c r="L199" s="107"/>
      <c r="M199" s="107"/>
      <c r="N199" s="107"/>
      <c r="O199" s="59"/>
      <c r="P199" s="107"/>
      <c r="Q199" s="107"/>
      <c r="R199" s="107"/>
    </row>
    <row r="200" spans="1:18" ht="15.75" customHeight="1" x14ac:dyDescent="0.25">
      <c r="A200" s="107"/>
      <c r="B200" s="107"/>
      <c r="C200" s="107"/>
      <c r="D200" s="107"/>
      <c r="E200" s="107"/>
      <c r="F200" s="107"/>
      <c r="G200" s="107"/>
      <c r="H200" s="107"/>
      <c r="I200" s="107"/>
      <c r="J200" s="107"/>
      <c r="K200" s="107"/>
      <c r="L200" s="107"/>
      <c r="M200" s="107"/>
      <c r="N200" s="107"/>
      <c r="O200" s="59"/>
      <c r="P200" s="107"/>
      <c r="Q200" s="107"/>
      <c r="R200" s="107"/>
    </row>
    <row r="201" spans="1:18" ht="15.75" customHeight="1" x14ac:dyDescent="0.25">
      <c r="A201" s="107"/>
      <c r="B201" s="107"/>
      <c r="C201" s="107"/>
      <c r="D201" s="107"/>
      <c r="E201" s="107"/>
      <c r="F201" s="107"/>
      <c r="G201" s="107"/>
      <c r="H201" s="107"/>
      <c r="I201" s="107"/>
      <c r="J201" s="107"/>
      <c r="K201" s="107"/>
      <c r="L201" s="107"/>
      <c r="M201" s="107"/>
      <c r="N201" s="107"/>
      <c r="O201" s="59"/>
      <c r="P201" s="107"/>
      <c r="Q201" s="107"/>
      <c r="R201" s="107"/>
    </row>
    <row r="202" spans="1:18" ht="15.75" customHeight="1" x14ac:dyDescent="0.25">
      <c r="A202" s="107"/>
      <c r="B202" s="107"/>
      <c r="C202" s="107"/>
      <c r="D202" s="107"/>
      <c r="E202" s="107"/>
      <c r="F202" s="107"/>
      <c r="G202" s="107"/>
      <c r="H202" s="107"/>
      <c r="I202" s="107"/>
      <c r="J202" s="107"/>
      <c r="K202" s="107"/>
      <c r="L202" s="107"/>
      <c r="M202" s="107"/>
      <c r="N202" s="107"/>
      <c r="O202" s="59"/>
      <c r="P202" s="107"/>
      <c r="Q202" s="107"/>
      <c r="R202" s="107"/>
    </row>
    <row r="203" spans="1:18" ht="15.75" customHeight="1" x14ac:dyDescent="0.25">
      <c r="A203" s="107"/>
      <c r="B203" s="107"/>
      <c r="C203" s="107"/>
      <c r="D203" s="107"/>
      <c r="E203" s="107"/>
      <c r="F203" s="107"/>
      <c r="G203" s="107"/>
      <c r="H203" s="107"/>
      <c r="I203" s="107"/>
      <c r="J203" s="107"/>
      <c r="K203" s="107"/>
      <c r="L203" s="107"/>
      <c r="M203" s="107"/>
      <c r="N203" s="107"/>
      <c r="O203" s="59"/>
      <c r="P203" s="107"/>
      <c r="Q203" s="107"/>
      <c r="R203" s="107"/>
    </row>
    <row r="204" spans="1:18" ht="15.75" customHeight="1" x14ac:dyDescent="0.25">
      <c r="A204" s="107"/>
      <c r="B204" s="107"/>
      <c r="C204" s="107"/>
      <c r="D204" s="107"/>
      <c r="E204" s="107"/>
      <c r="F204" s="107"/>
      <c r="G204" s="107"/>
      <c r="H204" s="107"/>
      <c r="I204" s="107"/>
      <c r="J204" s="107"/>
      <c r="K204" s="107"/>
      <c r="L204" s="107"/>
      <c r="M204" s="107"/>
      <c r="N204" s="107"/>
      <c r="O204" s="59"/>
      <c r="P204" s="107"/>
      <c r="Q204" s="107"/>
      <c r="R204" s="107"/>
    </row>
    <row r="205" spans="1:18" ht="15.75" customHeight="1" x14ac:dyDescent="0.25">
      <c r="A205" s="107"/>
      <c r="B205" s="107"/>
      <c r="C205" s="107"/>
      <c r="D205" s="107"/>
      <c r="E205" s="107"/>
      <c r="F205" s="107"/>
      <c r="G205" s="107"/>
      <c r="H205" s="107"/>
      <c r="I205" s="107"/>
      <c r="J205" s="107"/>
      <c r="K205" s="107"/>
      <c r="L205" s="107"/>
      <c r="M205" s="107"/>
      <c r="N205" s="107"/>
      <c r="O205" s="59"/>
      <c r="P205" s="107"/>
      <c r="Q205" s="107"/>
      <c r="R205" s="107"/>
    </row>
    <row r="206" spans="1:18" ht="15.75" customHeight="1" x14ac:dyDescent="0.25">
      <c r="A206" s="107"/>
      <c r="B206" s="107"/>
      <c r="C206" s="107"/>
      <c r="D206" s="107"/>
      <c r="E206" s="107"/>
      <c r="F206" s="107"/>
      <c r="G206" s="107"/>
      <c r="H206" s="107"/>
      <c r="I206" s="107"/>
      <c r="J206" s="107"/>
      <c r="K206" s="107"/>
      <c r="L206" s="107"/>
      <c r="M206" s="107"/>
      <c r="N206" s="107"/>
      <c r="O206" s="59"/>
      <c r="P206" s="107"/>
      <c r="Q206" s="107"/>
      <c r="R206" s="107"/>
    </row>
    <row r="207" spans="1:18" ht="15.75" customHeight="1" x14ac:dyDescent="0.25">
      <c r="A207" s="107"/>
      <c r="B207" s="107"/>
      <c r="C207" s="107"/>
      <c r="D207" s="107"/>
      <c r="E207" s="107"/>
      <c r="F207" s="107"/>
      <c r="G207" s="107"/>
      <c r="H207" s="107"/>
      <c r="I207" s="107"/>
      <c r="J207" s="107"/>
      <c r="K207" s="107"/>
      <c r="L207" s="107"/>
      <c r="M207" s="107"/>
      <c r="N207" s="107"/>
      <c r="O207" s="59"/>
      <c r="P207" s="107"/>
      <c r="Q207" s="107"/>
      <c r="R207" s="107"/>
    </row>
    <row r="208" spans="1:18" ht="15.75" customHeight="1" x14ac:dyDescent="0.25">
      <c r="A208" s="107"/>
      <c r="B208" s="107"/>
      <c r="C208" s="107"/>
      <c r="D208" s="107"/>
      <c r="E208" s="107"/>
      <c r="F208" s="107"/>
      <c r="G208" s="107"/>
      <c r="H208" s="107"/>
      <c r="I208" s="107"/>
      <c r="J208" s="107"/>
      <c r="K208" s="107"/>
      <c r="L208" s="107"/>
      <c r="M208" s="107"/>
      <c r="N208" s="107"/>
      <c r="O208" s="59"/>
      <c r="P208" s="107"/>
      <c r="Q208" s="107"/>
      <c r="R208" s="107"/>
    </row>
    <row r="209" spans="1:18" ht="15.75" customHeight="1" x14ac:dyDescent="0.25">
      <c r="A209" s="107"/>
      <c r="B209" s="107"/>
      <c r="C209" s="107"/>
      <c r="D209" s="107"/>
      <c r="E209" s="107"/>
      <c r="F209" s="107"/>
      <c r="G209" s="107"/>
      <c r="H209" s="107"/>
      <c r="I209" s="107"/>
      <c r="J209" s="107"/>
      <c r="K209" s="107"/>
      <c r="L209" s="107"/>
      <c r="M209" s="107"/>
      <c r="N209" s="107"/>
      <c r="O209" s="59"/>
      <c r="P209" s="107"/>
      <c r="Q209" s="107"/>
      <c r="R209" s="107"/>
    </row>
    <row r="210" spans="1:18" ht="15.75" customHeight="1" x14ac:dyDescent="0.25">
      <c r="A210" s="107"/>
      <c r="B210" s="107"/>
      <c r="C210" s="107"/>
      <c r="D210" s="107"/>
      <c r="E210" s="107"/>
      <c r="F210" s="107"/>
      <c r="G210" s="107"/>
      <c r="H210" s="107"/>
      <c r="I210" s="107"/>
      <c r="J210" s="107"/>
      <c r="K210" s="107"/>
      <c r="L210" s="107"/>
      <c r="M210" s="107"/>
      <c r="N210" s="107"/>
      <c r="O210" s="59"/>
      <c r="P210" s="107"/>
      <c r="Q210" s="107"/>
      <c r="R210" s="107"/>
    </row>
    <row r="211" spans="1:18" ht="15.75" customHeight="1" x14ac:dyDescent="0.25">
      <c r="A211" s="107"/>
      <c r="B211" s="107"/>
      <c r="C211" s="107"/>
      <c r="D211" s="107"/>
      <c r="E211" s="107"/>
      <c r="F211" s="107"/>
      <c r="G211" s="107"/>
      <c r="H211" s="107"/>
      <c r="I211" s="107"/>
      <c r="J211" s="107"/>
      <c r="K211" s="107"/>
      <c r="L211" s="107"/>
      <c r="M211" s="107"/>
      <c r="N211" s="107"/>
      <c r="O211" s="59"/>
      <c r="P211" s="107"/>
      <c r="Q211" s="107"/>
      <c r="R211" s="107"/>
    </row>
    <row r="212" spans="1:18" ht="15.75" customHeight="1" x14ac:dyDescent="0.25">
      <c r="A212" s="107"/>
      <c r="B212" s="107"/>
      <c r="C212" s="107"/>
      <c r="D212" s="107"/>
      <c r="E212" s="107"/>
      <c r="F212" s="107"/>
      <c r="G212" s="107"/>
      <c r="H212" s="107"/>
      <c r="I212" s="107"/>
      <c r="J212" s="107"/>
      <c r="K212" s="107"/>
      <c r="L212" s="107"/>
      <c r="M212" s="107"/>
      <c r="N212" s="107"/>
      <c r="O212" s="59"/>
      <c r="P212" s="107"/>
      <c r="Q212" s="107"/>
      <c r="R212" s="107"/>
    </row>
    <row r="213" spans="1:18" ht="15.75" customHeight="1" x14ac:dyDescent="0.25">
      <c r="A213" s="107"/>
      <c r="B213" s="107"/>
      <c r="C213" s="107"/>
      <c r="D213" s="107"/>
      <c r="E213" s="107"/>
      <c r="F213" s="107"/>
      <c r="G213" s="107"/>
      <c r="H213" s="107"/>
      <c r="I213" s="107"/>
      <c r="J213" s="107"/>
      <c r="K213" s="107"/>
      <c r="L213" s="107"/>
      <c r="M213" s="107"/>
      <c r="N213" s="107"/>
      <c r="O213" s="59"/>
      <c r="P213" s="107"/>
      <c r="Q213" s="107"/>
      <c r="R213" s="107"/>
    </row>
    <row r="214" spans="1:18" ht="15.75" customHeight="1" x14ac:dyDescent="0.25">
      <c r="A214" s="107"/>
      <c r="B214" s="107"/>
      <c r="C214" s="107"/>
      <c r="D214" s="107"/>
      <c r="E214" s="107"/>
      <c r="F214" s="107"/>
      <c r="G214" s="107"/>
      <c r="H214" s="107"/>
      <c r="I214" s="107"/>
      <c r="J214" s="107"/>
      <c r="K214" s="107"/>
      <c r="L214" s="107"/>
      <c r="M214" s="107"/>
      <c r="N214" s="107"/>
      <c r="O214" s="59"/>
      <c r="P214" s="107"/>
      <c r="Q214" s="107"/>
      <c r="R214" s="107"/>
    </row>
    <row r="215" spans="1:18" ht="15.75" customHeight="1" x14ac:dyDescent="0.25">
      <c r="A215" s="107"/>
      <c r="B215" s="107"/>
      <c r="C215" s="107"/>
      <c r="D215" s="107"/>
      <c r="E215" s="107"/>
      <c r="F215" s="107"/>
      <c r="G215" s="107"/>
      <c r="H215" s="107"/>
      <c r="I215" s="107"/>
      <c r="J215" s="107"/>
      <c r="K215" s="107"/>
      <c r="L215" s="107"/>
      <c r="M215" s="107"/>
      <c r="N215" s="107"/>
      <c r="O215" s="59"/>
      <c r="P215" s="107"/>
      <c r="Q215" s="107"/>
      <c r="R215" s="107"/>
    </row>
    <row r="216" spans="1:18" ht="15.75" customHeight="1" x14ac:dyDescent="0.25">
      <c r="A216" s="107"/>
      <c r="B216" s="107"/>
      <c r="C216" s="107"/>
      <c r="D216" s="107"/>
      <c r="E216" s="107"/>
      <c r="F216" s="107"/>
      <c r="G216" s="107"/>
      <c r="H216" s="107"/>
      <c r="I216" s="107"/>
      <c r="J216" s="107"/>
      <c r="K216" s="107"/>
      <c r="L216" s="107"/>
      <c r="M216" s="107"/>
      <c r="N216" s="107"/>
      <c r="O216" s="59"/>
      <c r="P216" s="107"/>
      <c r="Q216" s="107"/>
      <c r="R216" s="107"/>
    </row>
    <row r="217" spans="1:18" ht="15.75" customHeight="1" x14ac:dyDescent="0.25">
      <c r="A217" s="107"/>
      <c r="B217" s="107"/>
      <c r="C217" s="107"/>
      <c r="D217" s="107"/>
      <c r="E217" s="107"/>
      <c r="F217" s="107"/>
      <c r="G217" s="107"/>
      <c r="H217" s="107"/>
      <c r="I217" s="107"/>
      <c r="J217" s="107"/>
      <c r="K217" s="107"/>
      <c r="L217" s="107"/>
      <c r="M217" s="107"/>
      <c r="N217" s="107"/>
      <c r="O217" s="59"/>
      <c r="P217" s="107"/>
      <c r="Q217" s="107"/>
      <c r="R217" s="107"/>
    </row>
    <row r="218" spans="1:18" ht="15.75" customHeight="1" x14ac:dyDescent="0.25">
      <c r="A218" s="107"/>
      <c r="B218" s="107"/>
      <c r="C218" s="107"/>
      <c r="D218" s="107"/>
      <c r="E218" s="107"/>
      <c r="F218" s="107"/>
      <c r="G218" s="107"/>
      <c r="H218" s="107"/>
      <c r="I218" s="107"/>
      <c r="J218" s="107"/>
      <c r="K218" s="107"/>
      <c r="L218" s="107"/>
      <c r="M218" s="107"/>
      <c r="N218" s="107"/>
      <c r="O218" s="59"/>
      <c r="P218" s="107"/>
      <c r="Q218" s="107"/>
      <c r="R218" s="107"/>
    </row>
    <row r="219" spans="1:18" ht="15.75" customHeight="1" x14ac:dyDescent="0.25">
      <c r="A219" s="107"/>
      <c r="B219" s="107"/>
      <c r="C219" s="107"/>
      <c r="D219" s="107"/>
      <c r="E219" s="107"/>
      <c r="F219" s="107"/>
      <c r="G219" s="107"/>
      <c r="H219" s="107"/>
      <c r="I219" s="107"/>
      <c r="J219" s="107"/>
      <c r="K219" s="107"/>
      <c r="L219" s="107"/>
      <c r="M219" s="107"/>
      <c r="N219" s="107"/>
      <c r="O219" s="59"/>
      <c r="P219" s="107"/>
      <c r="Q219" s="107"/>
      <c r="R219" s="107"/>
    </row>
    <row r="220" spans="1:18" ht="15.75" customHeight="1" x14ac:dyDescent="0.25">
      <c r="A220" s="107"/>
      <c r="B220" s="107"/>
      <c r="C220" s="107"/>
      <c r="D220" s="107"/>
      <c r="E220" s="107"/>
      <c r="F220" s="107"/>
      <c r="G220" s="107"/>
      <c r="H220" s="107"/>
      <c r="I220" s="107"/>
      <c r="J220" s="107"/>
      <c r="K220" s="107"/>
      <c r="L220" s="107"/>
      <c r="M220" s="107"/>
      <c r="N220" s="107"/>
      <c r="O220" s="59"/>
      <c r="P220" s="107"/>
      <c r="Q220" s="107"/>
      <c r="R220" s="107"/>
    </row>
    <row r="221" spans="1:18" ht="15.75" customHeight="1" x14ac:dyDescent="0.25">
      <c r="A221" s="107"/>
      <c r="B221" s="107"/>
      <c r="C221" s="107"/>
      <c r="D221" s="107"/>
      <c r="E221" s="107"/>
      <c r="F221" s="107"/>
      <c r="G221" s="107"/>
      <c r="H221" s="107"/>
      <c r="I221" s="107"/>
      <c r="J221" s="107"/>
      <c r="K221" s="107"/>
      <c r="L221" s="107"/>
      <c r="M221" s="107"/>
      <c r="N221" s="107"/>
      <c r="O221" s="59"/>
      <c r="P221" s="107"/>
      <c r="Q221" s="107"/>
      <c r="R221" s="107"/>
    </row>
    <row r="222" spans="1:18" ht="15.75" customHeight="1" x14ac:dyDescent="0.25">
      <c r="A222" s="107"/>
      <c r="B222" s="107"/>
      <c r="C222" s="107"/>
      <c r="D222" s="107"/>
      <c r="E222" s="107"/>
      <c r="F222" s="107"/>
      <c r="G222" s="107"/>
      <c r="H222" s="107"/>
      <c r="I222" s="107"/>
      <c r="J222" s="107"/>
      <c r="K222" s="107"/>
      <c r="L222" s="107"/>
      <c r="M222" s="107"/>
      <c r="N222" s="107"/>
      <c r="O222" s="59"/>
      <c r="P222" s="107"/>
      <c r="Q222" s="107"/>
      <c r="R222" s="107"/>
    </row>
    <row r="223" spans="1:18" ht="15.75" customHeight="1" x14ac:dyDescent="0.25">
      <c r="A223" s="107"/>
      <c r="B223" s="107"/>
      <c r="C223" s="107"/>
      <c r="D223" s="107"/>
      <c r="E223" s="107"/>
      <c r="F223" s="107"/>
      <c r="G223" s="107"/>
      <c r="H223" s="107"/>
      <c r="I223" s="107"/>
      <c r="J223" s="107"/>
      <c r="K223" s="107"/>
      <c r="L223" s="107"/>
      <c r="M223" s="107"/>
      <c r="N223" s="107"/>
      <c r="O223" s="59"/>
      <c r="P223" s="107"/>
      <c r="Q223" s="107"/>
      <c r="R223" s="107"/>
    </row>
    <row r="224" spans="1:18" ht="15.75" customHeight="1" x14ac:dyDescent="0.25">
      <c r="A224" s="107"/>
      <c r="B224" s="107"/>
      <c r="C224" s="107"/>
      <c r="D224" s="107"/>
      <c r="E224" s="107"/>
      <c r="F224" s="107"/>
      <c r="G224" s="107"/>
      <c r="H224" s="107"/>
      <c r="I224" s="107"/>
      <c r="J224" s="107"/>
      <c r="K224" s="107"/>
      <c r="L224" s="107"/>
      <c r="M224" s="107"/>
      <c r="N224" s="107"/>
      <c r="O224" s="59"/>
      <c r="P224" s="107"/>
      <c r="Q224" s="107"/>
      <c r="R224" s="107"/>
    </row>
    <row r="225" spans="1:18" ht="15.75" customHeight="1" x14ac:dyDescent="0.25">
      <c r="A225" s="107"/>
      <c r="B225" s="107"/>
      <c r="C225" s="107"/>
      <c r="D225" s="107"/>
      <c r="E225" s="107"/>
      <c r="F225" s="107"/>
      <c r="G225" s="107"/>
      <c r="H225" s="107"/>
      <c r="I225" s="107"/>
      <c r="J225" s="107"/>
      <c r="K225" s="107"/>
      <c r="L225" s="107"/>
      <c r="M225" s="107"/>
      <c r="N225" s="107"/>
      <c r="O225" s="59"/>
      <c r="P225" s="107"/>
      <c r="Q225" s="107"/>
      <c r="R225" s="107"/>
    </row>
    <row r="226" spans="1:18" ht="15.75" customHeight="1" x14ac:dyDescent="0.25">
      <c r="A226" s="107"/>
      <c r="B226" s="107"/>
      <c r="C226" s="107"/>
      <c r="D226" s="107"/>
      <c r="E226" s="107"/>
      <c r="F226" s="107"/>
      <c r="G226" s="107"/>
      <c r="H226" s="107"/>
      <c r="I226" s="107"/>
      <c r="J226" s="107"/>
      <c r="K226" s="107"/>
      <c r="L226" s="107"/>
      <c r="M226" s="107"/>
      <c r="N226" s="107"/>
      <c r="O226" s="59"/>
      <c r="P226" s="107"/>
      <c r="Q226" s="107"/>
      <c r="R226" s="107"/>
    </row>
    <row r="227" spans="1:18" ht="15.75" customHeight="1" x14ac:dyDescent="0.25">
      <c r="A227" s="107"/>
      <c r="B227" s="107"/>
      <c r="C227" s="107"/>
      <c r="D227" s="107"/>
      <c r="E227" s="107"/>
      <c r="F227" s="107"/>
      <c r="G227" s="107"/>
      <c r="H227" s="107"/>
      <c r="I227" s="107"/>
      <c r="J227" s="107"/>
      <c r="K227" s="107"/>
      <c r="L227" s="107"/>
      <c r="M227" s="107"/>
      <c r="N227" s="107"/>
      <c r="O227" s="59"/>
      <c r="P227" s="107"/>
      <c r="Q227" s="107"/>
      <c r="R227" s="107"/>
    </row>
    <row r="228" spans="1:18" ht="15.75" customHeight="1" x14ac:dyDescent="0.25">
      <c r="A228" s="107"/>
      <c r="B228" s="107"/>
      <c r="C228" s="107"/>
      <c r="D228" s="107"/>
      <c r="E228" s="107"/>
      <c r="F228" s="107"/>
      <c r="G228" s="107"/>
      <c r="H228" s="107"/>
      <c r="I228" s="107"/>
      <c r="J228" s="107"/>
      <c r="K228" s="107"/>
      <c r="L228" s="107"/>
      <c r="M228" s="107"/>
      <c r="N228" s="107"/>
      <c r="O228" s="59"/>
      <c r="P228" s="107"/>
      <c r="Q228" s="107"/>
      <c r="R228" s="107"/>
    </row>
    <row r="229" spans="1:18" ht="15.75" customHeight="1" x14ac:dyDescent="0.25">
      <c r="A229" s="107"/>
      <c r="B229" s="107"/>
      <c r="C229" s="107"/>
      <c r="D229" s="107"/>
      <c r="E229" s="107"/>
      <c r="F229" s="107"/>
      <c r="G229" s="107"/>
      <c r="H229" s="107"/>
      <c r="I229" s="107"/>
      <c r="J229" s="107"/>
      <c r="K229" s="107"/>
      <c r="L229" s="107"/>
      <c r="M229" s="107"/>
      <c r="N229" s="107"/>
      <c r="O229" s="59"/>
      <c r="P229" s="107"/>
      <c r="Q229" s="107"/>
      <c r="R229" s="107"/>
    </row>
    <row r="230" spans="1:18" ht="15.75" customHeight="1" x14ac:dyDescent="0.25">
      <c r="A230" s="107"/>
      <c r="B230" s="107"/>
      <c r="C230" s="107"/>
      <c r="D230" s="107"/>
      <c r="E230" s="107"/>
      <c r="F230" s="107"/>
      <c r="G230" s="107"/>
      <c r="H230" s="107"/>
      <c r="I230" s="107"/>
      <c r="J230" s="107"/>
      <c r="K230" s="107"/>
      <c r="L230" s="107"/>
      <c r="M230" s="107"/>
      <c r="N230" s="107"/>
      <c r="O230" s="59"/>
      <c r="P230" s="107"/>
      <c r="Q230" s="107"/>
      <c r="R230" s="107"/>
    </row>
    <row r="231" spans="1:18" ht="15.75" customHeight="1" x14ac:dyDescent="0.25">
      <c r="A231" s="107"/>
      <c r="B231" s="107"/>
      <c r="C231" s="107"/>
      <c r="D231" s="107"/>
      <c r="E231" s="107"/>
      <c r="F231" s="107"/>
      <c r="G231" s="107"/>
      <c r="H231" s="107"/>
      <c r="I231" s="107"/>
      <c r="J231" s="107"/>
      <c r="K231" s="107"/>
      <c r="L231" s="107"/>
      <c r="M231" s="107"/>
      <c r="N231" s="107"/>
      <c r="O231" s="59"/>
      <c r="P231" s="107"/>
      <c r="Q231" s="107"/>
      <c r="R231" s="107"/>
    </row>
    <row r="232" spans="1:18" ht="15.75" customHeight="1" x14ac:dyDescent="0.25">
      <c r="A232" s="107"/>
      <c r="B232" s="107"/>
      <c r="C232" s="107"/>
      <c r="D232" s="107"/>
      <c r="E232" s="107"/>
      <c r="F232" s="107"/>
      <c r="G232" s="107"/>
      <c r="H232" s="107"/>
      <c r="I232" s="107"/>
      <c r="J232" s="107"/>
      <c r="K232" s="107"/>
      <c r="L232" s="107"/>
      <c r="M232" s="107"/>
      <c r="N232" s="107"/>
      <c r="O232" s="59"/>
      <c r="P232" s="107"/>
      <c r="Q232" s="107"/>
      <c r="R232" s="107"/>
    </row>
    <row r="233" spans="1:18" ht="15.75" customHeight="1" x14ac:dyDescent="0.25">
      <c r="A233" s="107"/>
      <c r="B233" s="107"/>
      <c r="C233" s="107"/>
      <c r="D233" s="107"/>
      <c r="E233" s="107"/>
      <c r="F233" s="107"/>
      <c r="G233" s="107"/>
      <c r="H233" s="107"/>
      <c r="I233" s="107"/>
      <c r="J233" s="107"/>
      <c r="K233" s="107"/>
      <c r="L233" s="107"/>
      <c r="M233" s="107"/>
      <c r="N233" s="107"/>
      <c r="O233" s="59"/>
      <c r="P233" s="107"/>
      <c r="Q233" s="107"/>
      <c r="R233" s="107"/>
    </row>
    <row r="234" spans="1:18" ht="15.75" customHeight="1" x14ac:dyDescent="0.25">
      <c r="A234" s="107"/>
      <c r="B234" s="107"/>
      <c r="C234" s="107"/>
      <c r="D234" s="107"/>
      <c r="E234" s="107"/>
      <c r="F234" s="107"/>
      <c r="G234" s="107"/>
      <c r="H234" s="107"/>
      <c r="I234" s="107"/>
      <c r="J234" s="107"/>
      <c r="K234" s="107"/>
      <c r="L234" s="107"/>
      <c r="M234" s="107"/>
      <c r="N234" s="107"/>
      <c r="O234" s="59"/>
      <c r="P234" s="107"/>
      <c r="Q234" s="107"/>
      <c r="R234" s="107"/>
    </row>
    <row r="235" spans="1:18" ht="15.75" customHeight="1" x14ac:dyDescent="0.25">
      <c r="A235" s="107"/>
      <c r="B235" s="107"/>
      <c r="C235" s="107"/>
      <c r="D235" s="107"/>
      <c r="E235" s="107"/>
      <c r="F235" s="107"/>
      <c r="G235" s="107"/>
      <c r="H235" s="107"/>
      <c r="I235" s="107"/>
      <c r="J235" s="107"/>
      <c r="K235" s="107"/>
      <c r="L235" s="107"/>
      <c r="M235" s="107"/>
      <c r="N235" s="107"/>
      <c r="O235" s="59"/>
      <c r="P235" s="107"/>
      <c r="Q235" s="107"/>
      <c r="R235" s="107"/>
    </row>
    <row r="236" spans="1:18" ht="15.75" customHeight="1" x14ac:dyDescent="0.25">
      <c r="A236" s="107"/>
      <c r="B236" s="107"/>
      <c r="C236" s="107"/>
      <c r="D236" s="107"/>
      <c r="E236" s="107"/>
      <c r="F236" s="107"/>
      <c r="G236" s="107"/>
      <c r="H236" s="107"/>
      <c r="I236" s="107"/>
      <c r="J236" s="107"/>
      <c r="K236" s="107"/>
      <c r="L236" s="107"/>
      <c r="M236" s="107"/>
      <c r="N236" s="107"/>
      <c r="O236" s="59"/>
      <c r="P236" s="107"/>
      <c r="Q236" s="107"/>
      <c r="R236" s="107"/>
    </row>
    <row r="237" spans="1:18" ht="15.75" customHeight="1" x14ac:dyDescent="0.25">
      <c r="A237" s="107"/>
      <c r="B237" s="107"/>
      <c r="C237" s="107"/>
      <c r="D237" s="107"/>
      <c r="E237" s="107"/>
      <c r="F237" s="107"/>
      <c r="G237" s="107"/>
      <c r="H237" s="107"/>
      <c r="I237" s="107"/>
      <c r="J237" s="107"/>
      <c r="K237" s="107"/>
      <c r="L237" s="107"/>
      <c r="M237" s="107"/>
      <c r="N237" s="107"/>
      <c r="O237" s="59"/>
      <c r="P237" s="107"/>
      <c r="Q237" s="107"/>
      <c r="R237" s="107"/>
    </row>
    <row r="238" spans="1:18" ht="15.75" customHeight="1" x14ac:dyDescent="0.25">
      <c r="A238" s="107"/>
      <c r="B238" s="107"/>
      <c r="C238" s="107"/>
      <c r="D238" s="107"/>
      <c r="E238" s="107"/>
      <c r="F238" s="107"/>
      <c r="G238" s="107"/>
      <c r="H238" s="107"/>
      <c r="I238" s="107"/>
      <c r="J238" s="107"/>
      <c r="K238" s="107"/>
      <c r="L238" s="107"/>
      <c r="M238" s="107"/>
      <c r="N238" s="107"/>
      <c r="O238" s="59"/>
      <c r="P238" s="107"/>
      <c r="Q238" s="107"/>
      <c r="R238" s="107"/>
    </row>
    <row r="239" spans="1:18" ht="15.75" customHeight="1" x14ac:dyDescent="0.25">
      <c r="A239" s="107"/>
      <c r="B239" s="107"/>
      <c r="C239" s="107"/>
      <c r="D239" s="107"/>
      <c r="E239" s="107"/>
      <c r="F239" s="107"/>
      <c r="G239" s="107"/>
      <c r="H239" s="107"/>
      <c r="I239" s="107"/>
      <c r="J239" s="107"/>
      <c r="K239" s="107"/>
      <c r="L239" s="107"/>
      <c r="M239" s="107"/>
      <c r="N239" s="107"/>
      <c r="O239" s="59"/>
      <c r="P239" s="107"/>
      <c r="Q239" s="107"/>
      <c r="R239" s="107"/>
    </row>
    <row r="240" spans="1:18" ht="15.75" customHeight="1" x14ac:dyDescent="0.25">
      <c r="A240" s="107"/>
      <c r="B240" s="107"/>
      <c r="C240" s="107"/>
      <c r="D240" s="107"/>
      <c r="E240" s="107"/>
      <c r="F240" s="107"/>
      <c r="G240" s="107"/>
      <c r="H240" s="107"/>
      <c r="I240" s="107"/>
      <c r="J240" s="107"/>
      <c r="K240" s="107"/>
      <c r="L240" s="107"/>
      <c r="M240" s="107"/>
      <c r="N240" s="107"/>
      <c r="O240" s="59"/>
      <c r="P240" s="107"/>
      <c r="Q240" s="107"/>
      <c r="R240" s="107"/>
    </row>
    <row r="241" spans="1:18" ht="15.75" customHeight="1" x14ac:dyDescent="0.25">
      <c r="A241" s="107"/>
      <c r="B241" s="107"/>
      <c r="C241" s="107"/>
      <c r="D241" s="107"/>
      <c r="E241" s="107"/>
      <c r="F241" s="107"/>
      <c r="G241" s="107"/>
      <c r="H241" s="107"/>
      <c r="I241" s="107"/>
      <c r="J241" s="107"/>
      <c r="K241" s="107"/>
      <c r="L241" s="107"/>
      <c r="M241" s="107"/>
      <c r="N241" s="107"/>
      <c r="O241" s="59"/>
      <c r="P241" s="107"/>
      <c r="Q241" s="107"/>
      <c r="R241" s="107"/>
    </row>
    <row r="242" spans="1:18" ht="15.75" customHeight="1" x14ac:dyDescent="0.25">
      <c r="A242" s="107"/>
      <c r="B242" s="107"/>
      <c r="C242" s="107"/>
      <c r="D242" s="107"/>
      <c r="E242" s="107"/>
      <c r="F242" s="107"/>
      <c r="G242" s="107"/>
      <c r="H242" s="107"/>
      <c r="I242" s="107"/>
      <c r="J242" s="107"/>
      <c r="K242" s="107"/>
      <c r="L242" s="107"/>
      <c r="M242" s="107"/>
      <c r="N242" s="107"/>
      <c r="O242" s="59"/>
      <c r="P242" s="107"/>
      <c r="Q242" s="107"/>
      <c r="R242" s="107"/>
    </row>
    <row r="243" spans="1:18" ht="15.75" customHeight="1" x14ac:dyDescent="0.25">
      <c r="A243" s="107"/>
      <c r="B243" s="107"/>
      <c r="C243" s="107"/>
      <c r="D243" s="107"/>
      <c r="E243" s="107"/>
      <c r="F243" s="107"/>
      <c r="G243" s="107"/>
      <c r="H243" s="107"/>
      <c r="I243" s="107"/>
      <c r="J243" s="107"/>
      <c r="K243" s="107"/>
      <c r="L243" s="107"/>
      <c r="M243" s="107"/>
      <c r="N243" s="107"/>
      <c r="O243" s="59"/>
      <c r="P243" s="107"/>
      <c r="Q243" s="107"/>
      <c r="R243" s="107"/>
    </row>
    <row r="244" spans="1:18" ht="15.75" customHeight="1" x14ac:dyDescent="0.25">
      <c r="A244" s="107"/>
      <c r="B244" s="107"/>
      <c r="C244" s="107"/>
      <c r="D244" s="107"/>
      <c r="E244" s="107"/>
      <c r="F244" s="107"/>
      <c r="G244" s="107"/>
      <c r="H244" s="107"/>
      <c r="I244" s="107"/>
      <c r="J244" s="107"/>
      <c r="K244" s="107"/>
      <c r="L244" s="107"/>
      <c r="M244" s="107"/>
      <c r="N244" s="107"/>
      <c r="O244" s="59"/>
      <c r="P244" s="107"/>
      <c r="Q244" s="107"/>
      <c r="R244" s="107"/>
    </row>
    <row r="245" spans="1:18" ht="15.75" customHeight="1" x14ac:dyDescent="0.25">
      <c r="A245" s="107"/>
      <c r="B245" s="107"/>
      <c r="C245" s="107"/>
      <c r="D245" s="107"/>
      <c r="E245" s="107"/>
      <c r="F245" s="107"/>
      <c r="G245" s="107"/>
      <c r="H245" s="107"/>
      <c r="I245" s="107"/>
      <c r="J245" s="107"/>
      <c r="K245" s="107"/>
      <c r="L245" s="107"/>
      <c r="M245" s="107"/>
      <c r="N245" s="107"/>
      <c r="O245" s="59"/>
      <c r="P245" s="107"/>
      <c r="Q245" s="107"/>
      <c r="R245" s="107"/>
    </row>
    <row r="246" spans="1:18" ht="15.75" customHeight="1" x14ac:dyDescent="0.25">
      <c r="A246" s="107"/>
      <c r="B246" s="107"/>
      <c r="C246" s="107"/>
      <c r="D246" s="107"/>
      <c r="E246" s="107"/>
      <c r="F246" s="107"/>
      <c r="G246" s="107"/>
      <c r="H246" s="107"/>
      <c r="I246" s="107"/>
      <c r="J246" s="107"/>
      <c r="K246" s="107"/>
      <c r="L246" s="107"/>
      <c r="M246" s="107"/>
      <c r="N246" s="107"/>
      <c r="O246" s="59"/>
      <c r="P246" s="107"/>
      <c r="Q246" s="107"/>
      <c r="R246" s="107"/>
    </row>
    <row r="247" spans="1:18" ht="15.75" customHeight="1" x14ac:dyDescent="0.25">
      <c r="A247" s="107"/>
      <c r="B247" s="107"/>
      <c r="C247" s="107"/>
      <c r="D247" s="107"/>
      <c r="E247" s="107"/>
      <c r="F247" s="107"/>
      <c r="G247" s="107"/>
      <c r="H247" s="107"/>
      <c r="I247" s="107"/>
      <c r="J247" s="107"/>
      <c r="K247" s="107"/>
      <c r="L247" s="107"/>
      <c r="M247" s="107"/>
      <c r="N247" s="107"/>
      <c r="O247" s="59"/>
      <c r="P247" s="107"/>
      <c r="Q247" s="107"/>
      <c r="R247" s="107"/>
    </row>
    <row r="248" spans="1:18" ht="15.75" customHeight="1" x14ac:dyDescent="0.25">
      <c r="A248" s="107"/>
      <c r="B248" s="107"/>
      <c r="C248" s="107"/>
      <c r="D248" s="107"/>
      <c r="E248" s="107"/>
      <c r="F248" s="107"/>
      <c r="G248" s="107"/>
      <c r="H248" s="107"/>
      <c r="I248" s="107"/>
      <c r="J248" s="107"/>
      <c r="K248" s="107"/>
      <c r="L248" s="107"/>
      <c r="M248" s="107"/>
      <c r="N248" s="107"/>
      <c r="O248" s="59"/>
      <c r="P248" s="107"/>
      <c r="Q248" s="107"/>
      <c r="R248" s="107"/>
    </row>
    <row r="249" spans="1:18" ht="15.75" customHeight="1" x14ac:dyDescent="0.25">
      <c r="A249" s="107"/>
      <c r="B249" s="107"/>
      <c r="C249" s="107"/>
      <c r="D249" s="107"/>
      <c r="E249" s="107"/>
      <c r="F249" s="107"/>
      <c r="G249" s="107"/>
      <c r="H249" s="107"/>
      <c r="I249" s="107"/>
      <c r="J249" s="107"/>
      <c r="K249" s="107"/>
      <c r="L249" s="107"/>
      <c r="M249" s="107"/>
      <c r="N249" s="107"/>
      <c r="O249" s="59"/>
      <c r="P249" s="107"/>
      <c r="Q249" s="107"/>
      <c r="R249" s="107"/>
    </row>
    <row r="250" spans="1:18" ht="15.75" customHeight="1" x14ac:dyDescent="0.25">
      <c r="A250" s="107"/>
      <c r="B250" s="107"/>
      <c r="C250" s="107"/>
      <c r="D250" s="107"/>
      <c r="E250" s="107"/>
      <c r="F250" s="107"/>
      <c r="G250" s="107"/>
      <c r="H250" s="107"/>
      <c r="I250" s="107"/>
      <c r="J250" s="107"/>
      <c r="K250" s="107"/>
      <c r="L250" s="107"/>
      <c r="M250" s="107"/>
      <c r="N250" s="107"/>
      <c r="O250" s="59"/>
      <c r="P250" s="107"/>
      <c r="Q250" s="107"/>
      <c r="R250" s="107"/>
    </row>
    <row r="251" spans="1:18" ht="15.75" customHeight="1" x14ac:dyDescent="0.25">
      <c r="A251" s="107"/>
      <c r="B251" s="107"/>
      <c r="C251" s="107"/>
      <c r="D251" s="107"/>
      <c r="E251" s="107"/>
      <c r="F251" s="107"/>
      <c r="G251" s="107"/>
      <c r="H251" s="107"/>
      <c r="I251" s="107"/>
      <c r="J251" s="107"/>
      <c r="K251" s="107"/>
      <c r="L251" s="107"/>
      <c r="M251" s="107"/>
      <c r="N251" s="107"/>
      <c r="O251" s="59"/>
      <c r="P251" s="107"/>
      <c r="Q251" s="107"/>
      <c r="R251" s="107"/>
    </row>
    <row r="252" spans="1:18" ht="15.75" customHeight="1" x14ac:dyDescent="0.25">
      <c r="A252" s="107"/>
      <c r="B252" s="107"/>
      <c r="C252" s="107"/>
      <c r="D252" s="107"/>
      <c r="E252" s="107"/>
      <c r="F252" s="107"/>
      <c r="G252" s="107"/>
      <c r="H252" s="107"/>
      <c r="I252" s="107"/>
      <c r="J252" s="107"/>
      <c r="K252" s="107"/>
      <c r="L252" s="107"/>
      <c r="M252" s="107"/>
      <c r="N252" s="107"/>
      <c r="O252" s="59"/>
      <c r="P252" s="107"/>
      <c r="Q252" s="107"/>
      <c r="R252" s="107"/>
    </row>
    <row r="253" spans="1:18" ht="15.75" customHeight="1" x14ac:dyDescent="0.25">
      <c r="A253" s="107"/>
      <c r="B253" s="107"/>
      <c r="C253" s="107"/>
      <c r="D253" s="107"/>
      <c r="E253" s="107"/>
      <c r="F253" s="107"/>
      <c r="G253" s="107"/>
      <c r="H253" s="107"/>
      <c r="I253" s="107"/>
      <c r="J253" s="107"/>
      <c r="K253" s="107"/>
      <c r="L253" s="107"/>
      <c r="M253" s="107"/>
      <c r="N253" s="107"/>
      <c r="O253" s="59"/>
      <c r="P253" s="107"/>
      <c r="Q253" s="107"/>
      <c r="R253" s="107"/>
    </row>
    <row r="254" spans="1:18" ht="15.75" customHeight="1" x14ac:dyDescent="0.25">
      <c r="A254" s="107"/>
      <c r="B254" s="107"/>
      <c r="C254" s="107"/>
      <c r="D254" s="107"/>
      <c r="E254" s="107"/>
      <c r="F254" s="107"/>
      <c r="G254" s="107"/>
      <c r="H254" s="107"/>
      <c r="I254" s="107"/>
      <c r="J254" s="107"/>
      <c r="K254" s="107"/>
      <c r="L254" s="107"/>
      <c r="M254" s="107"/>
      <c r="N254" s="107"/>
      <c r="O254" s="59"/>
      <c r="P254" s="107"/>
      <c r="Q254" s="107"/>
      <c r="R254" s="107"/>
    </row>
    <row r="255" spans="1:18" ht="15.75" customHeight="1" x14ac:dyDescent="0.25">
      <c r="A255" s="107"/>
      <c r="B255" s="107"/>
      <c r="C255" s="107"/>
      <c r="D255" s="107"/>
      <c r="E255" s="107"/>
      <c r="F255" s="107"/>
      <c r="G255" s="107"/>
      <c r="H255" s="107"/>
      <c r="I255" s="107"/>
      <c r="J255" s="107"/>
      <c r="K255" s="107"/>
      <c r="L255" s="107"/>
      <c r="M255" s="107"/>
      <c r="N255" s="107"/>
      <c r="O255" s="59"/>
      <c r="P255" s="107"/>
      <c r="Q255" s="107"/>
      <c r="R255" s="107"/>
    </row>
    <row r="256" spans="1:18" ht="15.75" customHeight="1" x14ac:dyDescent="0.25">
      <c r="A256" s="107"/>
      <c r="B256" s="107"/>
      <c r="C256" s="107"/>
      <c r="D256" s="107"/>
      <c r="E256" s="107"/>
      <c r="F256" s="107"/>
      <c r="G256" s="107"/>
      <c r="H256" s="107"/>
      <c r="I256" s="107"/>
      <c r="J256" s="107"/>
      <c r="K256" s="107"/>
      <c r="L256" s="107"/>
      <c r="M256" s="107"/>
      <c r="N256" s="107"/>
      <c r="O256" s="59"/>
      <c r="P256" s="107"/>
      <c r="Q256" s="107"/>
      <c r="R256" s="107"/>
    </row>
    <row r="257" spans="1:18" ht="15.75" customHeight="1" x14ac:dyDescent="0.25">
      <c r="A257" s="107"/>
      <c r="B257" s="107"/>
      <c r="C257" s="107"/>
      <c r="D257" s="107"/>
      <c r="E257" s="107"/>
      <c r="F257" s="107"/>
      <c r="G257" s="107"/>
      <c r="H257" s="107"/>
      <c r="I257" s="107"/>
      <c r="J257" s="107"/>
      <c r="K257" s="107"/>
      <c r="L257" s="107"/>
      <c r="M257" s="107"/>
      <c r="N257" s="107"/>
      <c r="O257" s="59"/>
      <c r="P257" s="107"/>
      <c r="Q257" s="107"/>
      <c r="R257" s="107"/>
    </row>
    <row r="258" spans="1:18" ht="15.75" customHeight="1" x14ac:dyDescent="0.25">
      <c r="A258" s="107"/>
      <c r="B258" s="107"/>
      <c r="C258" s="107"/>
      <c r="D258" s="107"/>
      <c r="E258" s="107"/>
      <c r="F258" s="107"/>
      <c r="G258" s="107"/>
      <c r="H258" s="107"/>
      <c r="I258" s="107"/>
      <c r="J258" s="107"/>
      <c r="K258" s="107"/>
      <c r="L258" s="107"/>
      <c r="M258" s="107"/>
      <c r="N258" s="107"/>
      <c r="O258" s="59"/>
      <c r="P258" s="107"/>
      <c r="Q258" s="107"/>
      <c r="R258" s="107"/>
    </row>
    <row r="259" spans="1:18" ht="15.75" customHeight="1" x14ac:dyDescent="0.25">
      <c r="A259" s="107"/>
      <c r="B259" s="107"/>
      <c r="C259" s="107"/>
      <c r="D259" s="107"/>
      <c r="E259" s="107"/>
      <c r="F259" s="107"/>
      <c r="G259" s="107"/>
      <c r="H259" s="107"/>
      <c r="I259" s="107"/>
      <c r="J259" s="107"/>
      <c r="K259" s="107"/>
      <c r="L259" s="107"/>
      <c r="M259" s="107"/>
      <c r="N259" s="107"/>
      <c r="O259" s="59"/>
      <c r="P259" s="107"/>
      <c r="Q259" s="107"/>
      <c r="R259" s="107"/>
    </row>
    <row r="260" spans="1:18" ht="15.75" customHeight="1" x14ac:dyDescent="0.25">
      <c r="A260" s="107"/>
      <c r="B260" s="107"/>
      <c r="C260" s="107"/>
      <c r="D260" s="107"/>
      <c r="E260" s="107"/>
      <c r="F260" s="107"/>
      <c r="G260" s="107"/>
      <c r="H260" s="107"/>
      <c r="I260" s="107"/>
      <c r="J260" s="107"/>
      <c r="K260" s="107"/>
      <c r="L260" s="107"/>
      <c r="M260" s="107"/>
      <c r="N260" s="107"/>
      <c r="O260" s="59"/>
      <c r="P260" s="107"/>
      <c r="Q260" s="107"/>
      <c r="R260" s="107"/>
    </row>
    <row r="261" spans="1:18" ht="15.75" customHeight="1" x14ac:dyDescent="0.25">
      <c r="A261" s="107"/>
      <c r="B261" s="107"/>
      <c r="C261" s="107"/>
      <c r="D261" s="107"/>
      <c r="E261" s="107"/>
      <c r="F261" s="107"/>
      <c r="G261" s="107"/>
      <c r="H261" s="107"/>
      <c r="I261" s="107"/>
      <c r="J261" s="107"/>
      <c r="K261" s="107"/>
      <c r="L261" s="107"/>
      <c r="M261" s="107"/>
      <c r="N261" s="107"/>
      <c r="O261" s="59"/>
      <c r="P261" s="107"/>
      <c r="Q261" s="107"/>
      <c r="R261" s="107"/>
    </row>
    <row r="262" spans="1:18" ht="15.75" customHeight="1" x14ac:dyDescent="0.25">
      <c r="A262" s="107"/>
      <c r="B262" s="107"/>
      <c r="C262" s="107"/>
      <c r="D262" s="107"/>
      <c r="E262" s="107"/>
      <c r="F262" s="107"/>
      <c r="G262" s="107"/>
      <c r="H262" s="107"/>
      <c r="I262" s="107"/>
      <c r="J262" s="107"/>
      <c r="K262" s="107"/>
      <c r="L262" s="107"/>
      <c r="M262" s="107"/>
      <c r="N262" s="107"/>
      <c r="O262" s="59"/>
      <c r="P262" s="107"/>
      <c r="Q262" s="107"/>
      <c r="R262" s="107"/>
    </row>
    <row r="263" spans="1:18" ht="15.75" customHeight="1" x14ac:dyDescent="0.25">
      <c r="A263" s="107"/>
      <c r="B263" s="107"/>
      <c r="C263" s="107"/>
      <c r="D263" s="107"/>
      <c r="E263" s="107"/>
      <c r="F263" s="107"/>
      <c r="G263" s="107"/>
      <c r="H263" s="107"/>
      <c r="I263" s="107"/>
      <c r="J263" s="107"/>
      <c r="K263" s="107"/>
      <c r="L263" s="107"/>
      <c r="M263" s="107"/>
      <c r="N263" s="107"/>
      <c r="O263" s="59"/>
      <c r="P263" s="107"/>
      <c r="Q263" s="107"/>
      <c r="R263" s="107"/>
    </row>
    <row r="264" spans="1:18" ht="15.75" customHeight="1" x14ac:dyDescent="0.25">
      <c r="A264" s="107"/>
      <c r="B264" s="107"/>
      <c r="C264" s="107"/>
      <c r="D264" s="107"/>
      <c r="E264" s="107"/>
      <c r="F264" s="107"/>
      <c r="G264" s="107"/>
      <c r="H264" s="107"/>
      <c r="I264" s="107"/>
      <c r="J264" s="107"/>
      <c r="K264" s="107"/>
      <c r="L264" s="107"/>
      <c r="M264" s="107"/>
      <c r="N264" s="107"/>
      <c r="O264" s="59"/>
      <c r="P264" s="107"/>
      <c r="Q264" s="107"/>
      <c r="R264" s="107"/>
    </row>
    <row r="265" spans="1:18" ht="15.75" customHeight="1" x14ac:dyDescent="0.25">
      <c r="A265" s="107"/>
      <c r="B265" s="107"/>
      <c r="C265" s="107"/>
      <c r="D265" s="107"/>
      <c r="E265" s="107"/>
      <c r="F265" s="107"/>
      <c r="G265" s="107"/>
      <c r="H265" s="107"/>
      <c r="I265" s="107"/>
      <c r="J265" s="107"/>
      <c r="K265" s="107"/>
      <c r="L265" s="107"/>
      <c r="M265" s="107"/>
      <c r="N265" s="107"/>
      <c r="O265" s="59"/>
      <c r="P265" s="107"/>
      <c r="Q265" s="107"/>
      <c r="R265" s="107"/>
    </row>
    <row r="266" spans="1:18" ht="15.75" customHeight="1" x14ac:dyDescent="0.25">
      <c r="A266" s="107"/>
      <c r="B266" s="107"/>
      <c r="C266" s="107"/>
      <c r="D266" s="107"/>
      <c r="E266" s="107"/>
      <c r="F266" s="107"/>
      <c r="G266" s="107"/>
      <c r="H266" s="107"/>
      <c r="I266" s="107"/>
      <c r="J266" s="107"/>
      <c r="K266" s="107"/>
      <c r="L266" s="107"/>
      <c r="M266" s="107"/>
      <c r="N266" s="107"/>
      <c r="O266" s="59"/>
      <c r="P266" s="107"/>
      <c r="Q266" s="107"/>
      <c r="R266" s="107"/>
    </row>
    <row r="267" spans="1:18" ht="15.75" customHeight="1" x14ac:dyDescent="0.25">
      <c r="A267" s="107"/>
      <c r="B267" s="107"/>
      <c r="C267" s="107"/>
      <c r="D267" s="107"/>
      <c r="E267" s="107"/>
      <c r="F267" s="107"/>
      <c r="G267" s="107"/>
      <c r="H267" s="107"/>
      <c r="I267" s="107"/>
      <c r="J267" s="107"/>
      <c r="K267" s="107"/>
      <c r="L267" s="107"/>
      <c r="M267" s="107"/>
      <c r="N267" s="107"/>
      <c r="O267" s="59"/>
      <c r="P267" s="107"/>
      <c r="Q267" s="107"/>
      <c r="R267" s="107"/>
    </row>
    <row r="268" spans="1:18" ht="15.75" customHeight="1" x14ac:dyDescent="0.25">
      <c r="A268" s="107"/>
      <c r="B268" s="107"/>
      <c r="C268" s="107"/>
      <c r="D268" s="107"/>
      <c r="E268" s="107"/>
      <c r="F268" s="107"/>
      <c r="G268" s="107"/>
      <c r="H268" s="107"/>
      <c r="I268" s="107"/>
      <c r="J268" s="107"/>
      <c r="K268" s="107"/>
      <c r="L268" s="107"/>
      <c r="M268" s="107"/>
      <c r="N268" s="107"/>
      <c r="O268" s="59"/>
      <c r="P268" s="107"/>
      <c r="Q268" s="107"/>
      <c r="R268" s="107"/>
    </row>
    <row r="269" spans="1:18" ht="15.75" customHeight="1" x14ac:dyDescent="0.25">
      <c r="A269" s="107"/>
      <c r="B269" s="107"/>
      <c r="C269" s="107"/>
      <c r="D269" s="107"/>
      <c r="E269" s="107"/>
      <c r="F269" s="107"/>
      <c r="G269" s="107"/>
      <c r="H269" s="107"/>
      <c r="I269" s="107"/>
      <c r="J269" s="107"/>
      <c r="K269" s="107"/>
      <c r="L269" s="107"/>
      <c r="M269" s="107"/>
      <c r="N269" s="107"/>
      <c r="O269" s="59"/>
      <c r="P269" s="107"/>
      <c r="Q269" s="107"/>
      <c r="R269" s="107"/>
    </row>
    <row r="270" spans="1:18" ht="15.75" customHeight="1" x14ac:dyDescent="0.25">
      <c r="A270" s="107"/>
      <c r="B270" s="107"/>
      <c r="C270" s="107"/>
      <c r="D270" s="107"/>
      <c r="E270" s="107"/>
      <c r="F270" s="107"/>
      <c r="G270" s="107"/>
      <c r="H270" s="107"/>
      <c r="I270" s="107"/>
      <c r="J270" s="107"/>
      <c r="K270" s="107"/>
      <c r="L270" s="107"/>
      <c r="M270" s="107"/>
      <c r="N270" s="107"/>
      <c r="O270" s="59"/>
      <c r="P270" s="107"/>
      <c r="Q270" s="107"/>
      <c r="R270" s="107"/>
    </row>
    <row r="271" spans="1:18" ht="15.75" customHeight="1" x14ac:dyDescent="0.25">
      <c r="A271" s="107"/>
      <c r="B271" s="107"/>
      <c r="C271" s="107"/>
      <c r="D271" s="107"/>
      <c r="E271" s="107"/>
      <c r="F271" s="107"/>
      <c r="G271" s="107"/>
      <c r="H271" s="107"/>
      <c r="I271" s="107"/>
      <c r="J271" s="107"/>
      <c r="K271" s="107"/>
      <c r="L271" s="107"/>
      <c r="M271" s="107"/>
      <c r="N271" s="107"/>
      <c r="O271" s="59"/>
      <c r="P271" s="107"/>
      <c r="Q271" s="107"/>
      <c r="R271" s="107"/>
    </row>
    <row r="272" spans="1:18" ht="15.75" customHeight="1" x14ac:dyDescent="0.25">
      <c r="A272" s="107"/>
      <c r="B272" s="107"/>
      <c r="C272" s="107"/>
      <c r="D272" s="107"/>
      <c r="E272" s="107"/>
      <c r="F272" s="107"/>
      <c r="G272" s="107"/>
      <c r="H272" s="107"/>
      <c r="I272" s="107"/>
      <c r="J272" s="107"/>
      <c r="K272" s="107"/>
      <c r="L272" s="107"/>
      <c r="M272" s="107"/>
      <c r="N272" s="107"/>
      <c r="O272" s="59"/>
      <c r="P272" s="107"/>
      <c r="Q272" s="107"/>
      <c r="R272" s="107"/>
    </row>
    <row r="273" spans="1:18" ht="15.75" customHeight="1" x14ac:dyDescent="0.25">
      <c r="A273" s="107"/>
      <c r="B273" s="107"/>
      <c r="C273" s="107"/>
      <c r="D273" s="107"/>
      <c r="E273" s="107"/>
      <c r="F273" s="107"/>
      <c r="G273" s="107"/>
      <c r="H273" s="107"/>
      <c r="I273" s="107"/>
      <c r="J273" s="107"/>
      <c r="K273" s="107"/>
      <c r="L273" s="107"/>
      <c r="M273" s="107"/>
      <c r="N273" s="107"/>
      <c r="O273" s="59"/>
      <c r="P273" s="107"/>
      <c r="Q273" s="107"/>
      <c r="R273" s="107"/>
    </row>
    <row r="274" spans="1:18" ht="15.75" customHeight="1" x14ac:dyDescent="0.25">
      <c r="A274" s="107"/>
      <c r="B274" s="107"/>
      <c r="C274" s="107"/>
      <c r="D274" s="107"/>
      <c r="E274" s="107"/>
      <c r="F274" s="107"/>
      <c r="G274" s="107"/>
      <c r="H274" s="107"/>
      <c r="I274" s="107"/>
      <c r="J274" s="107"/>
      <c r="K274" s="107"/>
      <c r="L274" s="107"/>
      <c r="M274" s="107"/>
      <c r="N274" s="107"/>
      <c r="O274" s="59"/>
      <c r="P274" s="107"/>
      <c r="Q274" s="107"/>
      <c r="R274" s="107"/>
    </row>
    <row r="275" spans="1:18" ht="15.75" customHeight="1" x14ac:dyDescent="0.25">
      <c r="A275" s="107"/>
      <c r="B275" s="107"/>
      <c r="C275" s="107"/>
      <c r="D275" s="107"/>
      <c r="E275" s="107"/>
      <c r="F275" s="107"/>
      <c r="G275" s="107"/>
      <c r="H275" s="107"/>
      <c r="I275" s="107"/>
      <c r="J275" s="107"/>
      <c r="K275" s="107"/>
      <c r="L275" s="107"/>
      <c r="M275" s="107"/>
      <c r="N275" s="107"/>
      <c r="O275" s="59"/>
      <c r="P275" s="107"/>
      <c r="Q275" s="107"/>
      <c r="R275" s="107"/>
    </row>
    <row r="276" spans="1:18" ht="15.75" customHeight="1" x14ac:dyDescent="0.25">
      <c r="A276" s="107"/>
      <c r="B276" s="107"/>
      <c r="C276" s="107"/>
      <c r="D276" s="107"/>
      <c r="E276" s="107"/>
      <c r="F276" s="107"/>
      <c r="G276" s="107"/>
      <c r="H276" s="107"/>
      <c r="I276" s="107"/>
      <c r="J276" s="107"/>
      <c r="K276" s="107"/>
      <c r="L276" s="107"/>
      <c r="M276" s="107"/>
      <c r="N276" s="107"/>
      <c r="O276" s="59"/>
      <c r="P276" s="107"/>
      <c r="Q276" s="107"/>
      <c r="R276" s="107"/>
    </row>
    <row r="277" spans="1:18" ht="15.75" customHeight="1" x14ac:dyDescent="0.25">
      <c r="A277" s="107"/>
      <c r="B277" s="107"/>
      <c r="C277" s="107"/>
      <c r="D277" s="107"/>
      <c r="E277" s="107"/>
      <c r="F277" s="107"/>
      <c r="G277" s="107"/>
      <c r="H277" s="107"/>
      <c r="I277" s="107"/>
      <c r="J277" s="107"/>
      <c r="K277" s="107"/>
      <c r="L277" s="107"/>
      <c r="M277" s="107"/>
      <c r="N277" s="107"/>
      <c r="O277" s="59"/>
      <c r="P277" s="107"/>
      <c r="Q277" s="107"/>
      <c r="R277" s="107"/>
    </row>
    <row r="278" spans="1:18" ht="15.75" customHeight="1" x14ac:dyDescent="0.25">
      <c r="A278" s="107"/>
      <c r="B278" s="107"/>
      <c r="C278" s="107"/>
      <c r="D278" s="107"/>
      <c r="E278" s="107"/>
      <c r="F278" s="107"/>
      <c r="G278" s="107"/>
      <c r="H278" s="107"/>
      <c r="I278" s="107"/>
      <c r="J278" s="107"/>
      <c r="K278" s="107"/>
      <c r="L278" s="107"/>
      <c r="M278" s="107"/>
      <c r="N278" s="107"/>
      <c r="O278" s="59"/>
      <c r="P278" s="107"/>
      <c r="Q278" s="107"/>
      <c r="R278" s="107"/>
    </row>
    <row r="279" spans="1:18" ht="15.75" customHeight="1" x14ac:dyDescent="0.25">
      <c r="A279" s="107"/>
      <c r="B279" s="107"/>
      <c r="C279" s="107"/>
      <c r="D279" s="107"/>
      <c r="E279" s="107"/>
      <c r="F279" s="107"/>
      <c r="G279" s="107"/>
      <c r="H279" s="107"/>
      <c r="I279" s="107"/>
      <c r="J279" s="107"/>
      <c r="K279" s="107"/>
      <c r="L279" s="107"/>
      <c r="M279" s="107"/>
      <c r="N279" s="107"/>
      <c r="O279" s="59"/>
      <c r="P279" s="107"/>
      <c r="Q279" s="107"/>
      <c r="R279" s="107"/>
    </row>
    <row r="280" spans="1:18" ht="15.75" customHeight="1" x14ac:dyDescent="0.25">
      <c r="A280" s="107"/>
      <c r="B280" s="107"/>
      <c r="C280" s="107"/>
      <c r="D280" s="107"/>
      <c r="E280" s="107"/>
      <c r="F280" s="107"/>
      <c r="G280" s="107"/>
      <c r="H280" s="107"/>
      <c r="I280" s="107"/>
      <c r="J280" s="107"/>
      <c r="K280" s="107"/>
      <c r="L280" s="107"/>
      <c r="M280" s="107"/>
      <c r="N280" s="107"/>
      <c r="O280" s="59"/>
      <c r="P280" s="107"/>
      <c r="Q280" s="107"/>
      <c r="R280" s="107"/>
    </row>
    <row r="281" spans="1:18" ht="15.75" customHeight="1" x14ac:dyDescent="0.25">
      <c r="A281" s="107"/>
      <c r="B281" s="107"/>
      <c r="C281" s="107"/>
      <c r="D281" s="107"/>
      <c r="E281" s="107"/>
      <c r="F281" s="107"/>
      <c r="G281" s="107"/>
      <c r="H281" s="107"/>
      <c r="I281" s="107"/>
      <c r="J281" s="107"/>
      <c r="K281" s="107"/>
      <c r="L281" s="107"/>
      <c r="M281" s="107"/>
      <c r="N281" s="107"/>
      <c r="O281" s="59"/>
      <c r="P281" s="107"/>
      <c r="Q281" s="107"/>
      <c r="R281" s="107"/>
    </row>
    <row r="282" spans="1:18" ht="15.75" customHeight="1" x14ac:dyDescent="0.25">
      <c r="A282" s="107"/>
      <c r="B282" s="107"/>
      <c r="C282" s="107"/>
      <c r="D282" s="107"/>
      <c r="E282" s="107"/>
      <c r="F282" s="107"/>
      <c r="G282" s="107"/>
      <c r="H282" s="107"/>
      <c r="I282" s="107"/>
      <c r="J282" s="107"/>
      <c r="K282" s="107"/>
      <c r="L282" s="107"/>
      <c r="M282" s="107"/>
      <c r="N282" s="107"/>
      <c r="O282" s="59"/>
      <c r="P282" s="107"/>
      <c r="Q282" s="107"/>
      <c r="R282" s="107"/>
    </row>
    <row r="283" spans="1:18" ht="15.75" customHeight="1" x14ac:dyDescent="0.25">
      <c r="A283" s="107"/>
      <c r="B283" s="107"/>
      <c r="C283" s="107"/>
      <c r="D283" s="107"/>
      <c r="E283" s="107"/>
      <c r="F283" s="107"/>
      <c r="G283" s="107"/>
      <c r="H283" s="107"/>
      <c r="I283" s="107"/>
      <c r="J283" s="107"/>
      <c r="K283" s="107"/>
      <c r="L283" s="107"/>
      <c r="M283" s="107"/>
      <c r="N283" s="107"/>
      <c r="O283" s="59"/>
      <c r="P283" s="107"/>
      <c r="Q283" s="107"/>
      <c r="R283" s="107"/>
    </row>
    <row r="284" spans="1:18" ht="15.75" customHeight="1" x14ac:dyDescent="0.25">
      <c r="A284" s="107"/>
      <c r="B284" s="107"/>
      <c r="C284" s="107"/>
      <c r="D284" s="107"/>
      <c r="E284" s="107"/>
      <c r="F284" s="107"/>
      <c r="G284" s="107"/>
      <c r="H284" s="107"/>
      <c r="I284" s="107"/>
      <c r="J284" s="107"/>
      <c r="K284" s="107"/>
      <c r="L284" s="107"/>
      <c r="M284" s="107"/>
      <c r="N284" s="107"/>
      <c r="O284" s="59"/>
      <c r="P284" s="107"/>
      <c r="Q284" s="107"/>
      <c r="R284" s="107"/>
    </row>
    <row r="285" spans="1:18" ht="15.75" customHeight="1" x14ac:dyDescent="0.25">
      <c r="A285" s="107"/>
      <c r="B285" s="107"/>
      <c r="C285" s="107"/>
      <c r="D285" s="107"/>
      <c r="E285" s="107"/>
      <c r="F285" s="107"/>
      <c r="G285" s="107"/>
      <c r="H285" s="107"/>
      <c r="I285" s="107"/>
      <c r="J285" s="107"/>
      <c r="K285" s="107"/>
      <c r="L285" s="107"/>
      <c r="M285" s="107"/>
      <c r="N285" s="107"/>
      <c r="O285" s="59"/>
      <c r="P285" s="107"/>
      <c r="Q285" s="107"/>
      <c r="R285" s="107"/>
    </row>
    <row r="286" spans="1:18" ht="15.75" customHeight="1" x14ac:dyDescent="0.25">
      <c r="A286" s="107"/>
      <c r="B286" s="107"/>
      <c r="C286" s="107"/>
      <c r="D286" s="107"/>
      <c r="E286" s="107"/>
      <c r="F286" s="107"/>
      <c r="G286" s="107"/>
      <c r="H286" s="107"/>
      <c r="I286" s="107"/>
      <c r="J286" s="107"/>
      <c r="K286" s="107"/>
      <c r="L286" s="107"/>
      <c r="M286" s="107"/>
      <c r="N286" s="107"/>
      <c r="O286" s="59"/>
      <c r="P286" s="107"/>
      <c r="Q286" s="107"/>
      <c r="R286" s="107"/>
    </row>
    <row r="287" spans="1:18" ht="15.75" customHeight="1" x14ac:dyDescent="0.25">
      <c r="A287" s="107"/>
      <c r="B287" s="107"/>
      <c r="C287" s="107"/>
      <c r="D287" s="107"/>
      <c r="E287" s="107"/>
      <c r="F287" s="107"/>
      <c r="G287" s="107"/>
      <c r="H287" s="107"/>
      <c r="I287" s="107"/>
      <c r="J287" s="107"/>
      <c r="K287" s="107"/>
      <c r="L287" s="107"/>
      <c r="M287" s="107"/>
      <c r="N287" s="107"/>
      <c r="O287" s="59"/>
      <c r="P287" s="107"/>
      <c r="Q287" s="107"/>
      <c r="R287" s="107"/>
    </row>
    <row r="288" spans="1:18" ht="15.75" customHeight="1" x14ac:dyDescent="0.25">
      <c r="A288" s="107"/>
      <c r="B288" s="107"/>
      <c r="C288" s="107"/>
      <c r="D288" s="107"/>
      <c r="E288" s="107"/>
      <c r="F288" s="107"/>
      <c r="G288" s="107"/>
      <c r="H288" s="107"/>
      <c r="I288" s="107"/>
      <c r="J288" s="107"/>
      <c r="K288" s="107"/>
      <c r="L288" s="107"/>
      <c r="M288" s="107"/>
      <c r="N288" s="107"/>
      <c r="O288" s="59"/>
      <c r="P288" s="107"/>
      <c r="Q288" s="107"/>
      <c r="R288" s="107"/>
    </row>
    <row r="289" spans="1:18" ht="15.75" customHeight="1" x14ac:dyDescent="0.25">
      <c r="A289" s="107"/>
      <c r="B289" s="107"/>
      <c r="C289" s="107"/>
      <c r="D289" s="107"/>
      <c r="E289" s="107"/>
      <c r="F289" s="107"/>
      <c r="G289" s="107"/>
      <c r="H289" s="107"/>
      <c r="I289" s="107"/>
      <c r="J289" s="107"/>
      <c r="K289" s="107"/>
      <c r="L289" s="107"/>
      <c r="M289" s="107"/>
      <c r="N289" s="107"/>
      <c r="O289" s="59"/>
      <c r="P289" s="107"/>
      <c r="Q289" s="107"/>
      <c r="R289" s="107"/>
    </row>
    <row r="290" spans="1:18" ht="15.75" customHeight="1" x14ac:dyDescent="0.25">
      <c r="A290" s="107"/>
      <c r="B290" s="107"/>
      <c r="C290" s="107"/>
      <c r="D290" s="107"/>
      <c r="E290" s="107"/>
      <c r="F290" s="107"/>
      <c r="G290" s="107"/>
      <c r="H290" s="107"/>
      <c r="I290" s="107"/>
      <c r="J290" s="107"/>
      <c r="K290" s="107"/>
      <c r="L290" s="107"/>
      <c r="M290" s="107"/>
      <c r="N290" s="107"/>
      <c r="O290" s="59"/>
      <c r="P290" s="107"/>
      <c r="Q290" s="107"/>
      <c r="R290" s="107"/>
    </row>
    <row r="291" spans="1:18" ht="15.75" customHeight="1" x14ac:dyDescent="0.25">
      <c r="A291" s="107"/>
      <c r="B291" s="107"/>
      <c r="C291" s="107"/>
      <c r="D291" s="107"/>
      <c r="E291" s="107"/>
      <c r="F291" s="107"/>
      <c r="G291" s="107"/>
      <c r="H291" s="107"/>
      <c r="I291" s="107"/>
      <c r="J291" s="107"/>
      <c r="K291" s="107"/>
      <c r="L291" s="107"/>
      <c r="M291" s="107"/>
      <c r="N291" s="107"/>
      <c r="O291" s="59"/>
      <c r="P291" s="107"/>
      <c r="Q291" s="107"/>
      <c r="R291" s="107"/>
    </row>
    <row r="292" spans="1:18" ht="15.75" customHeight="1" x14ac:dyDescent="0.25">
      <c r="A292" s="107"/>
      <c r="B292" s="107"/>
      <c r="C292" s="107"/>
      <c r="D292" s="107"/>
      <c r="E292" s="107"/>
      <c r="F292" s="107"/>
      <c r="G292" s="107"/>
      <c r="H292" s="107"/>
      <c r="I292" s="107"/>
      <c r="J292" s="107"/>
      <c r="K292" s="107"/>
      <c r="L292" s="107"/>
      <c r="M292" s="107"/>
      <c r="N292" s="107"/>
      <c r="O292" s="59"/>
      <c r="P292" s="107"/>
      <c r="Q292" s="107"/>
      <c r="R292" s="107"/>
    </row>
    <row r="293" spans="1:18" ht="15.75" customHeight="1" x14ac:dyDescent="0.25">
      <c r="A293" s="107"/>
      <c r="B293" s="107"/>
      <c r="C293" s="107"/>
      <c r="D293" s="107"/>
      <c r="E293" s="107"/>
      <c r="F293" s="107"/>
      <c r="G293" s="107"/>
      <c r="H293" s="107"/>
      <c r="I293" s="107"/>
      <c r="J293" s="107"/>
      <c r="K293" s="107"/>
      <c r="L293" s="107"/>
      <c r="M293" s="107"/>
      <c r="N293" s="107"/>
      <c r="O293" s="59"/>
      <c r="P293" s="107"/>
      <c r="Q293" s="107"/>
      <c r="R293" s="107"/>
    </row>
    <row r="294" spans="1:18" ht="15.75" customHeight="1" x14ac:dyDescent="0.25">
      <c r="A294" s="107"/>
      <c r="B294" s="107"/>
      <c r="C294" s="107"/>
      <c r="D294" s="107"/>
      <c r="E294" s="107"/>
      <c r="F294" s="107"/>
      <c r="G294" s="107"/>
      <c r="H294" s="107"/>
      <c r="I294" s="107"/>
      <c r="J294" s="107"/>
      <c r="K294" s="107"/>
      <c r="L294" s="107"/>
      <c r="M294" s="107"/>
      <c r="N294" s="107"/>
      <c r="O294" s="59"/>
      <c r="P294" s="107"/>
      <c r="Q294" s="107"/>
      <c r="R294" s="107"/>
    </row>
    <row r="295" spans="1:18" ht="15.75" customHeight="1" x14ac:dyDescent="0.25">
      <c r="A295" s="107"/>
      <c r="B295" s="107"/>
      <c r="C295" s="107"/>
      <c r="D295" s="107"/>
      <c r="E295" s="107"/>
      <c r="F295" s="107"/>
      <c r="G295" s="107"/>
      <c r="H295" s="107"/>
      <c r="I295" s="107"/>
      <c r="J295" s="107"/>
      <c r="K295" s="107"/>
      <c r="L295" s="107"/>
      <c r="M295" s="107"/>
      <c r="N295" s="107"/>
      <c r="O295" s="59"/>
      <c r="P295" s="107"/>
      <c r="Q295" s="107"/>
      <c r="R295" s="107"/>
    </row>
    <row r="296" spans="1:18" ht="15.75" customHeight="1" x14ac:dyDescent="0.25">
      <c r="A296" s="107"/>
      <c r="B296" s="107"/>
      <c r="C296" s="107"/>
      <c r="D296" s="107"/>
      <c r="E296" s="107"/>
      <c r="F296" s="107"/>
      <c r="G296" s="107"/>
      <c r="H296" s="107"/>
      <c r="I296" s="107"/>
      <c r="J296" s="107"/>
      <c r="K296" s="107"/>
      <c r="L296" s="107"/>
      <c r="M296" s="107"/>
      <c r="N296" s="107"/>
      <c r="O296" s="59"/>
      <c r="P296" s="107"/>
      <c r="Q296" s="107"/>
      <c r="R296" s="107"/>
    </row>
    <row r="297" spans="1:18" ht="15.75" customHeight="1" x14ac:dyDescent="0.25">
      <c r="A297" s="107"/>
      <c r="B297" s="107"/>
      <c r="C297" s="107"/>
      <c r="D297" s="107"/>
      <c r="E297" s="107"/>
      <c r="F297" s="107"/>
      <c r="G297" s="107"/>
      <c r="H297" s="107"/>
      <c r="I297" s="107"/>
      <c r="J297" s="107"/>
      <c r="K297" s="107"/>
      <c r="L297" s="107"/>
      <c r="M297" s="107"/>
      <c r="N297" s="107"/>
      <c r="O297" s="59"/>
      <c r="P297" s="107"/>
      <c r="Q297" s="107"/>
      <c r="R297" s="107"/>
    </row>
    <row r="298" spans="1:18" ht="15.75" customHeight="1" x14ac:dyDescent="0.25">
      <c r="A298" s="107"/>
      <c r="B298" s="107"/>
      <c r="C298" s="107"/>
      <c r="D298" s="107"/>
      <c r="E298" s="107"/>
      <c r="F298" s="107"/>
      <c r="G298" s="107"/>
      <c r="H298" s="107"/>
      <c r="I298" s="107"/>
      <c r="J298" s="107"/>
      <c r="K298" s="107"/>
      <c r="L298" s="107"/>
      <c r="M298" s="107"/>
      <c r="N298" s="107"/>
      <c r="O298" s="59"/>
      <c r="P298" s="107"/>
      <c r="Q298" s="107"/>
      <c r="R298" s="107"/>
    </row>
    <row r="299" spans="1:18" ht="15.75" customHeight="1" x14ac:dyDescent="0.25">
      <c r="A299" s="107"/>
      <c r="B299" s="107"/>
      <c r="C299" s="107"/>
      <c r="D299" s="107"/>
      <c r="E299" s="107"/>
      <c r="F299" s="107"/>
      <c r="G299" s="107"/>
      <c r="H299" s="107"/>
      <c r="I299" s="107"/>
      <c r="J299" s="107"/>
      <c r="K299" s="107"/>
      <c r="L299" s="107"/>
      <c r="M299" s="107"/>
      <c r="N299" s="107"/>
      <c r="O299" s="59"/>
      <c r="P299" s="107"/>
      <c r="Q299" s="107"/>
      <c r="R299" s="107"/>
    </row>
    <row r="300" spans="1:18" ht="15.75" customHeight="1" x14ac:dyDescent="0.25">
      <c r="A300" s="107"/>
      <c r="B300" s="107"/>
      <c r="C300" s="107"/>
      <c r="D300" s="107"/>
      <c r="E300" s="107"/>
      <c r="F300" s="107"/>
      <c r="G300" s="107"/>
      <c r="H300" s="107"/>
      <c r="I300" s="107"/>
      <c r="J300" s="107"/>
      <c r="K300" s="107"/>
      <c r="L300" s="107"/>
      <c r="M300" s="107"/>
      <c r="N300" s="107"/>
      <c r="O300" s="59"/>
      <c r="P300" s="107"/>
      <c r="Q300" s="107"/>
      <c r="R300" s="107"/>
    </row>
    <row r="301" spans="1:18" ht="15.75" customHeight="1" x14ac:dyDescent="0.25">
      <c r="A301" s="107"/>
      <c r="B301" s="107"/>
      <c r="C301" s="107"/>
      <c r="D301" s="107"/>
      <c r="E301" s="107"/>
      <c r="F301" s="107"/>
      <c r="G301" s="107"/>
      <c r="H301" s="107"/>
      <c r="I301" s="107"/>
      <c r="J301" s="107"/>
      <c r="K301" s="107"/>
      <c r="L301" s="107"/>
      <c r="M301" s="107"/>
      <c r="N301" s="107"/>
      <c r="O301" s="59"/>
      <c r="P301" s="107"/>
      <c r="Q301" s="107"/>
      <c r="R301" s="107"/>
    </row>
    <row r="302" spans="1:18" ht="15.75" customHeight="1" x14ac:dyDescent="0.25">
      <c r="A302" s="107"/>
      <c r="B302" s="107"/>
      <c r="C302" s="107"/>
      <c r="D302" s="107"/>
      <c r="E302" s="107"/>
      <c r="F302" s="107"/>
      <c r="G302" s="107"/>
      <c r="H302" s="107"/>
      <c r="I302" s="107"/>
      <c r="J302" s="107"/>
      <c r="K302" s="107"/>
      <c r="L302" s="107"/>
      <c r="M302" s="107"/>
      <c r="N302" s="107"/>
      <c r="O302" s="59"/>
      <c r="P302" s="107"/>
      <c r="Q302" s="107"/>
      <c r="R302" s="107"/>
    </row>
    <row r="303" spans="1:18" ht="15.75" customHeight="1" x14ac:dyDescent="0.25">
      <c r="A303" s="107"/>
      <c r="B303" s="107"/>
      <c r="C303" s="107"/>
      <c r="D303" s="107"/>
      <c r="E303" s="107"/>
      <c r="F303" s="107"/>
      <c r="G303" s="107"/>
      <c r="H303" s="107"/>
      <c r="I303" s="107"/>
      <c r="J303" s="107"/>
      <c r="K303" s="107"/>
      <c r="L303" s="107"/>
      <c r="M303" s="107"/>
      <c r="N303" s="107"/>
      <c r="O303" s="59"/>
      <c r="P303" s="107"/>
      <c r="Q303" s="107"/>
      <c r="R303" s="107"/>
    </row>
    <row r="304" spans="1:18" ht="15.75" customHeight="1" x14ac:dyDescent="0.25">
      <c r="A304" s="107"/>
      <c r="B304" s="107"/>
      <c r="C304" s="107"/>
      <c r="D304" s="107"/>
      <c r="E304" s="107"/>
      <c r="F304" s="107"/>
      <c r="G304" s="107"/>
      <c r="H304" s="107"/>
      <c r="I304" s="107"/>
      <c r="J304" s="107"/>
      <c r="K304" s="107"/>
      <c r="L304" s="107"/>
      <c r="M304" s="107"/>
      <c r="N304" s="107"/>
      <c r="O304" s="59"/>
      <c r="P304" s="107"/>
      <c r="Q304" s="107"/>
      <c r="R304" s="107"/>
    </row>
    <row r="305" spans="1:18" ht="15.75" customHeight="1" x14ac:dyDescent="0.25">
      <c r="A305" s="107"/>
      <c r="B305" s="107"/>
      <c r="C305" s="107"/>
      <c r="D305" s="107"/>
      <c r="E305" s="107"/>
      <c r="F305" s="107"/>
      <c r="G305" s="107"/>
      <c r="H305" s="107"/>
      <c r="I305" s="107"/>
      <c r="J305" s="107"/>
      <c r="K305" s="107"/>
      <c r="L305" s="107"/>
      <c r="M305" s="107"/>
      <c r="N305" s="107"/>
      <c r="O305" s="59"/>
      <c r="P305" s="107"/>
      <c r="Q305" s="107"/>
      <c r="R305" s="107"/>
    </row>
    <row r="306" spans="1:18" ht="15.75" customHeight="1" x14ac:dyDescent="0.25">
      <c r="A306" s="107"/>
      <c r="B306" s="107"/>
      <c r="C306" s="107"/>
      <c r="D306" s="107"/>
      <c r="E306" s="107"/>
      <c r="F306" s="107"/>
      <c r="G306" s="107"/>
      <c r="H306" s="107"/>
      <c r="I306" s="107"/>
      <c r="J306" s="107"/>
      <c r="K306" s="107"/>
      <c r="L306" s="107"/>
      <c r="M306" s="107"/>
      <c r="N306" s="107"/>
      <c r="O306" s="59"/>
      <c r="P306" s="107"/>
      <c r="Q306" s="107"/>
      <c r="R306" s="107"/>
    </row>
    <row r="307" spans="1:18" ht="15.75" customHeight="1" x14ac:dyDescent="0.25">
      <c r="A307" s="107"/>
      <c r="B307" s="107"/>
      <c r="C307" s="107"/>
      <c r="D307" s="107"/>
      <c r="E307" s="107"/>
      <c r="F307" s="107"/>
      <c r="G307" s="107"/>
      <c r="H307" s="107"/>
      <c r="I307" s="107"/>
      <c r="J307" s="107"/>
      <c r="K307" s="107"/>
      <c r="L307" s="107"/>
      <c r="M307" s="107"/>
      <c r="N307" s="107"/>
      <c r="O307" s="59"/>
      <c r="P307" s="107"/>
      <c r="Q307" s="107"/>
      <c r="R307" s="107"/>
    </row>
    <row r="308" spans="1:18" ht="15.75" customHeight="1" x14ac:dyDescent="0.25">
      <c r="A308" s="107"/>
      <c r="B308" s="107"/>
      <c r="C308" s="107"/>
      <c r="D308" s="107"/>
      <c r="E308" s="107"/>
      <c r="F308" s="107"/>
      <c r="G308" s="107"/>
      <c r="H308" s="107"/>
      <c r="I308" s="107"/>
      <c r="J308" s="107"/>
      <c r="K308" s="107"/>
      <c r="L308" s="107"/>
      <c r="M308" s="107"/>
      <c r="N308" s="107"/>
      <c r="O308" s="59"/>
      <c r="P308" s="107"/>
      <c r="Q308" s="107"/>
      <c r="R308" s="107"/>
    </row>
    <row r="309" spans="1:18" ht="15.75" customHeight="1" x14ac:dyDescent="0.25">
      <c r="A309" s="107"/>
      <c r="B309" s="107"/>
      <c r="C309" s="107"/>
      <c r="D309" s="107"/>
      <c r="E309" s="107"/>
      <c r="F309" s="107"/>
      <c r="G309" s="107"/>
      <c r="H309" s="107"/>
      <c r="I309" s="107"/>
      <c r="J309" s="107"/>
      <c r="K309" s="107"/>
      <c r="L309" s="107"/>
      <c r="M309" s="107"/>
      <c r="N309" s="107"/>
      <c r="O309" s="59"/>
      <c r="P309" s="107"/>
      <c r="Q309" s="107"/>
      <c r="R309" s="107"/>
    </row>
    <row r="310" spans="1:18" ht="15.75" customHeight="1" x14ac:dyDescent="0.25">
      <c r="A310" s="107"/>
      <c r="B310" s="107"/>
      <c r="C310" s="107"/>
      <c r="D310" s="107"/>
      <c r="E310" s="107"/>
      <c r="F310" s="107"/>
      <c r="G310" s="107"/>
      <c r="H310" s="107"/>
      <c r="I310" s="107"/>
      <c r="J310" s="107"/>
      <c r="K310" s="107"/>
      <c r="L310" s="107"/>
      <c r="M310" s="107"/>
      <c r="N310" s="107"/>
      <c r="O310" s="59"/>
      <c r="P310" s="107"/>
      <c r="Q310" s="107"/>
      <c r="R310" s="107"/>
    </row>
    <row r="311" spans="1:18" ht="15.75" customHeight="1" x14ac:dyDescent="0.25">
      <c r="A311" s="107"/>
      <c r="B311" s="107"/>
      <c r="C311" s="107"/>
      <c r="D311" s="107"/>
      <c r="E311" s="107"/>
      <c r="F311" s="107"/>
      <c r="G311" s="107"/>
      <c r="H311" s="107"/>
      <c r="I311" s="107"/>
      <c r="J311" s="107"/>
      <c r="K311" s="107"/>
      <c r="L311" s="107"/>
      <c r="M311" s="107"/>
      <c r="N311" s="107"/>
      <c r="O311" s="59"/>
      <c r="P311" s="107"/>
      <c r="Q311" s="107"/>
      <c r="R311" s="107"/>
    </row>
    <row r="312" spans="1:18" ht="15.75" customHeight="1" x14ac:dyDescent="0.25">
      <c r="A312" s="107"/>
      <c r="B312" s="107"/>
      <c r="C312" s="107"/>
      <c r="D312" s="107"/>
      <c r="E312" s="107"/>
      <c r="F312" s="107"/>
      <c r="G312" s="107"/>
      <c r="H312" s="107"/>
      <c r="I312" s="107"/>
      <c r="J312" s="107"/>
      <c r="K312" s="107"/>
      <c r="L312" s="107"/>
      <c r="M312" s="107"/>
      <c r="N312" s="107"/>
      <c r="O312" s="59"/>
      <c r="P312" s="107"/>
      <c r="Q312" s="107"/>
      <c r="R312" s="107"/>
    </row>
    <row r="313" spans="1:18" ht="15.75" customHeight="1" x14ac:dyDescent="0.25">
      <c r="A313" s="107"/>
      <c r="B313" s="107"/>
      <c r="C313" s="107"/>
      <c r="D313" s="107"/>
      <c r="E313" s="107"/>
      <c r="F313" s="107"/>
      <c r="G313" s="107"/>
      <c r="H313" s="107"/>
      <c r="I313" s="107"/>
      <c r="J313" s="107"/>
      <c r="K313" s="107"/>
      <c r="L313" s="107"/>
      <c r="M313" s="107"/>
      <c r="N313" s="107"/>
      <c r="O313" s="59"/>
      <c r="P313" s="107"/>
      <c r="Q313" s="107"/>
      <c r="R313" s="107"/>
    </row>
    <row r="314" spans="1:18" ht="15.75" customHeight="1" x14ac:dyDescent="0.25">
      <c r="A314" s="107"/>
      <c r="B314" s="107"/>
      <c r="C314" s="107"/>
      <c r="D314" s="107"/>
      <c r="E314" s="107"/>
      <c r="F314" s="107"/>
      <c r="G314" s="107"/>
      <c r="H314" s="107"/>
      <c r="I314" s="107"/>
      <c r="J314" s="107"/>
      <c r="K314" s="107"/>
      <c r="L314" s="107"/>
      <c r="M314" s="107"/>
      <c r="N314" s="107"/>
      <c r="O314" s="59"/>
      <c r="P314" s="107"/>
      <c r="Q314" s="107"/>
      <c r="R314" s="107"/>
    </row>
    <row r="315" spans="1:18" ht="15.75" customHeight="1" x14ac:dyDescent="0.25">
      <c r="A315" s="107"/>
      <c r="B315" s="107"/>
      <c r="C315" s="107"/>
      <c r="D315" s="107"/>
      <c r="E315" s="107"/>
      <c r="F315" s="107"/>
      <c r="G315" s="107"/>
      <c r="H315" s="107"/>
      <c r="I315" s="107"/>
      <c r="J315" s="107"/>
      <c r="K315" s="107"/>
      <c r="L315" s="107"/>
      <c r="M315" s="107"/>
      <c r="N315" s="107"/>
      <c r="O315" s="59"/>
      <c r="P315" s="107"/>
      <c r="Q315" s="107"/>
      <c r="R315" s="107"/>
    </row>
    <row r="316" spans="1:18" ht="15.75" customHeight="1" x14ac:dyDescent="0.25">
      <c r="A316" s="107"/>
      <c r="B316" s="107"/>
      <c r="C316" s="107"/>
      <c r="D316" s="107"/>
      <c r="E316" s="107"/>
      <c r="F316" s="107"/>
      <c r="G316" s="107"/>
      <c r="H316" s="107"/>
      <c r="I316" s="107"/>
      <c r="J316" s="107"/>
      <c r="K316" s="107"/>
      <c r="L316" s="107"/>
      <c r="M316" s="107"/>
      <c r="N316" s="107"/>
      <c r="O316" s="59"/>
      <c r="P316" s="107"/>
      <c r="Q316" s="107"/>
      <c r="R316" s="107"/>
    </row>
    <row r="317" spans="1:18" ht="15.75" customHeight="1" x14ac:dyDescent="0.25">
      <c r="A317" s="107"/>
      <c r="B317" s="107"/>
      <c r="C317" s="107"/>
      <c r="D317" s="107"/>
      <c r="E317" s="107"/>
      <c r="F317" s="107"/>
      <c r="G317" s="107"/>
      <c r="H317" s="107"/>
      <c r="I317" s="107"/>
      <c r="J317" s="107"/>
      <c r="K317" s="107"/>
      <c r="L317" s="107"/>
      <c r="M317" s="107"/>
      <c r="N317" s="107"/>
      <c r="O317" s="59"/>
      <c r="P317" s="107"/>
      <c r="Q317" s="107"/>
      <c r="R317" s="107"/>
    </row>
    <row r="318" spans="1:18" ht="15.75" customHeight="1" x14ac:dyDescent="0.25">
      <c r="A318" s="107"/>
      <c r="B318" s="107"/>
      <c r="C318" s="107"/>
      <c r="D318" s="107"/>
      <c r="E318" s="107"/>
      <c r="F318" s="107"/>
      <c r="G318" s="107"/>
      <c r="H318" s="107"/>
      <c r="I318" s="107"/>
      <c r="J318" s="107"/>
      <c r="K318" s="107"/>
      <c r="L318" s="107"/>
      <c r="M318" s="107"/>
      <c r="N318" s="107"/>
      <c r="O318" s="59"/>
      <c r="P318" s="107"/>
      <c r="Q318" s="107"/>
      <c r="R318" s="107"/>
    </row>
    <row r="319" spans="1:18" ht="15.75" customHeight="1" x14ac:dyDescent="0.25">
      <c r="A319" s="107"/>
      <c r="B319" s="107"/>
      <c r="C319" s="107"/>
      <c r="D319" s="107"/>
      <c r="E319" s="107"/>
      <c r="F319" s="107"/>
      <c r="G319" s="107"/>
      <c r="H319" s="107"/>
      <c r="I319" s="107"/>
      <c r="J319" s="107"/>
      <c r="K319" s="107"/>
      <c r="L319" s="107"/>
      <c r="M319" s="107"/>
      <c r="N319" s="107"/>
      <c r="O319" s="59"/>
      <c r="P319" s="107"/>
      <c r="Q319" s="107"/>
      <c r="R319" s="107"/>
    </row>
    <row r="320" spans="1:18" ht="15.75" customHeight="1" x14ac:dyDescent="0.25">
      <c r="A320" s="107"/>
      <c r="B320" s="107"/>
      <c r="C320" s="107"/>
      <c r="D320" s="107"/>
      <c r="E320" s="107"/>
      <c r="F320" s="107"/>
      <c r="G320" s="107"/>
      <c r="H320" s="107"/>
      <c r="I320" s="107"/>
      <c r="J320" s="107"/>
      <c r="K320" s="107"/>
      <c r="L320" s="107"/>
      <c r="M320" s="107"/>
      <c r="N320" s="107"/>
      <c r="O320" s="59"/>
      <c r="P320" s="107"/>
      <c r="Q320" s="107"/>
      <c r="R320" s="107"/>
    </row>
    <row r="321" spans="1:18" ht="15.75" customHeight="1" x14ac:dyDescent="0.25">
      <c r="A321" s="107"/>
      <c r="B321" s="107"/>
      <c r="C321" s="107"/>
      <c r="D321" s="107"/>
      <c r="E321" s="107"/>
      <c r="F321" s="107"/>
      <c r="G321" s="107"/>
      <c r="H321" s="107"/>
      <c r="I321" s="107"/>
      <c r="J321" s="107"/>
      <c r="K321" s="107"/>
      <c r="L321" s="107"/>
      <c r="M321" s="107"/>
      <c r="N321" s="107"/>
      <c r="O321" s="59"/>
      <c r="P321" s="107"/>
      <c r="Q321" s="107"/>
      <c r="R321" s="107"/>
    </row>
    <row r="322" spans="1:18" ht="15.75" customHeight="1" x14ac:dyDescent="0.25">
      <c r="A322" s="107"/>
      <c r="B322" s="107"/>
      <c r="C322" s="107"/>
      <c r="D322" s="107"/>
      <c r="E322" s="107"/>
      <c r="F322" s="107"/>
      <c r="G322" s="107"/>
      <c r="H322" s="107"/>
      <c r="I322" s="107"/>
      <c r="J322" s="107"/>
      <c r="K322" s="107"/>
      <c r="L322" s="107"/>
      <c r="M322" s="107"/>
      <c r="N322" s="107"/>
      <c r="O322" s="59"/>
      <c r="P322" s="107"/>
      <c r="Q322" s="107"/>
      <c r="R322" s="107"/>
    </row>
    <row r="323" spans="1:18" ht="15.75" customHeight="1" x14ac:dyDescent="0.25">
      <c r="A323" s="107"/>
      <c r="B323" s="107"/>
      <c r="C323" s="107"/>
      <c r="D323" s="107"/>
      <c r="E323" s="107"/>
      <c r="F323" s="107"/>
      <c r="G323" s="107"/>
      <c r="H323" s="107"/>
      <c r="I323" s="107"/>
      <c r="J323" s="107"/>
      <c r="K323" s="107"/>
      <c r="L323" s="107"/>
      <c r="M323" s="107"/>
      <c r="N323" s="107"/>
      <c r="O323" s="59"/>
      <c r="P323" s="107"/>
      <c r="Q323" s="107"/>
      <c r="R323" s="107"/>
    </row>
    <row r="324" spans="1:18" ht="15.75" customHeight="1" x14ac:dyDescent="0.25">
      <c r="A324" s="107"/>
      <c r="B324" s="107"/>
      <c r="C324" s="107"/>
      <c r="D324" s="107"/>
      <c r="E324" s="107"/>
      <c r="F324" s="107"/>
      <c r="G324" s="107"/>
      <c r="H324" s="107"/>
      <c r="I324" s="107"/>
      <c r="J324" s="107"/>
      <c r="K324" s="107"/>
      <c r="L324" s="107"/>
      <c r="M324" s="107"/>
      <c r="N324" s="107"/>
      <c r="O324" s="59"/>
      <c r="P324" s="107"/>
      <c r="Q324" s="107"/>
      <c r="R324" s="107"/>
    </row>
    <row r="325" spans="1:18" ht="15.75" customHeight="1" x14ac:dyDescent="0.25">
      <c r="A325" s="107"/>
      <c r="B325" s="107"/>
      <c r="C325" s="107"/>
      <c r="D325" s="107"/>
      <c r="E325" s="107"/>
      <c r="F325" s="107"/>
      <c r="G325" s="107"/>
      <c r="H325" s="107"/>
      <c r="I325" s="107"/>
      <c r="J325" s="107"/>
      <c r="K325" s="107"/>
      <c r="L325" s="107"/>
      <c r="M325" s="107"/>
      <c r="N325" s="107"/>
      <c r="O325" s="59"/>
      <c r="P325" s="107"/>
      <c r="Q325" s="107"/>
      <c r="R325" s="107"/>
    </row>
    <row r="326" spans="1:18" ht="15.75" customHeight="1" x14ac:dyDescent="0.25">
      <c r="A326" s="107"/>
      <c r="B326" s="107"/>
      <c r="C326" s="107"/>
      <c r="D326" s="107"/>
      <c r="E326" s="107"/>
      <c r="F326" s="107"/>
      <c r="G326" s="107"/>
      <c r="H326" s="107"/>
      <c r="I326" s="107"/>
      <c r="J326" s="107"/>
      <c r="K326" s="107"/>
      <c r="L326" s="107"/>
      <c r="M326" s="107"/>
      <c r="N326" s="107"/>
      <c r="O326" s="59"/>
      <c r="P326" s="107"/>
      <c r="Q326" s="107"/>
      <c r="R326" s="107"/>
    </row>
    <row r="327" spans="1:18" ht="15.75" customHeight="1" x14ac:dyDescent="0.25">
      <c r="A327" s="107"/>
      <c r="B327" s="107"/>
      <c r="C327" s="107"/>
      <c r="D327" s="107"/>
      <c r="E327" s="107"/>
      <c r="F327" s="107"/>
      <c r="G327" s="107"/>
      <c r="H327" s="107"/>
      <c r="I327" s="107"/>
      <c r="J327" s="107"/>
      <c r="K327" s="107"/>
      <c r="L327" s="107"/>
      <c r="M327" s="107"/>
      <c r="N327" s="107"/>
      <c r="O327" s="59"/>
      <c r="P327" s="107"/>
      <c r="Q327" s="107"/>
      <c r="R327" s="107"/>
    </row>
    <row r="328" spans="1:18" ht="15.75" customHeight="1" x14ac:dyDescent="0.25">
      <c r="A328" s="107"/>
      <c r="B328" s="107"/>
      <c r="C328" s="107"/>
      <c r="D328" s="107"/>
      <c r="E328" s="107"/>
      <c r="F328" s="107"/>
      <c r="G328" s="107"/>
      <c r="H328" s="107"/>
      <c r="I328" s="107"/>
      <c r="J328" s="107"/>
      <c r="K328" s="107"/>
      <c r="L328" s="107"/>
      <c r="M328" s="107"/>
      <c r="N328" s="107"/>
      <c r="O328" s="59"/>
      <c r="P328" s="107"/>
      <c r="Q328" s="107"/>
      <c r="R328" s="107"/>
    </row>
    <row r="329" spans="1:18" ht="15.75" customHeight="1" x14ac:dyDescent="0.25">
      <c r="A329" s="107"/>
      <c r="B329" s="107"/>
      <c r="C329" s="107"/>
      <c r="D329" s="107"/>
      <c r="E329" s="107"/>
      <c r="F329" s="107"/>
      <c r="G329" s="107"/>
      <c r="H329" s="107"/>
      <c r="I329" s="107"/>
      <c r="J329" s="107"/>
      <c r="K329" s="107"/>
      <c r="L329" s="107"/>
      <c r="M329" s="107"/>
      <c r="N329" s="107"/>
      <c r="O329" s="59"/>
      <c r="P329" s="107"/>
      <c r="Q329" s="107"/>
      <c r="R329" s="107"/>
    </row>
    <row r="330" spans="1:18" ht="15.75" customHeight="1" x14ac:dyDescent="0.25">
      <c r="A330" s="107"/>
      <c r="B330" s="107"/>
      <c r="C330" s="107"/>
      <c r="D330" s="107"/>
      <c r="E330" s="107"/>
      <c r="F330" s="107"/>
      <c r="G330" s="107"/>
      <c r="H330" s="107"/>
      <c r="I330" s="107"/>
      <c r="J330" s="107"/>
      <c r="K330" s="107"/>
      <c r="L330" s="107"/>
      <c r="M330" s="107"/>
      <c r="N330" s="107"/>
      <c r="O330" s="59"/>
      <c r="P330" s="107"/>
      <c r="Q330" s="107"/>
      <c r="R330" s="107"/>
    </row>
    <row r="331" spans="1:18" ht="15.75" customHeight="1" x14ac:dyDescent="0.25">
      <c r="A331" s="107"/>
      <c r="B331" s="107"/>
      <c r="C331" s="107"/>
      <c r="D331" s="107"/>
      <c r="E331" s="107"/>
      <c r="F331" s="107"/>
      <c r="G331" s="107"/>
      <c r="H331" s="107"/>
      <c r="I331" s="107"/>
      <c r="J331" s="107"/>
      <c r="K331" s="107"/>
      <c r="L331" s="107"/>
      <c r="M331" s="107"/>
      <c r="N331" s="107"/>
      <c r="O331" s="59"/>
      <c r="P331" s="107"/>
      <c r="Q331" s="107"/>
      <c r="R331" s="107"/>
    </row>
    <row r="332" spans="1:18" ht="15.75" customHeight="1" x14ac:dyDescent="0.25">
      <c r="A332" s="107"/>
      <c r="B332" s="107"/>
      <c r="C332" s="107"/>
      <c r="D332" s="107"/>
      <c r="E332" s="107"/>
      <c r="F332" s="107"/>
      <c r="G332" s="107"/>
      <c r="H332" s="107"/>
      <c r="I332" s="107"/>
      <c r="J332" s="107"/>
      <c r="K332" s="107"/>
      <c r="L332" s="107"/>
      <c r="M332" s="107"/>
      <c r="N332" s="107"/>
      <c r="O332" s="59"/>
      <c r="P332" s="107"/>
      <c r="Q332" s="107"/>
      <c r="R332" s="107"/>
    </row>
    <row r="333" spans="1:18" ht="15.75" customHeight="1" x14ac:dyDescent="0.25">
      <c r="A333" s="107"/>
      <c r="B333" s="107"/>
      <c r="C333" s="107"/>
      <c r="D333" s="107"/>
      <c r="E333" s="107"/>
      <c r="F333" s="107"/>
      <c r="G333" s="107"/>
      <c r="H333" s="107"/>
      <c r="I333" s="107"/>
      <c r="J333" s="107"/>
      <c r="K333" s="107"/>
      <c r="L333" s="107"/>
      <c r="M333" s="107"/>
      <c r="N333" s="107"/>
      <c r="O333" s="59"/>
      <c r="P333" s="107"/>
      <c r="Q333" s="107"/>
      <c r="R333" s="107"/>
    </row>
    <row r="334" spans="1:18" ht="15.75" customHeight="1" x14ac:dyDescent="0.25">
      <c r="A334" s="107"/>
      <c r="B334" s="107"/>
      <c r="C334" s="107"/>
      <c r="D334" s="107"/>
      <c r="E334" s="107"/>
      <c r="F334" s="107"/>
      <c r="G334" s="107"/>
      <c r="H334" s="107"/>
      <c r="I334" s="107"/>
      <c r="J334" s="107"/>
      <c r="K334" s="107"/>
      <c r="L334" s="107"/>
      <c r="M334" s="107"/>
      <c r="N334" s="107"/>
      <c r="O334" s="59"/>
      <c r="P334" s="107"/>
      <c r="Q334" s="107"/>
      <c r="R334" s="107"/>
    </row>
    <row r="335" spans="1:18" ht="15.75" customHeight="1" x14ac:dyDescent="0.25">
      <c r="A335" s="107"/>
      <c r="B335" s="107"/>
      <c r="C335" s="107"/>
      <c r="D335" s="107"/>
      <c r="E335" s="107"/>
      <c r="F335" s="107"/>
      <c r="G335" s="107"/>
      <c r="H335" s="107"/>
      <c r="I335" s="107"/>
      <c r="J335" s="107"/>
      <c r="K335" s="107"/>
      <c r="L335" s="107"/>
      <c r="M335" s="107"/>
      <c r="N335" s="107"/>
      <c r="O335" s="59"/>
      <c r="P335" s="107"/>
      <c r="Q335" s="107"/>
      <c r="R335" s="107"/>
    </row>
    <row r="336" spans="1:18" ht="15.75" customHeight="1" x14ac:dyDescent="0.25">
      <c r="A336" s="107"/>
      <c r="B336" s="107"/>
      <c r="C336" s="107"/>
      <c r="D336" s="107"/>
      <c r="E336" s="107"/>
      <c r="F336" s="107"/>
      <c r="G336" s="107"/>
      <c r="H336" s="107"/>
      <c r="I336" s="107"/>
      <c r="J336" s="107"/>
      <c r="K336" s="107"/>
      <c r="L336" s="107"/>
      <c r="M336" s="107"/>
      <c r="N336" s="107"/>
      <c r="O336" s="59"/>
      <c r="P336" s="107"/>
      <c r="Q336" s="107"/>
      <c r="R336" s="107"/>
    </row>
    <row r="337" spans="1:18" ht="15.75" customHeight="1" x14ac:dyDescent="0.25">
      <c r="A337" s="107"/>
      <c r="B337" s="107"/>
      <c r="C337" s="107"/>
      <c r="D337" s="107"/>
      <c r="E337" s="107"/>
      <c r="F337" s="107"/>
      <c r="G337" s="107"/>
      <c r="H337" s="107"/>
      <c r="I337" s="107"/>
      <c r="J337" s="107"/>
      <c r="K337" s="107"/>
      <c r="L337" s="107"/>
      <c r="M337" s="107"/>
      <c r="N337" s="107"/>
      <c r="O337" s="59"/>
      <c r="P337" s="107"/>
      <c r="Q337" s="107"/>
      <c r="R337" s="107"/>
    </row>
    <row r="338" spans="1:18" ht="15.75" customHeight="1" x14ac:dyDescent="0.25">
      <c r="A338" s="107"/>
      <c r="B338" s="107"/>
      <c r="C338" s="107"/>
      <c r="D338" s="107"/>
      <c r="E338" s="107"/>
      <c r="F338" s="107"/>
      <c r="G338" s="107"/>
      <c r="H338" s="107"/>
      <c r="I338" s="107"/>
      <c r="J338" s="107"/>
      <c r="K338" s="107"/>
      <c r="L338" s="107"/>
      <c r="M338" s="107"/>
      <c r="N338" s="107"/>
      <c r="O338" s="59"/>
      <c r="P338" s="107"/>
      <c r="Q338" s="107"/>
      <c r="R338" s="107"/>
    </row>
    <row r="339" spans="1:18" ht="15.75" customHeight="1" x14ac:dyDescent="0.25">
      <c r="A339" s="107"/>
      <c r="B339" s="107"/>
      <c r="C339" s="107"/>
      <c r="D339" s="107"/>
      <c r="E339" s="107"/>
      <c r="F339" s="107"/>
      <c r="G339" s="107"/>
      <c r="H339" s="107"/>
      <c r="I339" s="107"/>
      <c r="J339" s="107"/>
      <c r="K339" s="107"/>
      <c r="L339" s="107"/>
      <c r="M339" s="107"/>
      <c r="N339" s="107"/>
      <c r="O339" s="59"/>
      <c r="P339" s="107"/>
      <c r="Q339" s="107"/>
      <c r="R339" s="107"/>
    </row>
    <row r="340" spans="1:18" ht="15.75" customHeight="1" x14ac:dyDescent="0.25">
      <c r="A340" s="107"/>
      <c r="B340" s="107"/>
      <c r="C340" s="107"/>
      <c r="D340" s="107"/>
      <c r="E340" s="107"/>
      <c r="F340" s="107"/>
      <c r="G340" s="107"/>
      <c r="H340" s="107"/>
      <c r="I340" s="107"/>
      <c r="J340" s="107"/>
      <c r="K340" s="107"/>
      <c r="L340" s="107"/>
      <c r="M340" s="107"/>
      <c r="N340" s="107"/>
      <c r="O340" s="59"/>
      <c r="P340" s="107"/>
      <c r="Q340" s="107"/>
      <c r="R340" s="107"/>
    </row>
    <row r="341" spans="1:18" ht="15.75" customHeight="1" x14ac:dyDescent="0.25">
      <c r="A341" s="107"/>
      <c r="B341" s="107"/>
      <c r="C341" s="107"/>
      <c r="D341" s="107"/>
      <c r="E341" s="107"/>
      <c r="F341" s="107"/>
      <c r="G341" s="107"/>
      <c r="H341" s="107"/>
      <c r="I341" s="107"/>
      <c r="J341" s="107"/>
      <c r="K341" s="107"/>
      <c r="L341" s="107"/>
      <c r="M341" s="107"/>
      <c r="N341" s="107"/>
      <c r="O341" s="59"/>
      <c r="P341" s="107"/>
      <c r="Q341" s="107"/>
      <c r="R341" s="107"/>
    </row>
    <row r="342" spans="1:18" ht="15.75" customHeight="1" x14ac:dyDescent="0.25">
      <c r="A342" s="107"/>
      <c r="B342" s="107"/>
      <c r="C342" s="107"/>
      <c r="D342" s="107"/>
      <c r="E342" s="107"/>
      <c r="F342" s="107"/>
      <c r="G342" s="107"/>
      <c r="H342" s="107"/>
      <c r="I342" s="107"/>
      <c r="J342" s="107"/>
      <c r="K342" s="107"/>
      <c r="L342" s="107"/>
      <c r="M342" s="107"/>
      <c r="N342" s="107"/>
      <c r="O342" s="59"/>
      <c r="P342" s="107"/>
      <c r="Q342" s="107"/>
      <c r="R342" s="107"/>
    </row>
    <row r="343" spans="1:18" ht="15.75" customHeight="1" x14ac:dyDescent="0.25">
      <c r="A343" s="107"/>
      <c r="B343" s="107"/>
      <c r="C343" s="107"/>
      <c r="D343" s="107"/>
      <c r="E343" s="107"/>
      <c r="F343" s="107"/>
      <c r="G343" s="107"/>
      <c r="H343" s="107"/>
      <c r="I343" s="107"/>
      <c r="J343" s="107"/>
      <c r="K343" s="107"/>
      <c r="L343" s="107"/>
      <c r="M343" s="107"/>
      <c r="N343" s="107"/>
      <c r="O343" s="59"/>
      <c r="P343" s="107"/>
      <c r="Q343" s="107"/>
      <c r="R343" s="107"/>
    </row>
    <row r="344" spans="1:18" ht="15.75" customHeight="1" x14ac:dyDescent="0.25">
      <c r="A344" s="107"/>
      <c r="B344" s="107"/>
      <c r="C344" s="107"/>
      <c r="D344" s="107"/>
      <c r="E344" s="107"/>
      <c r="F344" s="107"/>
      <c r="G344" s="107"/>
      <c r="H344" s="107"/>
      <c r="I344" s="107"/>
      <c r="J344" s="107"/>
      <c r="K344" s="107"/>
      <c r="L344" s="107"/>
      <c r="M344" s="107"/>
      <c r="N344" s="107"/>
      <c r="O344" s="59"/>
      <c r="P344" s="107"/>
      <c r="Q344" s="107"/>
      <c r="R344" s="107"/>
    </row>
    <row r="345" spans="1:18" ht="15.75" customHeight="1" x14ac:dyDescent="0.25">
      <c r="A345" s="107"/>
      <c r="B345" s="107"/>
      <c r="C345" s="107"/>
      <c r="D345" s="107"/>
      <c r="E345" s="107"/>
      <c r="F345" s="107"/>
      <c r="G345" s="107"/>
      <c r="H345" s="107"/>
      <c r="I345" s="107"/>
      <c r="J345" s="107"/>
      <c r="K345" s="107"/>
      <c r="L345" s="107"/>
      <c r="M345" s="107"/>
      <c r="N345" s="107"/>
      <c r="O345" s="59"/>
      <c r="P345" s="107"/>
      <c r="Q345" s="107"/>
      <c r="R345" s="107"/>
    </row>
    <row r="346" spans="1:18" ht="15.75" customHeight="1" x14ac:dyDescent="0.25">
      <c r="A346" s="107"/>
      <c r="B346" s="107"/>
      <c r="C346" s="107"/>
      <c r="D346" s="107"/>
      <c r="E346" s="107"/>
      <c r="F346" s="107"/>
      <c r="G346" s="107"/>
      <c r="H346" s="107"/>
      <c r="I346" s="107"/>
      <c r="J346" s="107"/>
      <c r="K346" s="107"/>
      <c r="L346" s="107"/>
      <c r="M346" s="107"/>
      <c r="N346" s="107"/>
      <c r="O346" s="59"/>
      <c r="P346" s="107"/>
      <c r="Q346" s="107"/>
      <c r="R346" s="107"/>
    </row>
    <row r="347" spans="1:18" ht="15.75" customHeight="1" x14ac:dyDescent="0.25">
      <c r="A347" s="107"/>
      <c r="B347" s="107"/>
      <c r="C347" s="107"/>
      <c r="D347" s="107"/>
      <c r="E347" s="107"/>
      <c r="F347" s="107"/>
      <c r="G347" s="107"/>
      <c r="H347" s="107"/>
      <c r="I347" s="107"/>
      <c r="J347" s="107"/>
      <c r="K347" s="107"/>
      <c r="L347" s="107"/>
      <c r="M347" s="107"/>
      <c r="N347" s="107"/>
      <c r="O347" s="59"/>
      <c r="P347" s="107"/>
      <c r="Q347" s="107"/>
      <c r="R347" s="107"/>
    </row>
    <row r="348" spans="1:18" ht="15.75" customHeight="1" x14ac:dyDescent="0.25">
      <c r="A348" s="107"/>
      <c r="B348" s="107"/>
      <c r="C348" s="107"/>
      <c r="D348" s="107"/>
      <c r="E348" s="107"/>
      <c r="F348" s="107"/>
      <c r="G348" s="107"/>
      <c r="H348" s="107"/>
      <c r="I348" s="107"/>
      <c r="J348" s="107"/>
      <c r="K348" s="107"/>
      <c r="L348" s="107"/>
      <c r="M348" s="107"/>
      <c r="N348" s="107"/>
      <c r="O348" s="59"/>
      <c r="P348" s="107"/>
      <c r="Q348" s="107"/>
      <c r="R348" s="107"/>
    </row>
    <row r="349" spans="1:18" ht="15.75" customHeight="1" x14ac:dyDescent="0.25">
      <c r="A349" s="107"/>
      <c r="B349" s="107"/>
      <c r="C349" s="107"/>
      <c r="D349" s="107"/>
      <c r="E349" s="107"/>
      <c r="F349" s="107"/>
      <c r="G349" s="107"/>
      <c r="H349" s="107"/>
      <c r="I349" s="107"/>
      <c r="J349" s="107"/>
      <c r="K349" s="107"/>
      <c r="L349" s="107"/>
      <c r="M349" s="107"/>
      <c r="N349" s="107"/>
      <c r="O349" s="59"/>
      <c r="P349" s="107"/>
      <c r="Q349" s="107"/>
      <c r="R349" s="107"/>
    </row>
    <row r="350" spans="1:18" ht="15.75" customHeight="1" x14ac:dyDescent="0.25">
      <c r="A350" s="107"/>
      <c r="B350" s="107"/>
      <c r="C350" s="107"/>
      <c r="D350" s="107"/>
      <c r="E350" s="107"/>
      <c r="F350" s="107"/>
      <c r="G350" s="107"/>
      <c r="H350" s="107"/>
      <c r="I350" s="107"/>
      <c r="J350" s="107"/>
      <c r="K350" s="107"/>
      <c r="L350" s="107"/>
      <c r="M350" s="107"/>
      <c r="N350" s="107"/>
      <c r="O350" s="59"/>
      <c r="P350" s="107"/>
      <c r="Q350" s="107"/>
      <c r="R350" s="107"/>
    </row>
    <row r="351" spans="1:18" ht="15.75" customHeight="1" x14ac:dyDescent="0.25">
      <c r="A351" s="107"/>
      <c r="B351" s="107"/>
      <c r="C351" s="107"/>
      <c r="D351" s="107"/>
      <c r="E351" s="107"/>
      <c r="F351" s="107"/>
      <c r="G351" s="107"/>
      <c r="H351" s="107"/>
      <c r="I351" s="107"/>
      <c r="J351" s="107"/>
      <c r="K351" s="107"/>
      <c r="L351" s="107"/>
      <c r="M351" s="107"/>
      <c r="N351" s="107"/>
      <c r="O351" s="59"/>
      <c r="P351" s="107"/>
      <c r="Q351" s="107"/>
      <c r="R351" s="107"/>
    </row>
    <row r="352" spans="1:18" ht="15.75" customHeight="1" x14ac:dyDescent="0.25">
      <c r="A352" s="107"/>
      <c r="B352" s="107"/>
      <c r="C352" s="107"/>
      <c r="D352" s="107"/>
      <c r="E352" s="107"/>
      <c r="F352" s="107"/>
      <c r="G352" s="107"/>
      <c r="H352" s="107"/>
      <c r="I352" s="107"/>
      <c r="J352" s="107"/>
      <c r="K352" s="107"/>
      <c r="L352" s="107"/>
      <c r="M352" s="107"/>
      <c r="N352" s="107"/>
      <c r="O352" s="59"/>
      <c r="P352" s="107"/>
      <c r="Q352" s="107"/>
      <c r="R352" s="107"/>
    </row>
    <row r="353" spans="1:18" ht="15.75" customHeight="1" x14ac:dyDescent="0.25">
      <c r="A353" s="107"/>
      <c r="B353" s="107"/>
      <c r="C353" s="107"/>
      <c r="D353" s="107"/>
      <c r="E353" s="107"/>
      <c r="F353" s="107"/>
      <c r="G353" s="107"/>
      <c r="H353" s="107"/>
      <c r="I353" s="107"/>
      <c r="J353" s="107"/>
      <c r="K353" s="107"/>
      <c r="L353" s="107"/>
      <c r="M353" s="107"/>
      <c r="N353" s="107"/>
      <c r="O353" s="59"/>
      <c r="P353" s="107"/>
      <c r="Q353" s="107"/>
      <c r="R353" s="107"/>
    </row>
    <row r="354" spans="1:18" ht="15.75" customHeight="1" x14ac:dyDescent="0.25">
      <c r="A354" s="107"/>
      <c r="B354" s="107"/>
      <c r="C354" s="107"/>
      <c r="D354" s="107"/>
      <c r="E354" s="107"/>
      <c r="F354" s="107"/>
      <c r="G354" s="107"/>
      <c r="H354" s="107"/>
      <c r="I354" s="107"/>
      <c r="J354" s="107"/>
      <c r="K354" s="107"/>
      <c r="L354" s="107"/>
      <c r="M354" s="107"/>
      <c r="N354" s="107"/>
      <c r="O354" s="59"/>
      <c r="P354" s="107"/>
      <c r="Q354" s="107"/>
      <c r="R354" s="107"/>
    </row>
    <row r="355" spans="1:18" ht="15.75" customHeight="1" x14ac:dyDescent="0.25">
      <c r="A355" s="107"/>
      <c r="B355" s="107"/>
      <c r="C355" s="107"/>
      <c r="D355" s="107"/>
      <c r="E355" s="107"/>
      <c r="F355" s="107"/>
      <c r="G355" s="107"/>
      <c r="H355" s="107"/>
      <c r="I355" s="107"/>
      <c r="J355" s="107"/>
      <c r="K355" s="107"/>
      <c r="L355" s="107"/>
      <c r="M355" s="107"/>
      <c r="N355" s="107"/>
      <c r="O355" s="59"/>
      <c r="P355" s="107"/>
      <c r="Q355" s="107"/>
      <c r="R355" s="107"/>
    </row>
    <row r="356" spans="1:18" ht="15.75" customHeight="1" x14ac:dyDescent="0.25">
      <c r="A356" s="107"/>
      <c r="B356" s="107"/>
      <c r="C356" s="107"/>
      <c r="D356" s="107"/>
      <c r="E356" s="107"/>
      <c r="F356" s="107"/>
      <c r="G356" s="107"/>
      <c r="H356" s="107"/>
      <c r="I356" s="107"/>
      <c r="J356" s="107"/>
      <c r="K356" s="107"/>
      <c r="L356" s="107"/>
      <c r="M356" s="107"/>
      <c r="N356" s="107"/>
      <c r="O356" s="59"/>
      <c r="P356" s="107"/>
      <c r="Q356" s="107"/>
      <c r="R356" s="107"/>
    </row>
    <row r="357" spans="1:18" ht="15.75" customHeight="1" x14ac:dyDescent="0.25">
      <c r="A357" s="107"/>
      <c r="B357" s="107"/>
      <c r="C357" s="107"/>
      <c r="D357" s="107"/>
      <c r="E357" s="107"/>
      <c r="F357" s="107"/>
      <c r="G357" s="107"/>
      <c r="H357" s="107"/>
      <c r="I357" s="107"/>
      <c r="J357" s="107"/>
      <c r="K357" s="107"/>
      <c r="L357" s="107"/>
      <c r="M357" s="107"/>
      <c r="N357" s="107"/>
      <c r="O357" s="59"/>
      <c r="P357" s="107"/>
      <c r="Q357" s="107"/>
      <c r="R357" s="107"/>
    </row>
    <row r="358" spans="1:18" ht="15.75" customHeight="1" x14ac:dyDescent="0.25">
      <c r="A358" s="107"/>
      <c r="B358" s="107"/>
      <c r="C358" s="107"/>
      <c r="D358" s="107"/>
      <c r="E358" s="107"/>
      <c r="F358" s="107"/>
      <c r="G358" s="107"/>
      <c r="H358" s="107"/>
      <c r="I358" s="107"/>
      <c r="J358" s="107"/>
      <c r="K358" s="107"/>
      <c r="L358" s="107"/>
      <c r="M358" s="107"/>
      <c r="N358" s="107"/>
      <c r="O358" s="59"/>
      <c r="P358" s="107"/>
      <c r="Q358" s="107"/>
      <c r="R358" s="107"/>
    </row>
    <row r="359" spans="1:18" ht="15.75" customHeight="1" x14ac:dyDescent="0.25">
      <c r="A359" s="107"/>
      <c r="B359" s="107"/>
      <c r="C359" s="107"/>
      <c r="D359" s="107"/>
      <c r="E359" s="107"/>
      <c r="F359" s="107"/>
      <c r="G359" s="107"/>
      <c r="H359" s="107"/>
      <c r="I359" s="107"/>
      <c r="J359" s="107"/>
      <c r="K359" s="107"/>
      <c r="L359" s="107"/>
      <c r="M359" s="107"/>
      <c r="N359" s="107"/>
      <c r="O359" s="59"/>
      <c r="P359" s="107"/>
      <c r="Q359" s="107"/>
      <c r="R359" s="107"/>
    </row>
    <row r="360" spans="1:18" ht="15.75" customHeight="1" x14ac:dyDescent="0.25">
      <c r="A360" s="107"/>
      <c r="B360" s="107"/>
      <c r="C360" s="107"/>
      <c r="D360" s="107"/>
      <c r="E360" s="107"/>
      <c r="F360" s="107"/>
      <c r="G360" s="107"/>
      <c r="H360" s="107"/>
      <c r="I360" s="107"/>
      <c r="J360" s="107"/>
      <c r="K360" s="107"/>
      <c r="L360" s="107"/>
      <c r="M360" s="107"/>
      <c r="N360" s="107"/>
      <c r="O360" s="59"/>
      <c r="P360" s="107"/>
      <c r="Q360" s="107"/>
      <c r="R360" s="107"/>
    </row>
    <row r="361" spans="1:18" ht="15.75" customHeight="1" x14ac:dyDescent="0.25">
      <c r="A361" s="107"/>
      <c r="B361" s="107"/>
      <c r="C361" s="107"/>
      <c r="D361" s="107"/>
      <c r="E361" s="107"/>
      <c r="F361" s="107"/>
      <c r="G361" s="107"/>
      <c r="H361" s="107"/>
      <c r="I361" s="107"/>
      <c r="J361" s="107"/>
      <c r="K361" s="107"/>
      <c r="L361" s="107"/>
      <c r="M361" s="107"/>
      <c r="N361" s="107"/>
      <c r="O361" s="59"/>
      <c r="P361" s="107"/>
      <c r="Q361" s="107"/>
      <c r="R361" s="107"/>
    </row>
    <row r="362" spans="1:18" ht="15.75" customHeight="1" x14ac:dyDescent="0.25">
      <c r="A362" s="107"/>
      <c r="B362" s="107"/>
      <c r="C362" s="107"/>
      <c r="D362" s="107"/>
      <c r="E362" s="107"/>
      <c r="F362" s="107"/>
      <c r="G362" s="107"/>
      <c r="H362" s="107"/>
      <c r="I362" s="107"/>
      <c r="J362" s="107"/>
      <c r="K362" s="107"/>
      <c r="L362" s="107"/>
      <c r="M362" s="107"/>
      <c r="N362" s="107"/>
      <c r="O362" s="59"/>
      <c r="P362" s="107"/>
      <c r="Q362" s="107"/>
      <c r="R362" s="107"/>
    </row>
    <row r="363" spans="1:18" ht="15.75" customHeight="1" x14ac:dyDescent="0.25">
      <c r="A363" s="107"/>
      <c r="B363" s="107"/>
      <c r="C363" s="107"/>
      <c r="D363" s="107"/>
      <c r="E363" s="107"/>
      <c r="F363" s="107"/>
      <c r="G363" s="107"/>
      <c r="H363" s="107"/>
      <c r="I363" s="107"/>
      <c r="J363" s="107"/>
      <c r="K363" s="107"/>
      <c r="L363" s="107"/>
      <c r="M363" s="107"/>
      <c r="N363" s="107"/>
      <c r="O363" s="59"/>
      <c r="P363" s="107"/>
      <c r="Q363" s="107"/>
      <c r="R363" s="107"/>
    </row>
    <row r="364" spans="1:18" ht="15.75" customHeight="1" x14ac:dyDescent="0.25">
      <c r="A364" s="107"/>
      <c r="B364" s="107"/>
      <c r="C364" s="107"/>
      <c r="D364" s="107"/>
      <c r="E364" s="107"/>
      <c r="F364" s="107"/>
      <c r="G364" s="107"/>
      <c r="H364" s="107"/>
      <c r="I364" s="107"/>
      <c r="J364" s="107"/>
      <c r="K364" s="107"/>
      <c r="L364" s="107"/>
      <c r="M364" s="107"/>
      <c r="N364" s="107"/>
      <c r="O364" s="59"/>
      <c r="P364" s="107"/>
      <c r="Q364" s="107"/>
      <c r="R364" s="107"/>
    </row>
    <row r="365" spans="1:18" ht="15.75" customHeight="1" x14ac:dyDescent="0.25">
      <c r="A365" s="107"/>
      <c r="B365" s="107"/>
      <c r="C365" s="107"/>
      <c r="D365" s="107"/>
      <c r="E365" s="107"/>
      <c r="F365" s="107"/>
      <c r="G365" s="107"/>
      <c r="H365" s="107"/>
      <c r="I365" s="107"/>
      <c r="J365" s="107"/>
      <c r="K365" s="107"/>
      <c r="L365" s="107"/>
      <c r="M365" s="107"/>
      <c r="N365" s="107"/>
      <c r="O365" s="59"/>
      <c r="P365" s="107"/>
      <c r="Q365" s="107"/>
      <c r="R365" s="107"/>
    </row>
    <row r="366" spans="1:18" ht="15.75" customHeight="1" x14ac:dyDescent="0.25">
      <c r="A366" s="107"/>
      <c r="B366" s="107"/>
      <c r="C366" s="107"/>
      <c r="D366" s="107"/>
      <c r="E366" s="107"/>
      <c r="F366" s="107"/>
      <c r="G366" s="107"/>
      <c r="H366" s="107"/>
      <c r="I366" s="107"/>
      <c r="J366" s="107"/>
      <c r="K366" s="107"/>
      <c r="L366" s="107"/>
      <c r="M366" s="107"/>
      <c r="N366" s="107"/>
      <c r="O366" s="59"/>
      <c r="P366" s="107"/>
      <c r="Q366" s="107"/>
      <c r="R366" s="107"/>
    </row>
    <row r="367" spans="1:18" ht="15.75" customHeight="1" x14ac:dyDescent="0.25">
      <c r="A367" s="107"/>
      <c r="B367" s="107"/>
      <c r="C367" s="107"/>
      <c r="D367" s="107"/>
      <c r="E367" s="107"/>
      <c r="F367" s="107"/>
      <c r="G367" s="107"/>
      <c r="H367" s="107"/>
      <c r="I367" s="107"/>
      <c r="J367" s="107"/>
      <c r="K367" s="107"/>
      <c r="L367" s="107"/>
      <c r="M367" s="107"/>
      <c r="N367" s="107"/>
      <c r="O367" s="59"/>
      <c r="P367" s="107"/>
      <c r="Q367" s="107"/>
      <c r="R367" s="107"/>
    </row>
    <row r="368" spans="1:18" ht="15.75" customHeight="1" x14ac:dyDescent="0.25">
      <c r="A368" s="107"/>
      <c r="B368" s="107"/>
      <c r="C368" s="107"/>
      <c r="D368" s="107"/>
      <c r="E368" s="107"/>
      <c r="F368" s="107"/>
      <c r="G368" s="107"/>
      <c r="H368" s="107"/>
      <c r="I368" s="107"/>
      <c r="J368" s="107"/>
      <c r="K368" s="107"/>
      <c r="L368" s="107"/>
      <c r="M368" s="107"/>
      <c r="N368" s="107"/>
      <c r="O368" s="59"/>
      <c r="P368" s="107"/>
      <c r="Q368" s="107"/>
      <c r="R368" s="107"/>
    </row>
    <row r="369" spans="1:18" ht="15.75" customHeight="1" x14ac:dyDescent="0.25">
      <c r="A369" s="107"/>
      <c r="B369" s="107"/>
      <c r="C369" s="107"/>
      <c r="D369" s="107"/>
      <c r="E369" s="107"/>
      <c r="F369" s="107"/>
      <c r="G369" s="107"/>
      <c r="H369" s="107"/>
      <c r="I369" s="107"/>
      <c r="J369" s="107"/>
      <c r="K369" s="107"/>
      <c r="L369" s="107"/>
      <c r="M369" s="107"/>
      <c r="N369" s="107"/>
      <c r="O369" s="59"/>
      <c r="P369" s="107"/>
      <c r="Q369" s="107"/>
      <c r="R369" s="107"/>
    </row>
    <row r="370" spans="1:18" ht="15.75" customHeight="1" x14ac:dyDescent="0.25">
      <c r="A370" s="107"/>
      <c r="B370" s="107"/>
      <c r="C370" s="107"/>
      <c r="D370" s="107"/>
      <c r="E370" s="107"/>
      <c r="F370" s="107"/>
      <c r="G370" s="107"/>
      <c r="H370" s="107"/>
      <c r="I370" s="107"/>
      <c r="J370" s="107"/>
      <c r="K370" s="107"/>
      <c r="L370" s="107"/>
      <c r="M370" s="107"/>
      <c r="N370" s="107"/>
      <c r="O370" s="59"/>
      <c r="P370" s="107"/>
      <c r="Q370" s="107"/>
      <c r="R370" s="107"/>
    </row>
    <row r="371" spans="1:18" ht="15.75" customHeight="1" x14ac:dyDescent="0.25">
      <c r="A371" s="107"/>
      <c r="B371" s="107"/>
      <c r="C371" s="107"/>
      <c r="D371" s="107"/>
      <c r="E371" s="107"/>
      <c r="F371" s="107"/>
      <c r="G371" s="107"/>
      <c r="H371" s="107"/>
      <c r="I371" s="107"/>
      <c r="J371" s="107"/>
      <c r="K371" s="107"/>
      <c r="L371" s="107"/>
      <c r="M371" s="107"/>
      <c r="N371" s="107"/>
      <c r="O371" s="59"/>
      <c r="P371" s="107"/>
      <c r="Q371" s="107"/>
      <c r="R371" s="107"/>
    </row>
    <row r="372" spans="1:18" ht="15.75" customHeight="1" x14ac:dyDescent="0.25">
      <c r="A372" s="107"/>
      <c r="B372" s="107"/>
      <c r="C372" s="107"/>
      <c r="D372" s="107"/>
      <c r="E372" s="107"/>
      <c r="F372" s="107"/>
      <c r="G372" s="107"/>
      <c r="H372" s="107"/>
      <c r="I372" s="107"/>
      <c r="J372" s="107"/>
      <c r="K372" s="107"/>
      <c r="L372" s="107"/>
      <c r="M372" s="107"/>
      <c r="N372" s="107"/>
      <c r="O372" s="59"/>
      <c r="P372" s="107"/>
      <c r="Q372" s="107"/>
      <c r="R372" s="107"/>
    </row>
    <row r="373" spans="1:18" ht="15.75" customHeight="1" x14ac:dyDescent="0.25">
      <c r="A373" s="107"/>
      <c r="B373" s="107"/>
      <c r="C373" s="107"/>
      <c r="D373" s="107"/>
      <c r="E373" s="107"/>
      <c r="F373" s="107"/>
      <c r="G373" s="107"/>
      <c r="H373" s="107"/>
      <c r="I373" s="107"/>
      <c r="J373" s="107"/>
      <c r="K373" s="107"/>
      <c r="L373" s="107"/>
      <c r="M373" s="107"/>
      <c r="N373" s="107"/>
      <c r="O373" s="59"/>
      <c r="P373" s="107"/>
      <c r="Q373" s="107"/>
      <c r="R373" s="107"/>
    </row>
    <row r="374" spans="1:18" ht="15.75" customHeight="1" x14ac:dyDescent="0.25">
      <c r="A374" s="107"/>
      <c r="B374" s="107"/>
      <c r="C374" s="107"/>
      <c r="D374" s="107"/>
      <c r="E374" s="107"/>
      <c r="F374" s="107"/>
      <c r="G374" s="107"/>
      <c r="H374" s="107"/>
      <c r="I374" s="107"/>
      <c r="J374" s="107"/>
      <c r="K374" s="107"/>
      <c r="L374" s="107"/>
      <c r="M374" s="107"/>
      <c r="N374" s="107"/>
      <c r="O374" s="59"/>
      <c r="P374" s="107"/>
      <c r="Q374" s="107"/>
      <c r="R374" s="107"/>
    </row>
    <row r="375" spans="1:18" ht="15.75" customHeight="1" x14ac:dyDescent="0.25">
      <c r="A375" s="107"/>
      <c r="B375" s="107"/>
      <c r="C375" s="107"/>
      <c r="D375" s="107"/>
      <c r="E375" s="107"/>
      <c r="F375" s="107"/>
      <c r="G375" s="107"/>
      <c r="H375" s="107"/>
      <c r="I375" s="107"/>
      <c r="J375" s="107"/>
      <c r="K375" s="107"/>
      <c r="L375" s="107"/>
      <c r="M375" s="107"/>
      <c r="N375" s="107"/>
      <c r="O375" s="59"/>
      <c r="P375" s="107"/>
      <c r="Q375" s="107"/>
      <c r="R375" s="107"/>
    </row>
    <row r="376" spans="1:18" ht="15.75" customHeight="1" x14ac:dyDescent="0.25">
      <c r="A376" s="107"/>
      <c r="B376" s="107"/>
      <c r="C376" s="107"/>
      <c r="D376" s="107"/>
      <c r="E376" s="107"/>
      <c r="F376" s="107"/>
      <c r="G376" s="107"/>
      <c r="H376" s="107"/>
      <c r="I376" s="107"/>
      <c r="J376" s="107"/>
      <c r="K376" s="107"/>
      <c r="L376" s="107"/>
      <c r="M376" s="107"/>
      <c r="N376" s="107"/>
      <c r="O376" s="59"/>
      <c r="P376" s="107"/>
      <c r="Q376" s="107"/>
      <c r="R376" s="107"/>
    </row>
    <row r="377" spans="1:18" ht="15.75" customHeight="1" x14ac:dyDescent="0.25">
      <c r="A377" s="107"/>
      <c r="B377" s="107"/>
      <c r="C377" s="107"/>
      <c r="D377" s="107"/>
      <c r="E377" s="107"/>
      <c r="F377" s="107"/>
      <c r="G377" s="107"/>
      <c r="H377" s="107"/>
      <c r="I377" s="107"/>
      <c r="J377" s="107"/>
      <c r="K377" s="107"/>
      <c r="L377" s="107"/>
      <c r="M377" s="107"/>
      <c r="N377" s="107"/>
      <c r="O377" s="59"/>
      <c r="P377" s="107"/>
      <c r="Q377" s="107"/>
      <c r="R377" s="107"/>
    </row>
    <row r="378" spans="1:18" ht="15.75" customHeight="1" x14ac:dyDescent="0.25">
      <c r="A378" s="107"/>
      <c r="B378" s="107"/>
      <c r="C378" s="107"/>
      <c r="D378" s="107"/>
      <c r="E378" s="107"/>
      <c r="F378" s="107"/>
      <c r="G378" s="107"/>
      <c r="H378" s="107"/>
      <c r="I378" s="107"/>
      <c r="J378" s="107"/>
      <c r="K378" s="107"/>
      <c r="L378" s="107"/>
      <c r="M378" s="107"/>
      <c r="N378" s="107"/>
      <c r="O378" s="59"/>
      <c r="P378" s="107"/>
      <c r="Q378" s="107"/>
      <c r="R378" s="107"/>
    </row>
    <row r="379" spans="1:18" ht="15.75" customHeight="1" x14ac:dyDescent="0.25">
      <c r="A379" s="107"/>
      <c r="B379" s="107"/>
      <c r="C379" s="107"/>
      <c r="D379" s="107"/>
      <c r="E379" s="107"/>
      <c r="F379" s="107"/>
      <c r="G379" s="107"/>
      <c r="H379" s="107"/>
      <c r="I379" s="107"/>
      <c r="J379" s="107"/>
      <c r="K379" s="107"/>
      <c r="L379" s="107"/>
      <c r="M379" s="107"/>
      <c r="N379" s="107"/>
      <c r="O379" s="59"/>
      <c r="P379" s="107"/>
      <c r="Q379" s="107"/>
      <c r="R379" s="107"/>
    </row>
    <row r="380" spans="1:18" ht="15.75" customHeight="1" x14ac:dyDescent="0.25">
      <c r="A380" s="107"/>
      <c r="B380" s="107"/>
      <c r="C380" s="107"/>
      <c r="D380" s="107"/>
      <c r="E380" s="107"/>
      <c r="F380" s="107"/>
      <c r="G380" s="107"/>
      <c r="H380" s="107"/>
      <c r="I380" s="107"/>
      <c r="J380" s="107"/>
      <c r="K380" s="107"/>
      <c r="L380" s="107"/>
      <c r="M380" s="107"/>
      <c r="N380" s="107"/>
      <c r="O380" s="59"/>
      <c r="P380" s="107"/>
      <c r="Q380" s="107"/>
      <c r="R380" s="107"/>
    </row>
    <row r="381" spans="1:18" ht="15.75" customHeight="1" x14ac:dyDescent="0.25">
      <c r="A381" s="107"/>
      <c r="B381" s="107"/>
      <c r="C381" s="107"/>
      <c r="D381" s="107"/>
      <c r="E381" s="107"/>
      <c r="F381" s="107"/>
      <c r="G381" s="107"/>
      <c r="H381" s="107"/>
      <c r="I381" s="107"/>
      <c r="J381" s="107"/>
      <c r="K381" s="107"/>
      <c r="L381" s="107"/>
      <c r="M381" s="107"/>
      <c r="N381" s="107"/>
      <c r="O381" s="59"/>
      <c r="P381" s="107"/>
      <c r="Q381" s="107"/>
      <c r="R381" s="107"/>
    </row>
    <row r="382" spans="1:18" ht="15.75" customHeight="1" x14ac:dyDescent="0.25">
      <c r="A382" s="107"/>
      <c r="B382" s="107"/>
      <c r="C382" s="107"/>
      <c r="D382" s="107"/>
      <c r="E382" s="107"/>
      <c r="F382" s="107"/>
      <c r="G382" s="107"/>
      <c r="H382" s="107"/>
      <c r="I382" s="107"/>
      <c r="J382" s="107"/>
      <c r="K382" s="107"/>
      <c r="L382" s="107"/>
      <c r="M382" s="107"/>
      <c r="N382" s="107"/>
      <c r="O382" s="59"/>
      <c r="P382" s="107"/>
      <c r="Q382" s="107"/>
      <c r="R382" s="107"/>
    </row>
    <row r="383" spans="1:18" ht="15.75" customHeight="1" x14ac:dyDescent="0.25">
      <c r="A383" s="107"/>
      <c r="B383" s="107"/>
      <c r="C383" s="107"/>
      <c r="D383" s="107"/>
      <c r="E383" s="107"/>
      <c r="F383" s="107"/>
      <c r="G383" s="107"/>
      <c r="H383" s="107"/>
      <c r="I383" s="107"/>
      <c r="J383" s="107"/>
      <c r="K383" s="107"/>
      <c r="L383" s="107"/>
      <c r="M383" s="107"/>
      <c r="N383" s="107"/>
      <c r="O383" s="59"/>
      <c r="P383" s="107"/>
      <c r="Q383" s="107"/>
      <c r="R383" s="107"/>
    </row>
    <row r="384" spans="1:18" ht="15.75" customHeight="1" x14ac:dyDescent="0.25">
      <c r="A384" s="107"/>
      <c r="B384" s="107"/>
      <c r="C384" s="107"/>
      <c r="D384" s="107"/>
      <c r="E384" s="107"/>
      <c r="F384" s="107"/>
      <c r="G384" s="107"/>
      <c r="H384" s="107"/>
      <c r="I384" s="107"/>
      <c r="J384" s="107"/>
      <c r="K384" s="107"/>
      <c r="L384" s="107"/>
      <c r="M384" s="107"/>
      <c r="N384" s="107"/>
      <c r="O384" s="59"/>
      <c r="P384" s="107"/>
      <c r="Q384" s="107"/>
      <c r="R384" s="107"/>
    </row>
    <row r="385" spans="1:18" ht="15.75" customHeight="1" x14ac:dyDescent="0.25">
      <c r="A385" s="107"/>
      <c r="B385" s="107"/>
      <c r="C385" s="107"/>
      <c r="D385" s="107"/>
      <c r="E385" s="107"/>
      <c r="F385" s="107"/>
      <c r="G385" s="107"/>
      <c r="H385" s="107"/>
      <c r="I385" s="107"/>
      <c r="J385" s="107"/>
      <c r="K385" s="107"/>
      <c r="L385" s="107"/>
      <c r="M385" s="107"/>
      <c r="N385" s="107"/>
      <c r="O385" s="59"/>
      <c r="P385" s="107"/>
      <c r="Q385" s="107"/>
      <c r="R385" s="107"/>
    </row>
    <row r="386" spans="1:18" ht="15.75" customHeight="1" x14ac:dyDescent="0.25">
      <c r="A386" s="107"/>
      <c r="B386" s="107"/>
      <c r="C386" s="107"/>
      <c r="D386" s="107"/>
      <c r="E386" s="107"/>
      <c r="F386" s="107"/>
      <c r="G386" s="107"/>
      <c r="H386" s="107"/>
      <c r="I386" s="107"/>
      <c r="J386" s="107"/>
      <c r="K386" s="107"/>
      <c r="L386" s="107"/>
      <c r="M386" s="107"/>
      <c r="N386" s="107"/>
      <c r="O386" s="59"/>
      <c r="P386" s="107"/>
      <c r="Q386" s="107"/>
      <c r="R386" s="107"/>
    </row>
    <row r="387" spans="1:18" ht="15.75" customHeight="1" x14ac:dyDescent="0.25">
      <c r="A387" s="107"/>
      <c r="B387" s="107"/>
      <c r="C387" s="107"/>
      <c r="D387" s="107"/>
      <c r="E387" s="107"/>
      <c r="F387" s="107"/>
      <c r="G387" s="107"/>
      <c r="H387" s="107"/>
      <c r="I387" s="107"/>
      <c r="J387" s="107"/>
      <c r="K387" s="107"/>
      <c r="L387" s="107"/>
      <c r="M387" s="107"/>
      <c r="N387" s="107"/>
      <c r="O387" s="59"/>
      <c r="P387" s="107"/>
      <c r="Q387" s="107"/>
      <c r="R387" s="107"/>
    </row>
    <row r="388" spans="1:18" ht="15.75" customHeight="1" x14ac:dyDescent="0.25">
      <c r="A388" s="107"/>
      <c r="B388" s="107"/>
      <c r="C388" s="107"/>
      <c r="D388" s="107"/>
      <c r="E388" s="107"/>
      <c r="F388" s="107"/>
      <c r="G388" s="107"/>
      <c r="H388" s="107"/>
      <c r="I388" s="107"/>
      <c r="J388" s="107"/>
      <c r="K388" s="107"/>
      <c r="L388" s="107"/>
      <c r="M388" s="107"/>
      <c r="N388" s="107"/>
      <c r="O388" s="59"/>
      <c r="P388" s="107"/>
      <c r="Q388" s="107"/>
      <c r="R388" s="107"/>
    </row>
    <row r="389" spans="1:18" ht="15.75" customHeight="1" x14ac:dyDescent="0.25">
      <c r="A389" s="107"/>
      <c r="B389" s="107"/>
      <c r="C389" s="107"/>
      <c r="D389" s="107"/>
      <c r="E389" s="107"/>
      <c r="F389" s="107"/>
      <c r="G389" s="107"/>
      <c r="H389" s="107"/>
      <c r="I389" s="107"/>
      <c r="J389" s="107"/>
      <c r="K389" s="107"/>
      <c r="L389" s="107"/>
      <c r="M389" s="107"/>
      <c r="N389" s="107"/>
      <c r="O389" s="59"/>
      <c r="P389" s="107"/>
      <c r="Q389" s="107"/>
      <c r="R389" s="107"/>
    </row>
    <row r="390" spans="1:18" ht="15.75" customHeight="1" x14ac:dyDescent="0.25">
      <c r="A390" s="107"/>
      <c r="B390" s="107"/>
      <c r="C390" s="107"/>
      <c r="D390" s="107"/>
      <c r="E390" s="107"/>
      <c r="F390" s="107"/>
      <c r="G390" s="107"/>
      <c r="H390" s="107"/>
      <c r="I390" s="107"/>
      <c r="J390" s="107"/>
      <c r="K390" s="107"/>
      <c r="L390" s="107"/>
      <c r="M390" s="107"/>
      <c r="N390" s="107"/>
      <c r="O390" s="59"/>
      <c r="P390" s="107"/>
      <c r="Q390" s="107"/>
      <c r="R390" s="107"/>
    </row>
    <row r="391" spans="1:18" ht="15.75" customHeight="1" x14ac:dyDescent="0.25">
      <c r="A391" s="107"/>
      <c r="B391" s="107"/>
      <c r="C391" s="107"/>
      <c r="D391" s="107"/>
      <c r="E391" s="107"/>
      <c r="F391" s="107"/>
      <c r="G391" s="107"/>
      <c r="H391" s="107"/>
      <c r="I391" s="107"/>
      <c r="J391" s="107"/>
      <c r="K391" s="107"/>
      <c r="L391" s="107"/>
      <c r="M391" s="107"/>
      <c r="N391" s="107"/>
      <c r="O391" s="59"/>
      <c r="P391" s="107"/>
      <c r="Q391" s="107"/>
      <c r="R391" s="107"/>
    </row>
    <row r="392" spans="1:18" ht="15.75" customHeight="1" x14ac:dyDescent="0.25">
      <c r="A392" s="107"/>
      <c r="B392" s="107"/>
      <c r="C392" s="107"/>
      <c r="D392" s="107"/>
      <c r="E392" s="107"/>
      <c r="F392" s="107"/>
      <c r="G392" s="107"/>
      <c r="H392" s="107"/>
      <c r="I392" s="107"/>
      <c r="J392" s="107"/>
      <c r="K392" s="107"/>
      <c r="L392" s="107"/>
      <c r="M392" s="107"/>
      <c r="N392" s="107"/>
      <c r="O392" s="59"/>
      <c r="P392" s="107"/>
      <c r="Q392" s="107"/>
      <c r="R392" s="107"/>
    </row>
    <row r="393" spans="1:18" ht="15.75" customHeight="1" x14ac:dyDescent="0.25">
      <c r="A393" s="107"/>
      <c r="B393" s="107"/>
      <c r="C393" s="107"/>
      <c r="D393" s="107"/>
      <c r="E393" s="107"/>
      <c r="F393" s="107"/>
      <c r="G393" s="107"/>
      <c r="H393" s="107"/>
      <c r="I393" s="107"/>
      <c r="J393" s="107"/>
      <c r="K393" s="107"/>
      <c r="L393" s="107"/>
      <c r="M393" s="107"/>
      <c r="N393" s="107"/>
      <c r="O393" s="59"/>
      <c r="P393" s="107"/>
      <c r="Q393" s="107"/>
      <c r="R393" s="107"/>
    </row>
    <row r="394" spans="1:18" ht="15.75" customHeight="1" x14ac:dyDescent="0.25">
      <c r="A394" s="107"/>
      <c r="B394" s="107"/>
      <c r="C394" s="107"/>
      <c r="D394" s="107"/>
      <c r="E394" s="107"/>
      <c r="F394" s="107"/>
      <c r="G394" s="107"/>
      <c r="H394" s="107"/>
      <c r="I394" s="107"/>
      <c r="J394" s="107"/>
      <c r="K394" s="107"/>
      <c r="L394" s="107"/>
      <c r="M394" s="107"/>
      <c r="N394" s="107"/>
      <c r="O394" s="59"/>
      <c r="P394" s="107"/>
      <c r="Q394" s="107"/>
      <c r="R394" s="107"/>
    </row>
    <row r="395" spans="1:18" ht="15.75" customHeight="1" x14ac:dyDescent="0.25">
      <c r="A395" s="107"/>
      <c r="B395" s="107"/>
      <c r="C395" s="107"/>
      <c r="D395" s="107"/>
      <c r="E395" s="107"/>
      <c r="F395" s="107"/>
      <c r="G395" s="107"/>
      <c r="H395" s="107"/>
      <c r="I395" s="107"/>
      <c r="J395" s="107"/>
      <c r="K395" s="107"/>
      <c r="L395" s="107"/>
      <c r="M395" s="107"/>
      <c r="N395" s="107"/>
      <c r="O395" s="59"/>
      <c r="P395" s="107"/>
      <c r="Q395" s="107"/>
      <c r="R395" s="107"/>
    </row>
    <row r="396" spans="1:18" ht="15.75" customHeight="1" x14ac:dyDescent="0.25">
      <c r="A396" s="107"/>
      <c r="B396" s="107"/>
      <c r="C396" s="107"/>
      <c r="D396" s="107"/>
      <c r="E396" s="107"/>
      <c r="F396" s="107"/>
      <c r="G396" s="107"/>
      <c r="H396" s="107"/>
      <c r="I396" s="107"/>
      <c r="J396" s="107"/>
      <c r="K396" s="107"/>
      <c r="L396" s="107"/>
      <c r="M396" s="107"/>
      <c r="N396" s="107"/>
      <c r="O396" s="59"/>
      <c r="P396" s="107"/>
      <c r="Q396" s="107"/>
      <c r="R396" s="107"/>
    </row>
    <row r="397" spans="1:18" ht="15.75" customHeight="1" x14ac:dyDescent="0.25">
      <c r="A397" s="107"/>
      <c r="B397" s="107"/>
      <c r="C397" s="107"/>
      <c r="D397" s="107"/>
      <c r="E397" s="107"/>
      <c r="F397" s="107"/>
      <c r="G397" s="107"/>
      <c r="H397" s="107"/>
      <c r="I397" s="107"/>
      <c r="J397" s="107"/>
      <c r="K397" s="107"/>
      <c r="L397" s="107"/>
      <c r="M397" s="107"/>
      <c r="N397" s="107"/>
      <c r="O397" s="59"/>
      <c r="P397" s="107"/>
      <c r="Q397" s="107"/>
      <c r="R397" s="107"/>
    </row>
    <row r="398" spans="1:18" ht="15.75" customHeight="1" x14ac:dyDescent="0.25">
      <c r="A398" s="107"/>
      <c r="B398" s="107"/>
      <c r="C398" s="107"/>
      <c r="D398" s="107"/>
      <c r="E398" s="107"/>
      <c r="F398" s="107"/>
      <c r="G398" s="107"/>
      <c r="H398" s="107"/>
      <c r="I398" s="107"/>
      <c r="J398" s="107"/>
      <c r="K398" s="107"/>
      <c r="L398" s="107"/>
      <c r="M398" s="107"/>
      <c r="N398" s="107"/>
      <c r="O398" s="59"/>
      <c r="P398" s="107"/>
      <c r="Q398" s="107"/>
      <c r="R398" s="107"/>
    </row>
    <row r="399" spans="1:18" ht="15.75" customHeight="1" x14ac:dyDescent="0.25">
      <c r="A399" s="107"/>
      <c r="B399" s="107"/>
      <c r="C399" s="107"/>
      <c r="D399" s="107"/>
      <c r="E399" s="107"/>
      <c r="F399" s="107"/>
      <c r="G399" s="107"/>
      <c r="H399" s="107"/>
      <c r="I399" s="107"/>
      <c r="J399" s="107"/>
      <c r="K399" s="107"/>
      <c r="L399" s="107"/>
      <c r="M399" s="107"/>
      <c r="N399" s="107"/>
      <c r="O399" s="59"/>
      <c r="P399" s="107"/>
      <c r="Q399" s="107"/>
      <c r="R399" s="107"/>
    </row>
    <row r="400" spans="1:18" ht="15.75" customHeight="1" x14ac:dyDescent="0.25">
      <c r="A400" s="107"/>
      <c r="B400" s="107"/>
      <c r="C400" s="107"/>
      <c r="D400" s="107"/>
      <c r="E400" s="107"/>
      <c r="F400" s="107"/>
      <c r="G400" s="107"/>
      <c r="H400" s="107"/>
      <c r="I400" s="107"/>
      <c r="J400" s="107"/>
      <c r="K400" s="107"/>
      <c r="L400" s="107"/>
      <c r="M400" s="107"/>
      <c r="N400" s="107"/>
      <c r="O400" s="59"/>
      <c r="P400" s="107"/>
      <c r="Q400" s="107"/>
      <c r="R400" s="107"/>
    </row>
    <row r="401" spans="1:18" ht="15.75" customHeight="1" x14ac:dyDescent="0.25">
      <c r="A401" s="107"/>
      <c r="B401" s="107"/>
      <c r="C401" s="107"/>
      <c r="D401" s="107"/>
      <c r="E401" s="107"/>
      <c r="F401" s="107"/>
      <c r="G401" s="107"/>
      <c r="H401" s="107"/>
      <c r="I401" s="107"/>
      <c r="J401" s="107"/>
      <c r="K401" s="107"/>
      <c r="L401" s="107"/>
      <c r="M401" s="107"/>
      <c r="N401" s="107"/>
      <c r="O401" s="59"/>
      <c r="P401" s="107"/>
      <c r="Q401" s="107"/>
      <c r="R401" s="107"/>
    </row>
    <row r="402" spans="1:18" ht="15.75" customHeight="1" x14ac:dyDescent="0.25">
      <c r="A402" s="107"/>
      <c r="B402" s="107"/>
      <c r="C402" s="107"/>
      <c r="D402" s="107"/>
      <c r="E402" s="107"/>
      <c r="F402" s="107"/>
      <c r="G402" s="107"/>
      <c r="H402" s="107"/>
      <c r="I402" s="107"/>
      <c r="J402" s="107"/>
      <c r="K402" s="107"/>
      <c r="L402" s="107"/>
      <c r="M402" s="107"/>
      <c r="N402" s="107"/>
      <c r="O402" s="59"/>
      <c r="P402" s="107"/>
      <c r="Q402" s="107"/>
      <c r="R402" s="107"/>
    </row>
    <row r="403" spans="1:18" ht="15.75" customHeight="1" x14ac:dyDescent="0.25">
      <c r="A403" s="107"/>
      <c r="B403" s="107"/>
      <c r="C403" s="107"/>
      <c r="D403" s="107"/>
      <c r="E403" s="107"/>
      <c r="F403" s="107"/>
      <c r="G403" s="107"/>
      <c r="H403" s="107"/>
      <c r="I403" s="107"/>
      <c r="J403" s="107"/>
      <c r="K403" s="107"/>
      <c r="L403" s="107"/>
      <c r="M403" s="107"/>
      <c r="N403" s="107"/>
      <c r="O403" s="59"/>
      <c r="P403" s="107"/>
      <c r="Q403" s="107"/>
      <c r="R403" s="107"/>
    </row>
    <row r="404" spans="1:18" ht="15.75" customHeight="1" x14ac:dyDescent="0.25">
      <c r="A404" s="107"/>
      <c r="B404" s="107"/>
      <c r="C404" s="107"/>
      <c r="D404" s="107"/>
      <c r="E404" s="107"/>
      <c r="F404" s="107"/>
      <c r="G404" s="107"/>
      <c r="H404" s="107"/>
      <c r="I404" s="107"/>
      <c r="J404" s="107"/>
      <c r="K404" s="107"/>
      <c r="L404" s="107"/>
      <c r="M404" s="107"/>
      <c r="N404" s="107"/>
      <c r="O404" s="59"/>
      <c r="P404" s="107"/>
      <c r="Q404" s="107"/>
      <c r="R404" s="107"/>
    </row>
    <row r="405" spans="1:18" ht="15.75" customHeight="1" x14ac:dyDescent="0.25">
      <c r="A405" s="107"/>
      <c r="B405" s="107"/>
      <c r="C405" s="107"/>
      <c r="D405" s="107"/>
      <c r="E405" s="107"/>
      <c r="F405" s="107"/>
      <c r="G405" s="107"/>
      <c r="H405" s="107"/>
      <c r="I405" s="107"/>
      <c r="J405" s="107"/>
      <c r="K405" s="107"/>
      <c r="L405" s="107"/>
      <c r="M405" s="107"/>
      <c r="N405" s="107"/>
      <c r="O405" s="59"/>
      <c r="P405" s="107"/>
      <c r="Q405" s="107"/>
      <c r="R405" s="107"/>
    </row>
    <row r="406" spans="1:18" ht="15.75" customHeight="1" x14ac:dyDescent="0.25">
      <c r="A406" s="107"/>
      <c r="B406" s="107"/>
      <c r="C406" s="107"/>
      <c r="D406" s="107"/>
      <c r="E406" s="107"/>
      <c r="F406" s="107"/>
      <c r="G406" s="107"/>
      <c r="H406" s="107"/>
      <c r="I406" s="107"/>
      <c r="J406" s="107"/>
      <c r="K406" s="107"/>
      <c r="L406" s="107"/>
      <c r="M406" s="107"/>
      <c r="N406" s="107"/>
      <c r="O406" s="59"/>
      <c r="P406" s="107"/>
      <c r="Q406" s="107"/>
      <c r="R406" s="107"/>
    </row>
    <row r="407" spans="1:18" ht="15.75" customHeight="1" x14ac:dyDescent="0.25">
      <c r="A407" s="107"/>
      <c r="B407" s="107"/>
      <c r="C407" s="107"/>
      <c r="D407" s="107"/>
      <c r="E407" s="107"/>
      <c r="F407" s="107"/>
      <c r="G407" s="107"/>
      <c r="H407" s="107"/>
      <c r="I407" s="107"/>
      <c r="J407" s="107"/>
      <c r="K407" s="107"/>
      <c r="L407" s="107"/>
      <c r="M407" s="107"/>
      <c r="N407" s="107"/>
      <c r="O407" s="59"/>
      <c r="P407" s="107"/>
      <c r="Q407" s="107"/>
      <c r="R407" s="107"/>
    </row>
    <row r="408" spans="1:18" ht="15.75" customHeight="1" x14ac:dyDescent="0.25">
      <c r="A408" s="107"/>
      <c r="B408" s="107"/>
      <c r="C408" s="107"/>
      <c r="D408" s="107"/>
      <c r="E408" s="107"/>
      <c r="F408" s="107"/>
      <c r="G408" s="107"/>
      <c r="H408" s="107"/>
      <c r="I408" s="107"/>
      <c r="J408" s="107"/>
      <c r="K408" s="107"/>
      <c r="L408" s="107"/>
      <c r="M408" s="107"/>
      <c r="N408" s="107"/>
      <c r="O408" s="59"/>
      <c r="P408" s="107"/>
      <c r="Q408" s="107"/>
      <c r="R408" s="107"/>
    </row>
    <row r="409" spans="1:18" ht="15.75" customHeight="1" x14ac:dyDescent="0.25">
      <c r="A409" s="107"/>
      <c r="B409" s="107"/>
      <c r="C409" s="107"/>
      <c r="D409" s="107"/>
      <c r="E409" s="107"/>
      <c r="F409" s="107"/>
      <c r="G409" s="107"/>
      <c r="H409" s="107"/>
      <c r="I409" s="107"/>
      <c r="J409" s="107"/>
      <c r="K409" s="107"/>
      <c r="L409" s="107"/>
      <c r="M409" s="107"/>
      <c r="N409" s="107"/>
      <c r="O409" s="59"/>
      <c r="P409" s="107"/>
      <c r="Q409" s="107"/>
      <c r="R409" s="107"/>
    </row>
    <row r="410" spans="1:18" ht="15.75" customHeight="1" x14ac:dyDescent="0.25">
      <c r="A410" s="107"/>
      <c r="B410" s="107"/>
      <c r="C410" s="107"/>
      <c r="D410" s="107"/>
      <c r="E410" s="107"/>
      <c r="F410" s="107"/>
      <c r="G410" s="107"/>
      <c r="H410" s="107"/>
      <c r="I410" s="107"/>
      <c r="J410" s="107"/>
      <c r="K410" s="107"/>
      <c r="L410" s="107"/>
      <c r="M410" s="107"/>
      <c r="N410" s="107"/>
      <c r="O410" s="59"/>
      <c r="P410" s="107"/>
      <c r="Q410" s="107"/>
      <c r="R410" s="107"/>
    </row>
    <row r="411" spans="1:18" ht="15.75" customHeight="1" x14ac:dyDescent="0.25">
      <c r="A411" s="107"/>
      <c r="B411" s="107"/>
      <c r="C411" s="107"/>
      <c r="D411" s="107"/>
      <c r="E411" s="107"/>
      <c r="F411" s="107"/>
      <c r="G411" s="107"/>
      <c r="H411" s="107"/>
      <c r="I411" s="107"/>
      <c r="J411" s="107"/>
      <c r="K411" s="107"/>
      <c r="L411" s="107"/>
      <c r="M411" s="107"/>
      <c r="N411" s="107"/>
      <c r="O411" s="59"/>
      <c r="P411" s="107"/>
      <c r="Q411" s="107"/>
      <c r="R411" s="107"/>
    </row>
    <row r="412" spans="1:18" ht="15.75" customHeight="1" x14ac:dyDescent="0.25">
      <c r="A412" s="107"/>
      <c r="B412" s="107"/>
      <c r="C412" s="107"/>
      <c r="D412" s="107"/>
      <c r="E412" s="107"/>
      <c r="F412" s="107"/>
      <c r="G412" s="107"/>
      <c r="H412" s="107"/>
      <c r="I412" s="107"/>
      <c r="J412" s="107"/>
      <c r="K412" s="107"/>
      <c r="L412" s="107"/>
      <c r="M412" s="107"/>
      <c r="N412" s="107"/>
      <c r="O412" s="59"/>
      <c r="P412" s="107"/>
      <c r="Q412" s="107"/>
      <c r="R412" s="107"/>
    </row>
    <row r="413" spans="1:18" ht="15.75" customHeight="1" x14ac:dyDescent="0.25">
      <c r="A413" s="107"/>
      <c r="B413" s="107"/>
      <c r="C413" s="107"/>
      <c r="D413" s="107"/>
      <c r="E413" s="107"/>
      <c r="F413" s="107"/>
      <c r="G413" s="107"/>
      <c r="H413" s="107"/>
      <c r="I413" s="107"/>
      <c r="J413" s="107"/>
      <c r="K413" s="107"/>
      <c r="L413" s="107"/>
      <c r="M413" s="107"/>
      <c r="N413" s="107"/>
      <c r="O413" s="59"/>
      <c r="P413" s="107"/>
      <c r="Q413" s="107"/>
      <c r="R413" s="107"/>
    </row>
    <row r="414" spans="1:18" ht="15.75" customHeight="1" x14ac:dyDescent="0.25">
      <c r="A414" s="107"/>
      <c r="B414" s="107"/>
      <c r="C414" s="107"/>
      <c r="D414" s="107"/>
      <c r="E414" s="107"/>
      <c r="F414" s="107"/>
      <c r="G414" s="107"/>
      <c r="H414" s="107"/>
      <c r="I414" s="107"/>
      <c r="J414" s="107"/>
      <c r="K414" s="107"/>
      <c r="L414" s="107"/>
      <c r="M414" s="107"/>
      <c r="N414" s="107"/>
      <c r="O414" s="59"/>
      <c r="P414" s="107"/>
      <c r="Q414" s="107"/>
      <c r="R414" s="107"/>
    </row>
    <row r="415" spans="1:18" ht="15.75" customHeight="1" x14ac:dyDescent="0.25">
      <c r="A415" s="107"/>
      <c r="B415" s="107"/>
      <c r="C415" s="107"/>
      <c r="D415" s="107"/>
      <c r="E415" s="107"/>
      <c r="F415" s="107"/>
      <c r="G415" s="107"/>
      <c r="H415" s="107"/>
      <c r="I415" s="107"/>
      <c r="J415" s="107"/>
      <c r="K415" s="107"/>
      <c r="L415" s="107"/>
      <c r="M415" s="107"/>
      <c r="N415" s="107"/>
      <c r="O415" s="59"/>
      <c r="P415" s="107"/>
      <c r="Q415" s="107"/>
      <c r="R415" s="107"/>
    </row>
    <row r="416" spans="1:18" ht="15.75" customHeight="1" x14ac:dyDescent="0.25">
      <c r="A416" s="107"/>
      <c r="B416" s="107"/>
      <c r="C416" s="107"/>
      <c r="D416" s="107"/>
      <c r="E416" s="107"/>
      <c r="F416" s="107"/>
      <c r="G416" s="107"/>
      <c r="H416" s="107"/>
      <c r="I416" s="107"/>
      <c r="J416" s="107"/>
      <c r="K416" s="107"/>
      <c r="L416" s="107"/>
      <c r="M416" s="107"/>
      <c r="N416" s="107"/>
      <c r="O416" s="59"/>
      <c r="P416" s="107"/>
      <c r="Q416" s="107"/>
      <c r="R416" s="107"/>
    </row>
    <row r="417" spans="1:18" ht="15.75" customHeight="1" x14ac:dyDescent="0.25">
      <c r="A417" s="107"/>
      <c r="B417" s="107"/>
      <c r="C417" s="107"/>
      <c r="D417" s="107"/>
      <c r="E417" s="107"/>
      <c r="F417" s="107"/>
      <c r="G417" s="107"/>
      <c r="H417" s="107"/>
      <c r="I417" s="107"/>
      <c r="J417" s="107"/>
      <c r="K417" s="107"/>
      <c r="L417" s="107"/>
      <c r="M417" s="107"/>
      <c r="N417" s="107"/>
      <c r="O417" s="59"/>
      <c r="P417" s="107"/>
      <c r="Q417" s="107"/>
      <c r="R417" s="107"/>
    </row>
    <row r="418" spans="1:18" ht="15.75" customHeight="1" x14ac:dyDescent="0.25">
      <c r="A418" s="107"/>
      <c r="B418" s="107"/>
      <c r="C418" s="107"/>
      <c r="D418" s="107"/>
      <c r="E418" s="107"/>
      <c r="F418" s="107"/>
      <c r="G418" s="107"/>
      <c r="H418" s="107"/>
      <c r="I418" s="107"/>
      <c r="J418" s="107"/>
      <c r="K418" s="107"/>
      <c r="L418" s="107"/>
      <c r="M418" s="107"/>
      <c r="N418" s="107"/>
      <c r="O418" s="59"/>
      <c r="P418" s="107"/>
      <c r="Q418" s="107"/>
      <c r="R418" s="107"/>
    </row>
    <row r="419" spans="1:18" ht="15.75" customHeight="1" x14ac:dyDescent="0.25">
      <c r="A419" s="107"/>
      <c r="B419" s="107"/>
      <c r="C419" s="107"/>
      <c r="D419" s="107"/>
      <c r="E419" s="107"/>
      <c r="F419" s="107"/>
      <c r="G419" s="107"/>
      <c r="H419" s="107"/>
      <c r="I419" s="107"/>
      <c r="J419" s="107"/>
      <c r="K419" s="107"/>
      <c r="L419" s="107"/>
      <c r="M419" s="107"/>
      <c r="N419" s="107"/>
      <c r="O419" s="59"/>
      <c r="P419" s="107"/>
      <c r="Q419" s="107"/>
      <c r="R419" s="107"/>
    </row>
    <row r="420" spans="1:18" ht="15.75" customHeight="1" x14ac:dyDescent="0.25">
      <c r="A420" s="107"/>
      <c r="B420" s="107"/>
      <c r="C420" s="107"/>
      <c r="D420" s="107"/>
      <c r="E420" s="107"/>
      <c r="F420" s="107"/>
      <c r="G420" s="107"/>
      <c r="H420" s="107"/>
      <c r="I420" s="107"/>
      <c r="J420" s="107"/>
      <c r="K420" s="107"/>
      <c r="L420" s="107"/>
      <c r="M420" s="107"/>
      <c r="N420" s="107"/>
      <c r="O420" s="59"/>
      <c r="P420" s="107"/>
      <c r="Q420" s="107"/>
      <c r="R420" s="107"/>
    </row>
    <row r="421" spans="1:18" ht="15.75" customHeight="1" x14ac:dyDescent="0.25">
      <c r="A421" s="107"/>
      <c r="B421" s="107"/>
      <c r="C421" s="107"/>
      <c r="D421" s="107"/>
      <c r="E421" s="107"/>
      <c r="F421" s="107"/>
      <c r="G421" s="107"/>
      <c r="H421" s="107"/>
      <c r="I421" s="107"/>
      <c r="J421" s="107"/>
      <c r="K421" s="107"/>
      <c r="L421" s="107"/>
      <c r="M421" s="107"/>
      <c r="N421" s="107"/>
      <c r="O421" s="59"/>
      <c r="P421" s="107"/>
      <c r="Q421" s="107"/>
      <c r="R421" s="107"/>
    </row>
    <row r="422" spans="1:18" ht="15.75" customHeight="1" x14ac:dyDescent="0.25">
      <c r="A422" s="107"/>
      <c r="B422" s="107"/>
      <c r="C422" s="107"/>
      <c r="D422" s="107"/>
      <c r="E422" s="107"/>
      <c r="F422" s="107"/>
      <c r="G422" s="107"/>
      <c r="H422" s="107"/>
      <c r="I422" s="107"/>
      <c r="J422" s="107"/>
      <c r="K422" s="107"/>
      <c r="L422" s="107"/>
      <c r="M422" s="107"/>
      <c r="N422" s="107"/>
      <c r="O422" s="59"/>
      <c r="P422" s="107"/>
      <c r="Q422" s="107"/>
      <c r="R422" s="107"/>
    </row>
    <row r="423" spans="1:18" ht="15.75" customHeight="1" x14ac:dyDescent="0.25">
      <c r="A423" s="107"/>
      <c r="B423" s="107"/>
      <c r="C423" s="107"/>
      <c r="D423" s="107"/>
      <c r="E423" s="107"/>
      <c r="F423" s="107"/>
      <c r="G423" s="107"/>
      <c r="H423" s="107"/>
      <c r="I423" s="107"/>
      <c r="J423" s="107"/>
      <c r="K423" s="107"/>
      <c r="L423" s="107"/>
      <c r="M423" s="107"/>
      <c r="N423" s="107"/>
      <c r="O423" s="59"/>
      <c r="P423" s="107"/>
      <c r="Q423" s="107"/>
      <c r="R423" s="107"/>
    </row>
    <row r="424" spans="1:18" ht="15.75" customHeight="1" x14ac:dyDescent="0.25">
      <c r="A424" s="107"/>
      <c r="B424" s="107"/>
      <c r="C424" s="107"/>
      <c r="D424" s="107"/>
      <c r="E424" s="107"/>
      <c r="F424" s="107"/>
      <c r="G424" s="107"/>
      <c r="H424" s="107"/>
      <c r="I424" s="107"/>
      <c r="J424" s="107"/>
      <c r="K424" s="107"/>
      <c r="L424" s="107"/>
      <c r="M424" s="107"/>
      <c r="N424" s="107"/>
      <c r="O424" s="59"/>
      <c r="P424" s="107"/>
      <c r="Q424" s="107"/>
      <c r="R424" s="107"/>
    </row>
    <row r="425" spans="1:18" ht="15.75" customHeight="1" x14ac:dyDescent="0.25">
      <c r="A425" s="107"/>
      <c r="B425" s="107"/>
      <c r="C425" s="107"/>
      <c r="D425" s="107"/>
      <c r="E425" s="107"/>
      <c r="F425" s="107"/>
      <c r="G425" s="107"/>
      <c r="H425" s="107"/>
      <c r="I425" s="107"/>
      <c r="J425" s="107"/>
      <c r="K425" s="107"/>
      <c r="L425" s="107"/>
      <c r="M425" s="107"/>
      <c r="N425" s="107"/>
      <c r="O425" s="59"/>
      <c r="P425" s="107"/>
      <c r="Q425" s="107"/>
      <c r="R425" s="107"/>
    </row>
    <row r="426" spans="1:18" ht="15.75" customHeight="1" x14ac:dyDescent="0.25">
      <c r="A426" s="107"/>
      <c r="B426" s="107"/>
      <c r="C426" s="107"/>
      <c r="D426" s="107"/>
      <c r="E426" s="107"/>
      <c r="F426" s="107"/>
      <c r="G426" s="107"/>
      <c r="H426" s="107"/>
      <c r="I426" s="107"/>
      <c r="J426" s="107"/>
      <c r="K426" s="107"/>
      <c r="L426" s="107"/>
      <c r="M426" s="107"/>
      <c r="N426" s="107"/>
      <c r="O426" s="59"/>
      <c r="P426" s="107"/>
      <c r="Q426" s="107"/>
      <c r="R426" s="107"/>
    </row>
    <row r="427" spans="1:18" ht="15.75" customHeight="1" x14ac:dyDescent="0.25">
      <c r="A427" s="107"/>
      <c r="B427" s="107"/>
      <c r="C427" s="107"/>
      <c r="D427" s="107"/>
      <c r="E427" s="107"/>
      <c r="F427" s="107"/>
      <c r="G427" s="107"/>
      <c r="H427" s="107"/>
      <c r="I427" s="107"/>
      <c r="J427" s="107"/>
      <c r="K427" s="107"/>
      <c r="L427" s="107"/>
      <c r="M427" s="107"/>
      <c r="N427" s="107"/>
      <c r="O427" s="59"/>
      <c r="P427" s="107"/>
      <c r="Q427" s="107"/>
      <c r="R427" s="107"/>
    </row>
    <row r="428" spans="1:18" ht="15.75" customHeight="1" x14ac:dyDescent="0.25">
      <c r="A428" s="107"/>
      <c r="B428" s="107"/>
      <c r="C428" s="107"/>
      <c r="D428" s="107"/>
      <c r="E428" s="107"/>
      <c r="F428" s="107"/>
      <c r="G428" s="107"/>
      <c r="H428" s="107"/>
      <c r="I428" s="107"/>
      <c r="J428" s="107"/>
      <c r="K428" s="107"/>
      <c r="L428" s="107"/>
      <c r="M428" s="107"/>
      <c r="N428" s="107"/>
      <c r="O428" s="59"/>
      <c r="P428" s="107"/>
      <c r="Q428" s="107"/>
      <c r="R428" s="107"/>
    </row>
    <row r="429" spans="1:18" ht="15.75" customHeight="1" x14ac:dyDescent="0.25">
      <c r="A429" s="107"/>
      <c r="B429" s="107"/>
      <c r="C429" s="107"/>
      <c r="D429" s="107"/>
      <c r="E429" s="107"/>
      <c r="F429" s="107"/>
      <c r="G429" s="107"/>
      <c r="H429" s="107"/>
      <c r="I429" s="107"/>
      <c r="J429" s="107"/>
      <c r="K429" s="107"/>
      <c r="L429" s="107"/>
      <c r="M429" s="107"/>
      <c r="N429" s="107"/>
      <c r="O429" s="59"/>
      <c r="P429" s="107"/>
      <c r="Q429" s="107"/>
      <c r="R429" s="107"/>
    </row>
    <row r="430" spans="1:18" ht="15.75" customHeight="1" x14ac:dyDescent="0.25">
      <c r="A430" s="107"/>
      <c r="B430" s="107"/>
      <c r="C430" s="107"/>
      <c r="D430" s="107"/>
      <c r="E430" s="107"/>
      <c r="F430" s="107"/>
      <c r="G430" s="107"/>
      <c r="H430" s="107"/>
      <c r="I430" s="107"/>
      <c r="J430" s="107"/>
      <c r="K430" s="107"/>
      <c r="L430" s="107"/>
      <c r="M430" s="107"/>
      <c r="N430" s="107"/>
      <c r="O430" s="59"/>
      <c r="P430" s="107"/>
      <c r="Q430" s="107"/>
      <c r="R430" s="107"/>
    </row>
    <row r="431" spans="1:18" ht="15.75" customHeight="1" x14ac:dyDescent="0.25">
      <c r="A431" s="107"/>
      <c r="B431" s="107"/>
      <c r="C431" s="107"/>
      <c r="D431" s="107"/>
      <c r="E431" s="107"/>
      <c r="F431" s="107"/>
      <c r="G431" s="107"/>
      <c r="H431" s="107"/>
      <c r="I431" s="107"/>
      <c r="J431" s="107"/>
      <c r="K431" s="107"/>
      <c r="L431" s="107"/>
      <c r="M431" s="107"/>
      <c r="N431" s="107"/>
      <c r="O431" s="59"/>
      <c r="P431" s="107"/>
      <c r="Q431" s="107"/>
      <c r="R431" s="107"/>
    </row>
    <row r="432" spans="1:18" ht="15.75" customHeight="1" x14ac:dyDescent="0.25">
      <c r="A432" s="107"/>
      <c r="B432" s="107"/>
      <c r="C432" s="107"/>
      <c r="D432" s="107"/>
      <c r="E432" s="107"/>
      <c r="F432" s="107"/>
      <c r="G432" s="107"/>
      <c r="H432" s="107"/>
      <c r="I432" s="107"/>
      <c r="J432" s="107"/>
      <c r="K432" s="107"/>
      <c r="L432" s="107"/>
      <c r="M432" s="107"/>
      <c r="N432" s="107"/>
      <c r="O432" s="59"/>
      <c r="P432" s="107"/>
      <c r="Q432" s="107"/>
      <c r="R432" s="107"/>
    </row>
    <row r="433" spans="1:18" ht="15.75" customHeight="1" x14ac:dyDescent="0.25">
      <c r="A433" s="107"/>
      <c r="B433" s="107"/>
      <c r="C433" s="107"/>
      <c r="D433" s="107"/>
      <c r="E433" s="107"/>
      <c r="F433" s="107"/>
      <c r="G433" s="107"/>
      <c r="H433" s="107"/>
      <c r="I433" s="107"/>
      <c r="J433" s="107"/>
      <c r="K433" s="107"/>
      <c r="L433" s="107"/>
      <c r="M433" s="107"/>
      <c r="N433" s="107"/>
      <c r="O433" s="59"/>
      <c r="P433" s="107"/>
      <c r="Q433" s="107"/>
      <c r="R433" s="107"/>
    </row>
    <row r="434" spans="1:18" ht="15.75" customHeight="1" x14ac:dyDescent="0.25">
      <c r="A434" s="107"/>
      <c r="B434" s="107"/>
      <c r="C434" s="107"/>
      <c r="D434" s="107"/>
      <c r="E434" s="107"/>
      <c r="F434" s="107"/>
      <c r="G434" s="107"/>
      <c r="H434" s="107"/>
      <c r="I434" s="107"/>
      <c r="J434" s="107"/>
      <c r="K434" s="107"/>
      <c r="L434" s="107"/>
      <c r="M434" s="107"/>
      <c r="N434" s="107"/>
      <c r="O434" s="59"/>
      <c r="P434" s="107"/>
      <c r="Q434" s="107"/>
      <c r="R434" s="107"/>
    </row>
    <row r="435" spans="1:18" ht="15.75" customHeight="1" x14ac:dyDescent="0.25">
      <c r="A435" s="107"/>
      <c r="B435" s="107"/>
      <c r="C435" s="107"/>
      <c r="D435" s="107"/>
      <c r="E435" s="107"/>
      <c r="F435" s="107"/>
      <c r="G435" s="107"/>
      <c r="H435" s="107"/>
      <c r="I435" s="107"/>
      <c r="J435" s="107"/>
      <c r="K435" s="107"/>
      <c r="L435" s="107"/>
      <c r="M435" s="107"/>
      <c r="N435" s="107"/>
      <c r="O435" s="59"/>
      <c r="P435" s="107"/>
      <c r="Q435" s="107"/>
      <c r="R435" s="107"/>
    </row>
    <row r="436" spans="1:18" ht="15.75" customHeight="1" x14ac:dyDescent="0.25">
      <c r="A436" s="107"/>
      <c r="B436" s="107"/>
      <c r="C436" s="107"/>
      <c r="D436" s="107"/>
      <c r="E436" s="107"/>
      <c r="F436" s="107"/>
      <c r="G436" s="107"/>
      <c r="H436" s="107"/>
      <c r="I436" s="107"/>
      <c r="J436" s="107"/>
      <c r="K436" s="107"/>
      <c r="L436" s="107"/>
      <c r="M436" s="107"/>
      <c r="N436" s="107"/>
      <c r="O436" s="59"/>
      <c r="P436" s="107"/>
      <c r="Q436" s="107"/>
      <c r="R436" s="107"/>
    </row>
    <row r="437" spans="1:18" ht="15.75" customHeight="1" x14ac:dyDescent="0.25">
      <c r="A437" s="107"/>
      <c r="B437" s="107"/>
      <c r="C437" s="107"/>
      <c r="D437" s="107"/>
      <c r="E437" s="107"/>
      <c r="F437" s="107"/>
      <c r="G437" s="107"/>
      <c r="H437" s="107"/>
      <c r="I437" s="107"/>
      <c r="J437" s="107"/>
      <c r="K437" s="107"/>
      <c r="L437" s="107"/>
      <c r="M437" s="107"/>
      <c r="N437" s="107"/>
      <c r="O437" s="59"/>
      <c r="P437" s="107"/>
      <c r="Q437" s="107"/>
      <c r="R437" s="107"/>
    </row>
    <row r="438" spans="1:18" ht="15.75" customHeight="1" x14ac:dyDescent="0.25">
      <c r="A438" s="107"/>
      <c r="B438" s="107"/>
      <c r="C438" s="107"/>
      <c r="D438" s="107"/>
      <c r="E438" s="107"/>
      <c r="F438" s="107"/>
      <c r="G438" s="107"/>
      <c r="H438" s="107"/>
      <c r="I438" s="107"/>
      <c r="J438" s="107"/>
      <c r="K438" s="107"/>
      <c r="L438" s="107"/>
      <c r="M438" s="107"/>
      <c r="N438" s="107"/>
      <c r="O438" s="59"/>
      <c r="P438" s="107"/>
      <c r="Q438" s="107"/>
      <c r="R438" s="107"/>
    </row>
    <row r="439" spans="1:18" ht="15.75" customHeight="1" x14ac:dyDescent="0.25">
      <c r="A439" s="107"/>
      <c r="B439" s="107"/>
      <c r="C439" s="107"/>
      <c r="D439" s="107"/>
      <c r="E439" s="107"/>
      <c r="F439" s="107"/>
      <c r="G439" s="107"/>
      <c r="H439" s="107"/>
      <c r="I439" s="107"/>
      <c r="J439" s="107"/>
      <c r="K439" s="107"/>
      <c r="L439" s="107"/>
      <c r="M439" s="107"/>
      <c r="N439" s="107"/>
      <c r="O439" s="59"/>
      <c r="P439" s="107"/>
      <c r="Q439" s="107"/>
      <c r="R439" s="107"/>
    </row>
    <row r="440" spans="1:18" ht="15.75" customHeight="1" x14ac:dyDescent="0.25">
      <c r="A440" s="107"/>
      <c r="B440" s="107"/>
      <c r="C440" s="107"/>
      <c r="D440" s="107"/>
      <c r="E440" s="107"/>
      <c r="F440" s="107"/>
      <c r="G440" s="107"/>
      <c r="H440" s="107"/>
      <c r="I440" s="107"/>
      <c r="J440" s="107"/>
      <c r="K440" s="107"/>
      <c r="L440" s="107"/>
      <c r="M440" s="107"/>
      <c r="N440" s="107"/>
      <c r="O440" s="59"/>
      <c r="P440" s="107"/>
      <c r="Q440" s="107"/>
      <c r="R440" s="107"/>
    </row>
    <row r="441" spans="1:18" ht="15.75" customHeight="1" x14ac:dyDescent="0.25">
      <c r="A441" s="107"/>
      <c r="B441" s="107"/>
      <c r="C441" s="107"/>
      <c r="D441" s="107"/>
      <c r="E441" s="107"/>
      <c r="F441" s="107"/>
      <c r="G441" s="107"/>
      <c r="H441" s="107"/>
      <c r="I441" s="107"/>
      <c r="J441" s="107"/>
      <c r="K441" s="107"/>
      <c r="L441" s="107"/>
      <c r="M441" s="107"/>
      <c r="N441" s="107"/>
      <c r="O441" s="59"/>
      <c r="P441" s="107"/>
      <c r="Q441" s="107"/>
      <c r="R441" s="107"/>
    </row>
    <row r="442" spans="1:18" ht="15.75" customHeight="1" x14ac:dyDescent="0.25">
      <c r="A442" s="107"/>
      <c r="B442" s="107"/>
      <c r="C442" s="107"/>
      <c r="D442" s="107"/>
      <c r="E442" s="107"/>
      <c r="F442" s="107"/>
      <c r="G442" s="107"/>
      <c r="H442" s="107"/>
      <c r="I442" s="107"/>
      <c r="J442" s="107"/>
      <c r="K442" s="107"/>
      <c r="L442" s="107"/>
      <c r="M442" s="107"/>
      <c r="N442" s="107"/>
      <c r="O442" s="59"/>
      <c r="P442" s="107"/>
      <c r="Q442" s="107"/>
      <c r="R442" s="107"/>
    </row>
    <row r="443" spans="1:18" ht="15.75" customHeight="1" x14ac:dyDescent="0.25">
      <c r="A443" s="107"/>
      <c r="B443" s="107"/>
      <c r="C443" s="107"/>
      <c r="D443" s="107"/>
      <c r="E443" s="107"/>
      <c r="F443" s="107"/>
      <c r="G443" s="107"/>
      <c r="H443" s="107"/>
      <c r="I443" s="107"/>
      <c r="J443" s="107"/>
      <c r="K443" s="107"/>
      <c r="L443" s="107"/>
      <c r="M443" s="107"/>
      <c r="N443" s="107"/>
      <c r="O443" s="59"/>
      <c r="P443" s="107"/>
      <c r="Q443" s="107"/>
      <c r="R443" s="107"/>
    </row>
    <row r="444" spans="1:18" ht="15.75" customHeight="1" x14ac:dyDescent="0.25">
      <c r="A444" s="107"/>
      <c r="B444" s="107"/>
      <c r="C444" s="107"/>
      <c r="D444" s="107"/>
      <c r="E444" s="107"/>
      <c r="F444" s="107"/>
      <c r="G444" s="107"/>
      <c r="H444" s="107"/>
      <c r="I444" s="107"/>
      <c r="J444" s="107"/>
      <c r="K444" s="107"/>
      <c r="L444" s="107"/>
      <c r="M444" s="107"/>
      <c r="N444" s="107"/>
      <c r="O444" s="59"/>
      <c r="P444" s="107"/>
      <c r="Q444" s="107"/>
      <c r="R444" s="107"/>
    </row>
    <row r="445" spans="1:18" ht="15.75" customHeight="1" x14ac:dyDescent="0.25">
      <c r="A445" s="107"/>
      <c r="B445" s="107"/>
      <c r="C445" s="107"/>
      <c r="D445" s="107"/>
      <c r="E445" s="107"/>
      <c r="F445" s="107"/>
      <c r="G445" s="107"/>
      <c r="H445" s="107"/>
      <c r="I445" s="107"/>
      <c r="J445" s="107"/>
      <c r="K445" s="107"/>
      <c r="L445" s="107"/>
      <c r="M445" s="107"/>
      <c r="N445" s="107"/>
      <c r="O445" s="59"/>
      <c r="P445" s="107"/>
      <c r="Q445" s="107"/>
      <c r="R445" s="107"/>
    </row>
    <row r="446" spans="1:18" ht="15.75" customHeight="1" x14ac:dyDescent="0.25">
      <c r="A446" s="107"/>
      <c r="B446" s="107"/>
      <c r="C446" s="107"/>
      <c r="D446" s="107"/>
      <c r="E446" s="107"/>
      <c r="F446" s="107"/>
      <c r="G446" s="107"/>
      <c r="H446" s="107"/>
      <c r="I446" s="107"/>
      <c r="J446" s="107"/>
      <c r="K446" s="107"/>
      <c r="L446" s="107"/>
      <c r="M446" s="107"/>
      <c r="N446" s="107"/>
      <c r="O446" s="59"/>
      <c r="P446" s="107"/>
      <c r="Q446" s="107"/>
      <c r="R446" s="107"/>
    </row>
    <row r="447" spans="1:18" ht="15.75" customHeight="1" x14ac:dyDescent="0.25">
      <c r="A447" s="107"/>
      <c r="B447" s="107"/>
      <c r="C447" s="107"/>
      <c r="D447" s="107"/>
      <c r="E447" s="107"/>
      <c r="F447" s="107"/>
      <c r="G447" s="107"/>
      <c r="H447" s="107"/>
      <c r="I447" s="107"/>
      <c r="J447" s="107"/>
      <c r="K447" s="107"/>
      <c r="L447" s="107"/>
      <c r="M447" s="107"/>
      <c r="N447" s="107"/>
      <c r="O447" s="59"/>
      <c r="P447" s="107"/>
      <c r="Q447" s="107"/>
      <c r="R447" s="107"/>
    </row>
    <row r="448" spans="1:18" ht="15.75" customHeight="1" x14ac:dyDescent="0.25">
      <c r="A448" s="107"/>
      <c r="B448" s="107"/>
      <c r="C448" s="107"/>
      <c r="D448" s="107"/>
      <c r="E448" s="107"/>
      <c r="F448" s="107"/>
      <c r="G448" s="107"/>
      <c r="H448" s="107"/>
      <c r="I448" s="107"/>
      <c r="J448" s="107"/>
      <c r="K448" s="107"/>
      <c r="L448" s="107"/>
      <c r="M448" s="107"/>
      <c r="N448" s="107"/>
      <c r="O448" s="59"/>
      <c r="P448" s="107"/>
      <c r="Q448" s="107"/>
      <c r="R448" s="107"/>
    </row>
    <row r="449" spans="1:18" ht="15.75" customHeight="1" x14ac:dyDescent="0.25">
      <c r="A449" s="107"/>
      <c r="B449" s="107"/>
      <c r="C449" s="107"/>
      <c r="D449" s="107"/>
      <c r="E449" s="107"/>
      <c r="F449" s="107"/>
      <c r="G449" s="107"/>
      <c r="H449" s="107"/>
      <c r="I449" s="107"/>
      <c r="J449" s="107"/>
      <c r="K449" s="107"/>
      <c r="L449" s="107"/>
      <c r="M449" s="107"/>
      <c r="N449" s="107"/>
      <c r="O449" s="59"/>
      <c r="P449" s="107"/>
      <c r="Q449" s="107"/>
      <c r="R449" s="107"/>
    </row>
    <row r="450" spans="1:18" ht="15.75" customHeight="1" x14ac:dyDescent="0.25">
      <c r="A450" s="107"/>
      <c r="B450" s="107"/>
      <c r="C450" s="107"/>
      <c r="D450" s="107"/>
      <c r="E450" s="107"/>
      <c r="F450" s="107"/>
      <c r="G450" s="107"/>
      <c r="H450" s="107"/>
      <c r="I450" s="107"/>
      <c r="J450" s="107"/>
      <c r="K450" s="107"/>
      <c r="L450" s="107"/>
      <c r="M450" s="107"/>
      <c r="N450" s="107"/>
      <c r="O450" s="59"/>
      <c r="P450" s="107"/>
      <c r="Q450" s="107"/>
      <c r="R450" s="107"/>
    </row>
    <row r="451" spans="1:18" ht="15.75" customHeight="1" x14ac:dyDescent="0.25">
      <c r="A451" s="107"/>
      <c r="B451" s="107"/>
      <c r="C451" s="107"/>
      <c r="D451" s="107"/>
      <c r="E451" s="107"/>
      <c r="F451" s="107"/>
      <c r="G451" s="107"/>
      <c r="H451" s="107"/>
      <c r="I451" s="107"/>
      <c r="J451" s="107"/>
      <c r="K451" s="107"/>
      <c r="L451" s="107"/>
      <c r="M451" s="107"/>
      <c r="N451" s="107"/>
      <c r="O451" s="59"/>
      <c r="P451" s="107"/>
      <c r="Q451" s="107"/>
      <c r="R451" s="107"/>
    </row>
    <row r="452" spans="1:18" ht="15.75" customHeight="1" x14ac:dyDescent="0.25">
      <c r="A452" s="107"/>
      <c r="B452" s="107"/>
      <c r="C452" s="107"/>
      <c r="D452" s="107"/>
      <c r="E452" s="107"/>
      <c r="F452" s="107"/>
      <c r="G452" s="107"/>
      <c r="H452" s="107"/>
      <c r="I452" s="107"/>
      <c r="J452" s="107"/>
      <c r="K452" s="107"/>
      <c r="L452" s="107"/>
      <c r="M452" s="107"/>
      <c r="N452" s="107"/>
      <c r="O452" s="59"/>
      <c r="P452" s="107"/>
      <c r="Q452" s="107"/>
      <c r="R452" s="107"/>
    </row>
    <row r="453" spans="1:18" ht="15.75" customHeight="1" x14ac:dyDescent="0.25">
      <c r="A453" s="107"/>
      <c r="B453" s="107"/>
      <c r="C453" s="107"/>
      <c r="D453" s="107"/>
      <c r="E453" s="107"/>
      <c r="F453" s="107"/>
      <c r="G453" s="107"/>
      <c r="H453" s="107"/>
      <c r="I453" s="107"/>
      <c r="J453" s="107"/>
      <c r="K453" s="107"/>
      <c r="L453" s="107"/>
      <c r="M453" s="107"/>
      <c r="N453" s="107"/>
      <c r="O453" s="59"/>
      <c r="P453" s="107"/>
      <c r="Q453" s="107"/>
      <c r="R453" s="107"/>
    </row>
    <row r="454" spans="1:18" ht="15.75" customHeight="1" x14ac:dyDescent="0.25">
      <c r="A454" s="107"/>
      <c r="B454" s="107"/>
      <c r="C454" s="107"/>
      <c r="D454" s="107"/>
      <c r="E454" s="107"/>
      <c r="F454" s="107"/>
      <c r="G454" s="107"/>
      <c r="H454" s="107"/>
      <c r="I454" s="107"/>
      <c r="J454" s="107"/>
      <c r="K454" s="107"/>
      <c r="L454" s="107"/>
      <c r="M454" s="107"/>
      <c r="N454" s="107"/>
      <c r="O454" s="59"/>
      <c r="P454" s="107"/>
      <c r="Q454" s="107"/>
      <c r="R454" s="107"/>
    </row>
    <row r="455" spans="1:18" ht="15.75" customHeight="1" x14ac:dyDescent="0.25">
      <c r="A455" s="107"/>
      <c r="B455" s="107"/>
      <c r="C455" s="107"/>
      <c r="D455" s="107"/>
      <c r="E455" s="107"/>
      <c r="F455" s="107"/>
      <c r="G455" s="107"/>
      <c r="H455" s="107"/>
      <c r="I455" s="107"/>
      <c r="J455" s="107"/>
      <c r="K455" s="107"/>
      <c r="L455" s="107"/>
      <c r="M455" s="107"/>
      <c r="N455" s="107"/>
      <c r="O455" s="59"/>
      <c r="P455" s="107"/>
      <c r="Q455" s="107"/>
      <c r="R455" s="107"/>
    </row>
    <row r="456" spans="1:18" ht="15.75" customHeight="1" x14ac:dyDescent="0.25">
      <c r="A456" s="107"/>
      <c r="B456" s="107"/>
      <c r="C456" s="107"/>
      <c r="D456" s="107"/>
      <c r="E456" s="107"/>
      <c r="F456" s="107"/>
      <c r="G456" s="107"/>
      <c r="H456" s="107"/>
      <c r="I456" s="107"/>
      <c r="J456" s="107"/>
      <c r="K456" s="107"/>
      <c r="L456" s="107"/>
      <c r="M456" s="107"/>
      <c r="N456" s="107"/>
      <c r="O456" s="59"/>
      <c r="P456" s="107"/>
      <c r="Q456" s="107"/>
      <c r="R456" s="107"/>
    </row>
    <row r="457" spans="1:18" ht="15.75" customHeight="1" x14ac:dyDescent="0.25">
      <c r="A457" s="107"/>
      <c r="B457" s="107"/>
      <c r="C457" s="107"/>
      <c r="D457" s="107"/>
      <c r="E457" s="107"/>
      <c r="F457" s="107"/>
      <c r="G457" s="107"/>
      <c r="H457" s="107"/>
      <c r="I457" s="107"/>
      <c r="J457" s="107"/>
      <c r="K457" s="107"/>
      <c r="L457" s="107"/>
      <c r="M457" s="107"/>
      <c r="N457" s="107"/>
      <c r="O457" s="59"/>
      <c r="P457" s="107"/>
      <c r="Q457" s="107"/>
      <c r="R457" s="107"/>
    </row>
    <row r="458" spans="1:18" ht="15.75" customHeight="1" x14ac:dyDescent="0.25">
      <c r="A458" s="107"/>
      <c r="B458" s="107"/>
      <c r="C458" s="107"/>
      <c r="D458" s="107"/>
      <c r="E458" s="107"/>
      <c r="F458" s="107"/>
      <c r="G458" s="107"/>
      <c r="H458" s="107"/>
      <c r="I458" s="107"/>
      <c r="J458" s="107"/>
      <c r="K458" s="107"/>
      <c r="L458" s="107"/>
      <c r="M458" s="107"/>
      <c r="N458" s="107"/>
      <c r="O458" s="59"/>
      <c r="P458" s="107"/>
      <c r="Q458" s="107"/>
      <c r="R458" s="107"/>
    </row>
    <row r="459" spans="1:18" ht="15.75" customHeight="1" x14ac:dyDescent="0.25">
      <c r="A459" s="107"/>
      <c r="B459" s="107"/>
      <c r="C459" s="107"/>
      <c r="D459" s="107"/>
      <c r="E459" s="107"/>
      <c r="F459" s="107"/>
      <c r="G459" s="107"/>
      <c r="H459" s="107"/>
      <c r="I459" s="107"/>
      <c r="J459" s="107"/>
      <c r="K459" s="107"/>
      <c r="L459" s="107"/>
      <c r="M459" s="107"/>
      <c r="N459" s="107"/>
      <c r="O459" s="59"/>
      <c r="P459" s="107"/>
      <c r="Q459" s="107"/>
      <c r="R459" s="107"/>
    </row>
    <row r="460" spans="1:18" ht="15.75" customHeight="1" x14ac:dyDescent="0.25">
      <c r="A460" s="107"/>
      <c r="B460" s="107"/>
      <c r="C460" s="107"/>
      <c r="D460" s="107"/>
      <c r="E460" s="107"/>
      <c r="F460" s="107"/>
      <c r="G460" s="107"/>
      <c r="H460" s="107"/>
      <c r="I460" s="107"/>
      <c r="J460" s="107"/>
      <c r="K460" s="107"/>
      <c r="L460" s="107"/>
      <c r="M460" s="107"/>
      <c r="N460" s="107"/>
      <c r="O460" s="59"/>
      <c r="P460" s="107"/>
      <c r="Q460" s="107"/>
      <c r="R460" s="107"/>
    </row>
    <row r="461" spans="1:18" ht="15.75" customHeight="1" x14ac:dyDescent="0.25">
      <c r="A461" s="107"/>
      <c r="B461" s="107"/>
      <c r="C461" s="107"/>
      <c r="D461" s="107"/>
      <c r="E461" s="107"/>
      <c r="F461" s="107"/>
      <c r="G461" s="107"/>
      <c r="H461" s="107"/>
      <c r="I461" s="107"/>
      <c r="J461" s="107"/>
      <c r="K461" s="107"/>
      <c r="L461" s="107"/>
      <c r="M461" s="107"/>
      <c r="N461" s="107"/>
      <c r="O461" s="59"/>
      <c r="P461" s="107"/>
      <c r="Q461" s="107"/>
      <c r="R461" s="107"/>
    </row>
    <row r="462" spans="1:18" ht="15.75" customHeight="1" x14ac:dyDescent="0.25">
      <c r="A462" s="107"/>
      <c r="B462" s="107"/>
      <c r="C462" s="107"/>
      <c r="D462" s="107"/>
      <c r="E462" s="107"/>
      <c r="F462" s="107"/>
      <c r="G462" s="107"/>
      <c r="H462" s="107"/>
      <c r="I462" s="107"/>
      <c r="J462" s="107"/>
      <c r="K462" s="107"/>
      <c r="L462" s="107"/>
      <c r="M462" s="107"/>
      <c r="N462" s="107"/>
      <c r="O462" s="59"/>
      <c r="P462" s="107"/>
      <c r="Q462" s="107"/>
      <c r="R462" s="107"/>
    </row>
    <row r="463" spans="1:18" ht="15.75" customHeight="1" x14ac:dyDescent="0.25">
      <c r="A463" s="107"/>
      <c r="B463" s="107"/>
      <c r="C463" s="107"/>
      <c r="D463" s="107"/>
      <c r="E463" s="107"/>
      <c r="F463" s="107"/>
      <c r="G463" s="107"/>
      <c r="H463" s="107"/>
      <c r="I463" s="107"/>
      <c r="J463" s="107"/>
      <c r="K463" s="107"/>
      <c r="L463" s="107"/>
      <c r="M463" s="107"/>
      <c r="N463" s="107"/>
      <c r="O463" s="59"/>
      <c r="P463" s="107"/>
      <c r="Q463" s="107"/>
      <c r="R463" s="107"/>
    </row>
    <row r="464" spans="1:18" ht="15.75" customHeight="1" x14ac:dyDescent="0.25">
      <c r="A464" s="107"/>
      <c r="B464" s="107"/>
      <c r="C464" s="107"/>
      <c r="D464" s="107"/>
      <c r="E464" s="107"/>
      <c r="F464" s="107"/>
      <c r="G464" s="107"/>
      <c r="H464" s="107"/>
      <c r="I464" s="107"/>
      <c r="J464" s="107"/>
      <c r="K464" s="107"/>
      <c r="L464" s="107"/>
      <c r="M464" s="107"/>
      <c r="N464" s="107"/>
      <c r="O464" s="59"/>
      <c r="P464" s="107"/>
      <c r="Q464" s="107"/>
      <c r="R464" s="107"/>
    </row>
    <row r="465" spans="1:18" ht="15.75" customHeight="1" x14ac:dyDescent="0.25">
      <c r="A465" s="107"/>
      <c r="B465" s="107"/>
      <c r="C465" s="107"/>
      <c r="D465" s="107"/>
      <c r="E465" s="107"/>
      <c r="F465" s="107"/>
      <c r="G465" s="107"/>
      <c r="H465" s="107"/>
      <c r="I465" s="107"/>
      <c r="J465" s="107"/>
      <c r="K465" s="107"/>
      <c r="L465" s="107"/>
      <c r="M465" s="107"/>
      <c r="N465" s="107"/>
      <c r="O465" s="59"/>
      <c r="P465" s="107"/>
      <c r="Q465" s="107"/>
      <c r="R465" s="107"/>
    </row>
    <row r="466" spans="1:18" ht="15.75" customHeight="1" x14ac:dyDescent="0.25">
      <c r="A466" s="107"/>
      <c r="B466" s="107"/>
      <c r="C466" s="107"/>
      <c r="D466" s="107"/>
      <c r="E466" s="107"/>
      <c r="F466" s="107"/>
      <c r="G466" s="107"/>
      <c r="H466" s="107"/>
      <c r="I466" s="107"/>
      <c r="J466" s="107"/>
      <c r="K466" s="107"/>
      <c r="L466" s="107"/>
      <c r="M466" s="107"/>
      <c r="N466" s="107"/>
      <c r="O466" s="59"/>
      <c r="P466" s="107"/>
      <c r="Q466" s="107"/>
      <c r="R466" s="107"/>
    </row>
    <row r="467" spans="1:18" ht="15.75" customHeight="1" x14ac:dyDescent="0.25">
      <c r="A467" s="107"/>
      <c r="B467" s="107"/>
      <c r="C467" s="107"/>
      <c r="D467" s="107"/>
      <c r="E467" s="107"/>
      <c r="F467" s="107"/>
      <c r="G467" s="107"/>
      <c r="H467" s="107"/>
      <c r="I467" s="107"/>
      <c r="J467" s="107"/>
      <c r="K467" s="107"/>
      <c r="L467" s="107"/>
      <c r="M467" s="107"/>
      <c r="N467" s="107"/>
      <c r="O467" s="59"/>
      <c r="P467" s="107"/>
      <c r="Q467" s="107"/>
      <c r="R467" s="107"/>
    </row>
    <row r="468" spans="1:18" ht="15.75" customHeight="1" x14ac:dyDescent="0.25">
      <c r="A468" s="107"/>
      <c r="B468" s="107"/>
      <c r="C468" s="107"/>
      <c r="D468" s="107"/>
      <c r="E468" s="107"/>
      <c r="F468" s="107"/>
      <c r="G468" s="107"/>
      <c r="H468" s="107"/>
      <c r="I468" s="107"/>
      <c r="J468" s="107"/>
      <c r="K468" s="107"/>
      <c r="L468" s="107"/>
      <c r="M468" s="107"/>
      <c r="N468" s="107"/>
      <c r="O468" s="59"/>
      <c r="P468" s="107"/>
      <c r="Q468" s="107"/>
      <c r="R468" s="107"/>
    </row>
    <row r="469" spans="1:18" ht="15.75" customHeight="1" x14ac:dyDescent="0.25">
      <c r="A469" s="107"/>
      <c r="B469" s="107"/>
      <c r="C469" s="107"/>
      <c r="D469" s="107"/>
      <c r="E469" s="107"/>
      <c r="F469" s="107"/>
      <c r="G469" s="107"/>
      <c r="H469" s="107"/>
      <c r="I469" s="107"/>
      <c r="J469" s="107"/>
      <c r="K469" s="107"/>
      <c r="L469" s="107"/>
      <c r="M469" s="107"/>
      <c r="N469" s="107"/>
      <c r="O469" s="59"/>
      <c r="P469" s="107"/>
      <c r="Q469" s="107"/>
      <c r="R469" s="107"/>
    </row>
    <row r="470" spans="1:18" ht="15.75" customHeight="1" x14ac:dyDescent="0.25">
      <c r="A470" s="107"/>
      <c r="B470" s="107"/>
      <c r="C470" s="107"/>
      <c r="D470" s="107"/>
      <c r="E470" s="107"/>
      <c r="F470" s="107"/>
      <c r="G470" s="107"/>
      <c r="H470" s="107"/>
      <c r="I470" s="107"/>
      <c r="J470" s="107"/>
      <c r="K470" s="107"/>
      <c r="L470" s="107"/>
      <c r="M470" s="107"/>
      <c r="N470" s="107"/>
      <c r="O470" s="59"/>
      <c r="P470" s="107"/>
      <c r="Q470" s="107"/>
      <c r="R470" s="107"/>
    </row>
    <row r="471" spans="1:18" ht="15.75" customHeight="1" x14ac:dyDescent="0.25">
      <c r="A471" s="107"/>
      <c r="B471" s="107"/>
      <c r="C471" s="107"/>
      <c r="D471" s="107"/>
      <c r="E471" s="107"/>
      <c r="F471" s="107"/>
      <c r="G471" s="107"/>
      <c r="H471" s="107"/>
      <c r="I471" s="107"/>
      <c r="J471" s="107"/>
      <c r="K471" s="107"/>
      <c r="L471" s="107"/>
      <c r="M471" s="107"/>
      <c r="N471" s="107"/>
      <c r="O471" s="59"/>
      <c r="P471" s="107"/>
      <c r="Q471" s="107"/>
      <c r="R471" s="107"/>
    </row>
    <row r="472" spans="1:18" ht="15.75" customHeight="1" x14ac:dyDescent="0.25">
      <c r="A472" s="107"/>
      <c r="B472" s="107"/>
      <c r="C472" s="107"/>
      <c r="D472" s="107"/>
      <c r="E472" s="107"/>
      <c r="F472" s="107"/>
      <c r="G472" s="107"/>
      <c r="H472" s="107"/>
      <c r="I472" s="107"/>
      <c r="J472" s="107"/>
      <c r="K472" s="107"/>
      <c r="L472" s="107"/>
      <c r="M472" s="107"/>
      <c r="N472" s="107"/>
      <c r="O472" s="59"/>
      <c r="P472" s="107"/>
      <c r="Q472" s="107"/>
      <c r="R472" s="107"/>
    </row>
    <row r="473" spans="1:18" ht="15.75" customHeight="1" x14ac:dyDescent="0.25">
      <c r="A473" s="107"/>
      <c r="B473" s="107"/>
      <c r="C473" s="107"/>
      <c r="D473" s="107"/>
      <c r="E473" s="107"/>
      <c r="F473" s="107"/>
      <c r="G473" s="107"/>
      <c r="H473" s="107"/>
      <c r="I473" s="107"/>
      <c r="J473" s="107"/>
      <c r="K473" s="107"/>
      <c r="L473" s="107"/>
      <c r="M473" s="107"/>
      <c r="N473" s="107"/>
      <c r="O473" s="59"/>
      <c r="P473" s="107"/>
      <c r="Q473" s="107"/>
      <c r="R473" s="107"/>
    </row>
    <row r="474" spans="1:18" ht="15.75" customHeight="1" x14ac:dyDescent="0.25">
      <c r="A474" s="107"/>
      <c r="B474" s="107"/>
      <c r="C474" s="107"/>
      <c r="D474" s="107"/>
      <c r="E474" s="107"/>
      <c r="F474" s="107"/>
      <c r="G474" s="107"/>
      <c r="H474" s="107"/>
      <c r="I474" s="107"/>
      <c r="J474" s="107"/>
      <c r="K474" s="107"/>
      <c r="L474" s="107"/>
      <c r="M474" s="107"/>
      <c r="N474" s="107"/>
      <c r="O474" s="59"/>
      <c r="P474" s="107"/>
      <c r="Q474" s="107"/>
      <c r="R474" s="107"/>
    </row>
    <row r="475" spans="1:18" ht="15.75" customHeight="1" x14ac:dyDescent="0.25">
      <c r="A475" s="107"/>
      <c r="B475" s="107"/>
      <c r="C475" s="107"/>
      <c r="D475" s="107"/>
      <c r="E475" s="107"/>
      <c r="F475" s="107"/>
      <c r="G475" s="107"/>
      <c r="H475" s="107"/>
      <c r="I475" s="107"/>
      <c r="J475" s="107"/>
      <c r="K475" s="107"/>
      <c r="L475" s="107"/>
      <c r="M475" s="107"/>
      <c r="N475" s="107"/>
      <c r="O475" s="59"/>
      <c r="P475" s="107"/>
      <c r="Q475" s="107"/>
      <c r="R475" s="107"/>
    </row>
    <row r="476" spans="1:18" ht="15.75" customHeight="1" x14ac:dyDescent="0.25">
      <c r="A476" s="107"/>
      <c r="B476" s="107"/>
      <c r="C476" s="107"/>
      <c r="D476" s="107"/>
      <c r="E476" s="107"/>
      <c r="F476" s="107"/>
      <c r="G476" s="107"/>
      <c r="H476" s="107"/>
      <c r="I476" s="107"/>
      <c r="J476" s="107"/>
      <c r="K476" s="107"/>
      <c r="L476" s="107"/>
      <c r="M476" s="107"/>
      <c r="N476" s="107"/>
      <c r="O476" s="59"/>
      <c r="P476" s="107"/>
      <c r="Q476" s="107"/>
      <c r="R476" s="107"/>
    </row>
    <row r="477" spans="1:18" ht="15.75" customHeight="1" x14ac:dyDescent="0.25">
      <c r="A477" s="107"/>
      <c r="B477" s="107"/>
      <c r="C477" s="107"/>
      <c r="D477" s="107"/>
      <c r="E477" s="107"/>
      <c r="F477" s="107"/>
      <c r="G477" s="107"/>
      <c r="H477" s="107"/>
      <c r="I477" s="107"/>
      <c r="J477" s="107"/>
      <c r="K477" s="107"/>
      <c r="L477" s="107"/>
      <c r="M477" s="107"/>
      <c r="N477" s="107"/>
      <c r="O477" s="59"/>
      <c r="P477" s="107"/>
      <c r="Q477" s="107"/>
      <c r="R477" s="107"/>
    </row>
    <row r="478" spans="1:18" ht="15.75" customHeight="1" x14ac:dyDescent="0.25">
      <c r="A478" s="107"/>
      <c r="B478" s="107"/>
      <c r="C478" s="107"/>
      <c r="D478" s="107"/>
      <c r="E478" s="107"/>
      <c r="F478" s="107"/>
      <c r="G478" s="107"/>
      <c r="H478" s="107"/>
      <c r="I478" s="107"/>
      <c r="J478" s="107"/>
      <c r="K478" s="107"/>
      <c r="L478" s="107"/>
      <c r="M478" s="107"/>
      <c r="N478" s="107"/>
      <c r="O478" s="59"/>
      <c r="P478" s="107"/>
      <c r="Q478" s="107"/>
      <c r="R478" s="107"/>
    </row>
    <row r="479" spans="1:18" ht="15.75" customHeight="1" x14ac:dyDescent="0.25">
      <c r="A479" s="107"/>
      <c r="B479" s="107"/>
      <c r="C479" s="107"/>
      <c r="D479" s="107"/>
      <c r="E479" s="107"/>
      <c r="F479" s="107"/>
      <c r="G479" s="107"/>
      <c r="H479" s="107"/>
      <c r="I479" s="107"/>
      <c r="J479" s="107"/>
      <c r="K479" s="107"/>
      <c r="L479" s="107"/>
      <c r="M479" s="107"/>
      <c r="N479" s="107"/>
      <c r="O479" s="59"/>
      <c r="P479" s="107"/>
      <c r="Q479" s="107"/>
      <c r="R479" s="107"/>
    </row>
    <row r="480" spans="1:18" ht="15.75" customHeight="1" x14ac:dyDescent="0.25">
      <c r="A480" s="107"/>
      <c r="B480" s="107"/>
      <c r="C480" s="107"/>
      <c r="D480" s="107"/>
      <c r="E480" s="107"/>
      <c r="F480" s="107"/>
      <c r="G480" s="107"/>
      <c r="H480" s="107"/>
      <c r="I480" s="107"/>
      <c r="J480" s="107"/>
      <c r="K480" s="107"/>
      <c r="L480" s="107"/>
      <c r="M480" s="107"/>
      <c r="N480" s="107"/>
      <c r="O480" s="59"/>
      <c r="P480" s="107"/>
      <c r="Q480" s="107"/>
      <c r="R480" s="107"/>
    </row>
    <row r="481" spans="1:18" ht="15.75" customHeight="1" x14ac:dyDescent="0.25">
      <c r="A481" s="107"/>
      <c r="B481" s="107"/>
      <c r="C481" s="107"/>
      <c r="D481" s="107"/>
      <c r="E481" s="107"/>
      <c r="F481" s="107"/>
      <c r="G481" s="107"/>
      <c r="H481" s="107"/>
      <c r="I481" s="107"/>
      <c r="J481" s="107"/>
      <c r="K481" s="107"/>
      <c r="L481" s="107"/>
      <c r="M481" s="107"/>
      <c r="N481" s="107"/>
      <c r="O481" s="59"/>
      <c r="P481" s="107"/>
      <c r="Q481" s="107"/>
      <c r="R481" s="107"/>
    </row>
    <row r="482" spans="1:18" ht="15.75" customHeight="1" x14ac:dyDescent="0.25">
      <c r="A482" s="107"/>
      <c r="B482" s="107"/>
      <c r="C482" s="107"/>
      <c r="D482" s="107"/>
      <c r="E482" s="107"/>
      <c r="F482" s="107"/>
      <c r="G482" s="107"/>
      <c r="H482" s="107"/>
      <c r="I482" s="107"/>
      <c r="J482" s="107"/>
      <c r="K482" s="107"/>
      <c r="L482" s="107"/>
      <c r="M482" s="107"/>
      <c r="N482" s="107"/>
      <c r="O482" s="59"/>
      <c r="P482" s="107"/>
      <c r="Q482" s="107"/>
      <c r="R482" s="107"/>
    </row>
    <row r="483" spans="1:18" ht="15.75" customHeight="1" x14ac:dyDescent="0.25">
      <c r="A483" s="107"/>
      <c r="B483" s="107"/>
      <c r="C483" s="107"/>
      <c r="D483" s="107"/>
      <c r="E483" s="107"/>
      <c r="F483" s="107"/>
      <c r="G483" s="107"/>
      <c r="H483" s="107"/>
      <c r="I483" s="107"/>
      <c r="J483" s="107"/>
      <c r="K483" s="107"/>
      <c r="L483" s="107"/>
      <c r="M483" s="107"/>
      <c r="N483" s="107"/>
      <c r="O483" s="59"/>
      <c r="P483" s="107"/>
      <c r="Q483" s="107"/>
      <c r="R483" s="107"/>
    </row>
    <row r="484" spans="1:18" ht="15.75" customHeight="1" x14ac:dyDescent="0.25">
      <c r="A484" s="107"/>
      <c r="B484" s="107"/>
      <c r="C484" s="107"/>
      <c r="D484" s="107"/>
      <c r="E484" s="107"/>
      <c r="F484" s="107"/>
      <c r="G484" s="107"/>
      <c r="H484" s="107"/>
      <c r="I484" s="107"/>
      <c r="J484" s="107"/>
      <c r="K484" s="107"/>
      <c r="L484" s="107"/>
      <c r="M484" s="107"/>
      <c r="N484" s="107"/>
      <c r="O484" s="59"/>
      <c r="P484" s="107"/>
      <c r="Q484" s="107"/>
      <c r="R484" s="107"/>
    </row>
    <row r="485" spans="1:18" ht="15.75" customHeight="1" x14ac:dyDescent="0.25">
      <c r="A485" s="107"/>
      <c r="B485" s="107"/>
      <c r="C485" s="107"/>
      <c r="D485" s="107"/>
      <c r="E485" s="107"/>
      <c r="F485" s="107"/>
      <c r="G485" s="107"/>
      <c r="H485" s="107"/>
      <c r="I485" s="107"/>
      <c r="J485" s="107"/>
      <c r="K485" s="107"/>
      <c r="L485" s="107"/>
      <c r="M485" s="107"/>
      <c r="N485" s="107"/>
      <c r="O485" s="59"/>
      <c r="P485" s="107"/>
      <c r="Q485" s="107"/>
      <c r="R485" s="107"/>
    </row>
    <row r="486" spans="1:18" ht="15.75" customHeight="1" x14ac:dyDescent="0.25">
      <c r="A486" s="107"/>
      <c r="B486" s="107"/>
      <c r="C486" s="107"/>
      <c r="D486" s="107"/>
      <c r="E486" s="107"/>
      <c r="F486" s="107"/>
      <c r="G486" s="107"/>
      <c r="H486" s="107"/>
      <c r="I486" s="107"/>
      <c r="J486" s="107"/>
      <c r="K486" s="107"/>
      <c r="L486" s="107"/>
      <c r="M486" s="107"/>
      <c r="N486" s="107"/>
      <c r="O486" s="59"/>
      <c r="P486" s="107"/>
      <c r="Q486" s="107"/>
      <c r="R486" s="107"/>
    </row>
    <row r="487" spans="1:18" ht="15.75" customHeight="1" x14ac:dyDescent="0.25">
      <c r="A487" s="107"/>
      <c r="B487" s="107"/>
      <c r="C487" s="107"/>
      <c r="D487" s="107"/>
      <c r="E487" s="107"/>
      <c r="F487" s="107"/>
      <c r="G487" s="107"/>
      <c r="H487" s="107"/>
      <c r="I487" s="107"/>
      <c r="J487" s="107"/>
      <c r="K487" s="107"/>
      <c r="L487" s="107"/>
      <c r="M487" s="107"/>
      <c r="N487" s="107"/>
      <c r="O487" s="59"/>
      <c r="P487" s="107"/>
      <c r="Q487" s="107"/>
      <c r="R487" s="107"/>
    </row>
    <row r="488" spans="1:18" ht="15.75" customHeight="1" x14ac:dyDescent="0.25">
      <c r="A488" s="107"/>
      <c r="B488" s="107"/>
      <c r="C488" s="107"/>
      <c r="D488" s="107"/>
      <c r="E488" s="107"/>
      <c r="F488" s="107"/>
      <c r="G488" s="107"/>
      <c r="H488" s="107"/>
      <c r="I488" s="107"/>
      <c r="J488" s="107"/>
      <c r="K488" s="107"/>
      <c r="L488" s="107"/>
      <c r="M488" s="107"/>
      <c r="N488" s="107"/>
      <c r="O488" s="59"/>
      <c r="P488" s="107"/>
      <c r="Q488" s="107"/>
      <c r="R488" s="107"/>
    </row>
    <row r="489" spans="1:18" ht="15.75" customHeight="1" x14ac:dyDescent="0.25">
      <c r="A489" s="107"/>
      <c r="B489" s="107"/>
      <c r="C489" s="107"/>
      <c r="D489" s="107"/>
      <c r="E489" s="107"/>
      <c r="F489" s="107"/>
      <c r="G489" s="107"/>
      <c r="H489" s="107"/>
      <c r="I489" s="107"/>
      <c r="J489" s="107"/>
      <c r="K489" s="107"/>
      <c r="L489" s="107"/>
      <c r="M489" s="107"/>
      <c r="N489" s="107"/>
      <c r="O489" s="59"/>
      <c r="P489" s="107"/>
      <c r="Q489" s="107"/>
      <c r="R489" s="107"/>
    </row>
    <row r="490" spans="1:18" ht="15.75" customHeight="1" x14ac:dyDescent="0.25">
      <c r="A490" s="107"/>
      <c r="B490" s="107"/>
      <c r="C490" s="107"/>
      <c r="D490" s="107"/>
      <c r="E490" s="107"/>
      <c r="F490" s="107"/>
      <c r="G490" s="107"/>
      <c r="H490" s="107"/>
      <c r="I490" s="107"/>
      <c r="J490" s="107"/>
      <c r="K490" s="107"/>
      <c r="L490" s="107"/>
      <c r="M490" s="107"/>
      <c r="N490" s="107"/>
      <c r="O490" s="59"/>
      <c r="P490" s="107"/>
      <c r="Q490" s="107"/>
      <c r="R490" s="107"/>
    </row>
    <row r="491" spans="1:18" ht="15.75" customHeight="1" x14ac:dyDescent="0.25">
      <c r="A491" s="107"/>
      <c r="B491" s="107"/>
      <c r="C491" s="107"/>
      <c r="D491" s="107"/>
      <c r="E491" s="107"/>
      <c r="F491" s="107"/>
      <c r="G491" s="107"/>
      <c r="H491" s="107"/>
      <c r="I491" s="107"/>
      <c r="J491" s="107"/>
      <c r="K491" s="107"/>
      <c r="L491" s="107"/>
      <c r="M491" s="107"/>
      <c r="N491" s="107"/>
      <c r="O491" s="59"/>
      <c r="P491" s="107"/>
      <c r="Q491" s="107"/>
      <c r="R491" s="107"/>
    </row>
    <row r="492" spans="1:18" ht="15.75" customHeight="1" x14ac:dyDescent="0.25">
      <c r="A492" s="107"/>
      <c r="B492" s="107"/>
      <c r="C492" s="107"/>
      <c r="D492" s="107"/>
      <c r="E492" s="107"/>
      <c r="F492" s="107"/>
      <c r="G492" s="107"/>
      <c r="H492" s="107"/>
      <c r="I492" s="107"/>
      <c r="J492" s="107"/>
      <c r="K492" s="107"/>
      <c r="L492" s="107"/>
      <c r="M492" s="107"/>
      <c r="N492" s="107"/>
      <c r="O492" s="59"/>
      <c r="P492" s="107"/>
      <c r="Q492" s="107"/>
      <c r="R492" s="107"/>
    </row>
    <row r="493" spans="1:18" ht="15.75" customHeight="1" x14ac:dyDescent="0.25">
      <c r="A493" s="107"/>
      <c r="B493" s="107"/>
      <c r="C493" s="107"/>
      <c r="D493" s="107"/>
      <c r="E493" s="107"/>
      <c r="F493" s="107"/>
      <c r="G493" s="107"/>
      <c r="H493" s="107"/>
      <c r="I493" s="107"/>
      <c r="J493" s="107"/>
      <c r="K493" s="107"/>
      <c r="L493" s="107"/>
      <c r="M493" s="107"/>
      <c r="N493" s="107"/>
      <c r="O493" s="59"/>
      <c r="P493" s="107"/>
      <c r="Q493" s="107"/>
      <c r="R493" s="107"/>
    </row>
    <row r="494" spans="1:18" ht="15.75" customHeight="1" x14ac:dyDescent="0.25">
      <c r="A494" s="107"/>
      <c r="B494" s="107"/>
      <c r="C494" s="107"/>
      <c r="D494" s="107"/>
      <c r="E494" s="107"/>
      <c r="F494" s="107"/>
      <c r="G494" s="107"/>
      <c r="H494" s="107"/>
      <c r="I494" s="107"/>
      <c r="J494" s="107"/>
      <c r="K494" s="107"/>
      <c r="L494" s="107"/>
      <c r="M494" s="107"/>
      <c r="N494" s="107"/>
      <c r="O494" s="59"/>
      <c r="P494" s="107"/>
      <c r="Q494" s="107"/>
      <c r="R494" s="107"/>
    </row>
    <row r="495" spans="1:18" ht="15.75" customHeight="1" x14ac:dyDescent="0.25">
      <c r="A495" s="107"/>
      <c r="B495" s="107"/>
      <c r="C495" s="107"/>
      <c r="D495" s="107"/>
      <c r="E495" s="107"/>
      <c r="F495" s="107"/>
      <c r="G495" s="107"/>
      <c r="H495" s="107"/>
      <c r="I495" s="107"/>
      <c r="J495" s="107"/>
      <c r="K495" s="107"/>
      <c r="L495" s="107"/>
      <c r="M495" s="107"/>
      <c r="N495" s="107"/>
      <c r="O495" s="59"/>
      <c r="P495" s="107"/>
      <c r="Q495" s="107"/>
      <c r="R495" s="107"/>
    </row>
    <row r="496" spans="1:18" ht="15.75" customHeight="1" x14ac:dyDescent="0.25">
      <c r="A496" s="107"/>
      <c r="B496" s="107"/>
      <c r="C496" s="107"/>
      <c r="D496" s="107"/>
      <c r="E496" s="107"/>
      <c r="F496" s="107"/>
      <c r="G496" s="107"/>
      <c r="H496" s="107"/>
      <c r="I496" s="107"/>
      <c r="J496" s="107"/>
      <c r="K496" s="107"/>
      <c r="L496" s="107"/>
      <c r="M496" s="107"/>
      <c r="N496" s="107"/>
      <c r="O496" s="59"/>
      <c r="P496" s="107"/>
      <c r="Q496" s="107"/>
      <c r="R496" s="107"/>
    </row>
    <row r="497" spans="1:18" ht="15.75" customHeight="1" x14ac:dyDescent="0.25">
      <c r="A497" s="107"/>
      <c r="B497" s="107"/>
      <c r="C497" s="107"/>
      <c r="D497" s="107"/>
      <c r="E497" s="107"/>
      <c r="F497" s="107"/>
      <c r="G497" s="107"/>
      <c r="H497" s="107"/>
      <c r="I497" s="107"/>
      <c r="J497" s="107"/>
      <c r="K497" s="107"/>
      <c r="L497" s="107"/>
      <c r="M497" s="107"/>
      <c r="N497" s="107"/>
      <c r="O497" s="59"/>
      <c r="P497" s="107"/>
      <c r="Q497" s="107"/>
      <c r="R497" s="107"/>
    </row>
    <row r="498" spans="1:18" ht="15.75" customHeight="1" x14ac:dyDescent="0.25">
      <c r="A498" s="107"/>
      <c r="B498" s="107"/>
      <c r="C498" s="107"/>
      <c r="D498" s="107"/>
      <c r="E498" s="107"/>
      <c r="F498" s="107"/>
      <c r="G498" s="107"/>
      <c r="H498" s="107"/>
      <c r="I498" s="107"/>
      <c r="J498" s="107"/>
      <c r="K498" s="107"/>
      <c r="L498" s="107"/>
      <c r="M498" s="107"/>
      <c r="N498" s="107"/>
      <c r="O498" s="59"/>
      <c r="P498" s="107"/>
      <c r="Q498" s="107"/>
      <c r="R498" s="107"/>
    </row>
    <row r="499" spans="1:18" ht="15.75" customHeight="1" x14ac:dyDescent="0.25">
      <c r="A499" s="107"/>
      <c r="B499" s="107"/>
      <c r="C499" s="107"/>
      <c r="D499" s="107"/>
      <c r="E499" s="107"/>
      <c r="F499" s="107"/>
      <c r="G499" s="107"/>
      <c r="H499" s="107"/>
      <c r="I499" s="107"/>
      <c r="J499" s="107"/>
      <c r="K499" s="107"/>
      <c r="L499" s="107"/>
      <c r="M499" s="107"/>
      <c r="N499" s="107"/>
      <c r="O499" s="59"/>
      <c r="P499" s="107"/>
      <c r="Q499" s="107"/>
      <c r="R499" s="107"/>
    </row>
    <row r="500" spans="1:18" ht="15.75" customHeight="1" x14ac:dyDescent="0.25">
      <c r="A500" s="107"/>
      <c r="B500" s="107"/>
      <c r="C500" s="107"/>
      <c r="D500" s="107"/>
      <c r="E500" s="107"/>
      <c r="F500" s="107"/>
      <c r="G500" s="107"/>
      <c r="H500" s="107"/>
      <c r="I500" s="107"/>
      <c r="J500" s="107"/>
      <c r="K500" s="107"/>
      <c r="L500" s="107"/>
      <c r="M500" s="107"/>
      <c r="N500" s="107"/>
      <c r="O500" s="59"/>
      <c r="P500" s="107"/>
      <c r="Q500" s="107"/>
      <c r="R500" s="107"/>
    </row>
    <row r="501" spans="1:18" ht="15.75" customHeight="1" x14ac:dyDescent="0.25">
      <c r="A501" s="107"/>
      <c r="B501" s="107"/>
      <c r="C501" s="107"/>
      <c r="D501" s="107"/>
      <c r="E501" s="107"/>
      <c r="F501" s="107"/>
      <c r="G501" s="107"/>
      <c r="H501" s="107"/>
      <c r="I501" s="107"/>
      <c r="J501" s="107"/>
      <c r="K501" s="107"/>
      <c r="L501" s="107"/>
      <c r="M501" s="107"/>
      <c r="N501" s="107"/>
      <c r="O501" s="59"/>
      <c r="P501" s="107"/>
      <c r="Q501" s="107"/>
      <c r="R501" s="107"/>
    </row>
    <row r="502" spans="1:18" ht="15.75" customHeight="1" x14ac:dyDescent="0.25">
      <c r="A502" s="107"/>
      <c r="B502" s="107"/>
      <c r="C502" s="107"/>
      <c r="D502" s="107"/>
      <c r="E502" s="107"/>
      <c r="F502" s="107"/>
      <c r="G502" s="107"/>
      <c r="H502" s="107"/>
      <c r="I502" s="107"/>
      <c r="J502" s="107"/>
      <c r="K502" s="107"/>
      <c r="L502" s="107"/>
      <c r="M502" s="107"/>
      <c r="N502" s="107"/>
      <c r="O502" s="59"/>
      <c r="P502" s="107"/>
      <c r="Q502" s="107"/>
      <c r="R502" s="107"/>
    </row>
    <row r="503" spans="1:18" ht="15.75" customHeight="1" x14ac:dyDescent="0.25">
      <c r="A503" s="107"/>
      <c r="B503" s="107"/>
      <c r="C503" s="107"/>
      <c r="D503" s="107"/>
      <c r="E503" s="107"/>
      <c r="F503" s="107"/>
      <c r="G503" s="107"/>
      <c r="H503" s="107"/>
      <c r="I503" s="107"/>
      <c r="J503" s="107"/>
      <c r="K503" s="107"/>
      <c r="L503" s="107"/>
      <c r="M503" s="107"/>
      <c r="N503" s="107"/>
      <c r="O503" s="59"/>
      <c r="P503" s="107"/>
      <c r="Q503" s="107"/>
      <c r="R503" s="107"/>
    </row>
    <row r="504" spans="1:18" ht="15.75" customHeight="1" x14ac:dyDescent="0.25">
      <c r="A504" s="107"/>
      <c r="B504" s="107"/>
      <c r="C504" s="107"/>
      <c r="D504" s="107"/>
      <c r="E504" s="107"/>
      <c r="F504" s="107"/>
      <c r="G504" s="107"/>
      <c r="H504" s="107"/>
      <c r="I504" s="107"/>
      <c r="J504" s="107"/>
      <c r="K504" s="107"/>
      <c r="L504" s="107"/>
      <c r="M504" s="107"/>
      <c r="N504" s="107"/>
      <c r="O504" s="59"/>
      <c r="P504" s="107"/>
      <c r="Q504" s="107"/>
      <c r="R504" s="107"/>
    </row>
    <row r="505" spans="1:18" ht="15.75" customHeight="1" x14ac:dyDescent="0.25">
      <c r="A505" s="107"/>
      <c r="B505" s="107"/>
      <c r="C505" s="107"/>
      <c r="D505" s="107"/>
      <c r="E505" s="107"/>
      <c r="F505" s="107"/>
      <c r="G505" s="107"/>
      <c r="H505" s="107"/>
      <c r="I505" s="107"/>
      <c r="J505" s="107"/>
      <c r="K505" s="107"/>
      <c r="L505" s="107"/>
      <c r="M505" s="107"/>
      <c r="N505" s="107"/>
      <c r="O505" s="59"/>
      <c r="P505" s="107"/>
      <c r="Q505" s="107"/>
      <c r="R505" s="107"/>
    </row>
    <row r="506" spans="1:18" ht="15.75" customHeight="1" x14ac:dyDescent="0.25">
      <c r="A506" s="107"/>
      <c r="B506" s="107"/>
      <c r="C506" s="107"/>
      <c r="D506" s="107"/>
      <c r="E506" s="107"/>
      <c r="F506" s="107"/>
      <c r="G506" s="107"/>
      <c r="H506" s="107"/>
      <c r="I506" s="107"/>
      <c r="J506" s="107"/>
      <c r="K506" s="107"/>
      <c r="L506" s="107"/>
      <c r="M506" s="107"/>
      <c r="N506" s="107"/>
      <c r="O506" s="59"/>
      <c r="P506" s="107"/>
      <c r="Q506" s="107"/>
      <c r="R506" s="107"/>
    </row>
    <row r="507" spans="1:18" ht="15.75" customHeight="1" x14ac:dyDescent="0.25">
      <c r="A507" s="107"/>
      <c r="B507" s="107"/>
      <c r="C507" s="107"/>
      <c r="D507" s="107"/>
      <c r="E507" s="107"/>
      <c r="F507" s="107"/>
      <c r="G507" s="107"/>
      <c r="H507" s="107"/>
      <c r="I507" s="107"/>
      <c r="J507" s="107"/>
      <c r="K507" s="107"/>
      <c r="L507" s="107"/>
      <c r="M507" s="107"/>
      <c r="N507" s="107"/>
      <c r="O507" s="59"/>
      <c r="P507" s="107"/>
      <c r="Q507" s="107"/>
      <c r="R507" s="107"/>
    </row>
    <row r="508" spans="1:18" ht="15.75" customHeight="1" x14ac:dyDescent="0.25">
      <c r="A508" s="107"/>
      <c r="B508" s="107"/>
      <c r="C508" s="107"/>
      <c r="D508" s="107"/>
      <c r="E508" s="107"/>
      <c r="F508" s="107"/>
      <c r="G508" s="107"/>
      <c r="H508" s="107"/>
      <c r="I508" s="107"/>
      <c r="J508" s="107"/>
      <c r="K508" s="107"/>
      <c r="L508" s="107"/>
      <c r="M508" s="107"/>
      <c r="N508" s="107"/>
      <c r="O508" s="59"/>
      <c r="P508" s="107"/>
      <c r="Q508" s="107"/>
      <c r="R508" s="107"/>
    </row>
    <row r="509" spans="1:18" ht="15.75" customHeight="1" x14ac:dyDescent="0.25">
      <c r="A509" s="107"/>
      <c r="B509" s="107"/>
      <c r="C509" s="107"/>
      <c r="D509" s="107"/>
      <c r="E509" s="107"/>
      <c r="F509" s="107"/>
      <c r="G509" s="107"/>
      <c r="H509" s="107"/>
      <c r="I509" s="107"/>
      <c r="J509" s="107"/>
      <c r="K509" s="107"/>
      <c r="L509" s="107"/>
      <c r="M509" s="107"/>
      <c r="N509" s="107"/>
      <c r="O509" s="59"/>
      <c r="P509" s="107"/>
      <c r="Q509" s="107"/>
      <c r="R509" s="107"/>
    </row>
    <row r="510" spans="1:18" ht="15.75" customHeight="1" x14ac:dyDescent="0.25">
      <c r="A510" s="107"/>
      <c r="B510" s="107"/>
      <c r="C510" s="107"/>
      <c r="D510" s="107"/>
      <c r="E510" s="107"/>
      <c r="F510" s="107"/>
      <c r="G510" s="107"/>
      <c r="H510" s="107"/>
      <c r="I510" s="107"/>
      <c r="J510" s="107"/>
      <c r="K510" s="107"/>
      <c r="L510" s="107"/>
      <c r="M510" s="107"/>
      <c r="N510" s="107"/>
      <c r="O510" s="59"/>
      <c r="P510" s="107"/>
      <c r="Q510" s="107"/>
      <c r="R510" s="107"/>
    </row>
    <row r="511" spans="1:18" ht="15.75" customHeight="1" x14ac:dyDescent="0.25">
      <c r="A511" s="107"/>
      <c r="B511" s="107"/>
      <c r="C511" s="107"/>
      <c r="D511" s="107"/>
      <c r="E511" s="107"/>
      <c r="F511" s="107"/>
      <c r="G511" s="107"/>
      <c r="H511" s="107"/>
      <c r="I511" s="107"/>
      <c r="J511" s="107"/>
      <c r="K511" s="107"/>
      <c r="L511" s="107"/>
      <c r="M511" s="107"/>
      <c r="N511" s="107"/>
      <c r="O511" s="59"/>
      <c r="P511" s="107"/>
      <c r="Q511" s="107"/>
      <c r="R511" s="107"/>
    </row>
    <row r="512" spans="1:18" ht="15.75" customHeight="1" x14ac:dyDescent="0.25">
      <c r="A512" s="107"/>
      <c r="B512" s="107"/>
      <c r="C512" s="107"/>
      <c r="D512" s="107"/>
      <c r="E512" s="107"/>
      <c r="F512" s="107"/>
      <c r="G512" s="107"/>
      <c r="H512" s="107"/>
      <c r="I512" s="107"/>
      <c r="J512" s="107"/>
      <c r="K512" s="107"/>
      <c r="L512" s="107"/>
      <c r="M512" s="107"/>
      <c r="N512" s="107"/>
      <c r="O512" s="59"/>
      <c r="P512" s="107"/>
      <c r="Q512" s="107"/>
      <c r="R512" s="107"/>
    </row>
    <row r="513" spans="1:18" ht="15.75" customHeight="1" x14ac:dyDescent="0.25">
      <c r="A513" s="107"/>
      <c r="B513" s="107"/>
      <c r="C513" s="107"/>
      <c r="D513" s="107"/>
      <c r="E513" s="107"/>
      <c r="F513" s="107"/>
      <c r="G513" s="107"/>
      <c r="H513" s="107"/>
      <c r="I513" s="107"/>
      <c r="J513" s="107"/>
      <c r="K513" s="107"/>
      <c r="L513" s="107"/>
      <c r="M513" s="107"/>
      <c r="N513" s="107"/>
      <c r="O513" s="59"/>
      <c r="P513" s="107"/>
      <c r="Q513" s="107"/>
      <c r="R513" s="107"/>
    </row>
    <row r="514" spans="1:18" ht="15.75" customHeight="1" x14ac:dyDescent="0.25">
      <c r="A514" s="107"/>
      <c r="B514" s="107"/>
      <c r="C514" s="107"/>
      <c r="D514" s="107"/>
      <c r="E514" s="107"/>
      <c r="F514" s="107"/>
      <c r="G514" s="107"/>
      <c r="H514" s="107"/>
      <c r="I514" s="107"/>
      <c r="J514" s="107"/>
      <c r="K514" s="107"/>
      <c r="L514" s="107"/>
      <c r="M514" s="107"/>
      <c r="N514" s="107"/>
      <c r="O514" s="59"/>
      <c r="P514" s="107"/>
      <c r="Q514" s="107"/>
      <c r="R514" s="107"/>
    </row>
    <row r="515" spans="1:18" ht="15.75" customHeight="1" x14ac:dyDescent="0.25">
      <c r="A515" s="107"/>
      <c r="B515" s="107"/>
      <c r="C515" s="107"/>
      <c r="D515" s="107"/>
      <c r="E515" s="107"/>
      <c r="F515" s="107"/>
      <c r="G515" s="107"/>
      <c r="H515" s="107"/>
      <c r="I515" s="107"/>
      <c r="J515" s="107"/>
      <c r="K515" s="107"/>
      <c r="L515" s="107"/>
      <c r="M515" s="107"/>
      <c r="N515" s="107"/>
      <c r="O515" s="59"/>
      <c r="P515" s="107"/>
      <c r="Q515" s="107"/>
      <c r="R515" s="107"/>
    </row>
    <row r="516" spans="1:18" ht="15.75" customHeight="1" x14ac:dyDescent="0.25">
      <c r="A516" s="107"/>
      <c r="B516" s="107"/>
      <c r="C516" s="107"/>
      <c r="D516" s="107"/>
      <c r="E516" s="107"/>
      <c r="F516" s="107"/>
      <c r="G516" s="107"/>
      <c r="H516" s="107"/>
      <c r="I516" s="107"/>
      <c r="J516" s="107"/>
      <c r="K516" s="107"/>
      <c r="L516" s="107"/>
      <c r="M516" s="107"/>
      <c r="N516" s="107"/>
      <c r="O516" s="59"/>
      <c r="P516" s="107"/>
      <c r="Q516" s="107"/>
      <c r="R516" s="107"/>
    </row>
    <row r="517" spans="1:18" ht="15.75" customHeight="1" x14ac:dyDescent="0.25">
      <c r="A517" s="107"/>
      <c r="B517" s="107"/>
      <c r="C517" s="107"/>
      <c r="D517" s="107"/>
      <c r="E517" s="107"/>
      <c r="F517" s="107"/>
      <c r="G517" s="107"/>
      <c r="H517" s="107"/>
      <c r="I517" s="107"/>
      <c r="J517" s="107"/>
      <c r="K517" s="107"/>
      <c r="L517" s="107"/>
      <c r="M517" s="107"/>
      <c r="N517" s="107"/>
      <c r="O517" s="59"/>
      <c r="P517" s="107"/>
      <c r="Q517" s="107"/>
      <c r="R517" s="107"/>
    </row>
    <row r="518" spans="1:18" ht="15.75" customHeight="1" x14ac:dyDescent="0.25">
      <c r="A518" s="107"/>
      <c r="B518" s="107"/>
      <c r="C518" s="107"/>
      <c r="D518" s="107"/>
      <c r="E518" s="107"/>
      <c r="F518" s="107"/>
      <c r="G518" s="107"/>
      <c r="H518" s="107"/>
      <c r="I518" s="107"/>
      <c r="J518" s="107"/>
      <c r="K518" s="107"/>
      <c r="L518" s="107"/>
      <c r="M518" s="107"/>
      <c r="N518" s="107"/>
      <c r="O518" s="59"/>
      <c r="P518" s="107"/>
      <c r="Q518" s="107"/>
      <c r="R518" s="107"/>
    </row>
    <row r="519" spans="1:18" ht="15.75" customHeight="1" x14ac:dyDescent="0.25">
      <c r="A519" s="107"/>
      <c r="B519" s="107"/>
      <c r="C519" s="107"/>
      <c r="D519" s="107"/>
      <c r="E519" s="107"/>
      <c r="F519" s="107"/>
      <c r="G519" s="107"/>
      <c r="H519" s="107"/>
      <c r="I519" s="107"/>
      <c r="J519" s="107"/>
      <c r="K519" s="107"/>
      <c r="L519" s="107"/>
      <c r="M519" s="107"/>
      <c r="N519" s="107"/>
      <c r="O519" s="59"/>
      <c r="P519" s="107"/>
      <c r="Q519" s="107"/>
      <c r="R519" s="107"/>
    </row>
    <row r="520" spans="1:18" ht="15.75" customHeight="1" x14ac:dyDescent="0.25">
      <c r="A520" s="107"/>
      <c r="B520" s="107"/>
      <c r="C520" s="107"/>
      <c r="D520" s="107"/>
      <c r="E520" s="107"/>
      <c r="F520" s="107"/>
      <c r="G520" s="107"/>
      <c r="H520" s="107"/>
      <c r="I520" s="107"/>
      <c r="J520" s="107"/>
      <c r="K520" s="107"/>
      <c r="L520" s="107"/>
      <c r="M520" s="107"/>
      <c r="N520" s="107"/>
      <c r="O520" s="59"/>
      <c r="P520" s="107"/>
      <c r="Q520" s="107"/>
      <c r="R520" s="107"/>
    </row>
    <row r="521" spans="1:18" ht="15.75" customHeight="1" x14ac:dyDescent="0.25">
      <c r="A521" s="107"/>
      <c r="B521" s="107"/>
      <c r="C521" s="107"/>
      <c r="D521" s="107"/>
      <c r="E521" s="107"/>
      <c r="F521" s="107"/>
      <c r="G521" s="107"/>
      <c r="H521" s="107"/>
      <c r="I521" s="107"/>
      <c r="J521" s="107"/>
      <c r="K521" s="107"/>
      <c r="L521" s="107"/>
      <c r="M521" s="107"/>
      <c r="N521" s="107"/>
      <c r="O521" s="59"/>
      <c r="P521" s="107"/>
      <c r="Q521" s="107"/>
      <c r="R521" s="107"/>
    </row>
    <row r="522" spans="1:18" ht="15.75" customHeight="1" x14ac:dyDescent="0.25">
      <c r="A522" s="107"/>
      <c r="B522" s="107"/>
      <c r="C522" s="107"/>
      <c r="D522" s="107"/>
      <c r="E522" s="107"/>
      <c r="F522" s="107"/>
      <c r="G522" s="107"/>
      <c r="H522" s="107"/>
      <c r="I522" s="107"/>
      <c r="J522" s="107"/>
      <c r="K522" s="107"/>
      <c r="L522" s="107"/>
      <c r="M522" s="107"/>
      <c r="N522" s="107"/>
      <c r="O522" s="59"/>
      <c r="P522" s="107"/>
      <c r="Q522" s="107"/>
      <c r="R522" s="107"/>
    </row>
    <row r="523" spans="1:18" ht="15.75" customHeight="1" x14ac:dyDescent="0.25">
      <c r="A523" s="107"/>
      <c r="B523" s="107"/>
      <c r="C523" s="107"/>
      <c r="D523" s="107"/>
      <c r="E523" s="107"/>
      <c r="F523" s="107"/>
      <c r="G523" s="107"/>
      <c r="H523" s="107"/>
      <c r="I523" s="107"/>
      <c r="J523" s="107"/>
      <c r="K523" s="107"/>
      <c r="L523" s="107"/>
      <c r="M523" s="107"/>
      <c r="N523" s="107"/>
      <c r="O523" s="59"/>
      <c r="P523" s="107"/>
      <c r="Q523" s="107"/>
      <c r="R523" s="107"/>
    </row>
    <row r="524" spans="1:18" ht="15.75" customHeight="1" x14ac:dyDescent="0.25">
      <c r="A524" s="107"/>
      <c r="B524" s="107"/>
      <c r="C524" s="107"/>
      <c r="D524" s="107"/>
      <c r="E524" s="107"/>
      <c r="F524" s="107"/>
      <c r="G524" s="107"/>
      <c r="H524" s="107"/>
      <c r="I524" s="107"/>
      <c r="J524" s="107"/>
      <c r="K524" s="107"/>
      <c r="L524" s="107"/>
      <c r="M524" s="107"/>
      <c r="N524" s="107"/>
      <c r="O524" s="59"/>
      <c r="P524" s="107"/>
      <c r="Q524" s="107"/>
      <c r="R524" s="107"/>
    </row>
    <row r="525" spans="1:18" ht="15.75" customHeight="1" x14ac:dyDescent="0.25">
      <c r="A525" s="107"/>
      <c r="B525" s="107"/>
      <c r="C525" s="107"/>
      <c r="D525" s="107"/>
      <c r="E525" s="107"/>
      <c r="F525" s="107"/>
      <c r="G525" s="107"/>
      <c r="H525" s="107"/>
      <c r="I525" s="107"/>
      <c r="J525" s="107"/>
      <c r="K525" s="107"/>
      <c r="L525" s="107"/>
      <c r="M525" s="107"/>
      <c r="N525" s="107"/>
      <c r="O525" s="59"/>
      <c r="P525" s="107"/>
      <c r="Q525" s="107"/>
      <c r="R525" s="107"/>
    </row>
    <row r="526" spans="1:18" ht="15.75" customHeight="1" x14ac:dyDescent="0.25">
      <c r="A526" s="107"/>
      <c r="B526" s="107"/>
      <c r="C526" s="107"/>
      <c r="D526" s="107"/>
      <c r="E526" s="107"/>
      <c r="F526" s="107"/>
      <c r="G526" s="107"/>
      <c r="H526" s="107"/>
      <c r="I526" s="107"/>
      <c r="J526" s="107"/>
      <c r="K526" s="107"/>
      <c r="L526" s="107"/>
      <c r="M526" s="107"/>
      <c r="N526" s="107"/>
      <c r="O526" s="59"/>
      <c r="P526" s="107"/>
      <c r="Q526" s="107"/>
      <c r="R526" s="107"/>
    </row>
    <row r="527" spans="1:18" ht="15.75" customHeight="1" x14ac:dyDescent="0.25">
      <c r="A527" s="107"/>
      <c r="B527" s="107"/>
      <c r="C527" s="107"/>
      <c r="D527" s="107"/>
      <c r="E527" s="107"/>
      <c r="F527" s="107"/>
      <c r="G527" s="107"/>
      <c r="H527" s="107"/>
      <c r="I527" s="107"/>
      <c r="J527" s="107"/>
      <c r="K527" s="107"/>
      <c r="L527" s="107"/>
      <c r="M527" s="107"/>
      <c r="N527" s="107"/>
      <c r="O527" s="59"/>
      <c r="P527" s="107"/>
      <c r="Q527" s="107"/>
      <c r="R527" s="107"/>
    </row>
    <row r="528" spans="1:18" ht="15.75" customHeight="1" x14ac:dyDescent="0.25">
      <c r="A528" s="107"/>
      <c r="B528" s="107"/>
      <c r="C528" s="107"/>
      <c r="D528" s="107"/>
      <c r="E528" s="107"/>
      <c r="F528" s="107"/>
      <c r="G528" s="107"/>
      <c r="H528" s="107"/>
      <c r="I528" s="107"/>
      <c r="J528" s="107"/>
      <c r="K528" s="107"/>
      <c r="L528" s="107"/>
      <c r="M528" s="107"/>
      <c r="N528" s="107"/>
      <c r="O528" s="59"/>
      <c r="P528" s="107"/>
      <c r="Q528" s="107"/>
      <c r="R528" s="107"/>
    </row>
    <row r="529" spans="1:18" ht="15.75" customHeight="1" x14ac:dyDescent="0.25">
      <c r="A529" s="107"/>
      <c r="B529" s="107"/>
      <c r="C529" s="107"/>
      <c r="D529" s="107"/>
      <c r="E529" s="107"/>
      <c r="F529" s="107"/>
      <c r="G529" s="107"/>
      <c r="H529" s="107"/>
      <c r="I529" s="107"/>
      <c r="J529" s="107"/>
      <c r="K529" s="107"/>
      <c r="L529" s="107"/>
      <c r="M529" s="107"/>
      <c r="N529" s="107"/>
      <c r="O529" s="59"/>
      <c r="P529" s="107"/>
      <c r="Q529" s="107"/>
      <c r="R529" s="107"/>
    </row>
    <row r="530" spans="1:18" ht="15.75" customHeight="1" x14ac:dyDescent="0.25">
      <c r="A530" s="107"/>
      <c r="B530" s="107"/>
      <c r="C530" s="107"/>
      <c r="D530" s="107"/>
      <c r="E530" s="107"/>
      <c r="F530" s="107"/>
      <c r="G530" s="107"/>
      <c r="H530" s="107"/>
      <c r="I530" s="107"/>
      <c r="J530" s="107"/>
      <c r="K530" s="107"/>
      <c r="L530" s="107"/>
      <c r="M530" s="107"/>
      <c r="N530" s="107"/>
      <c r="O530" s="59"/>
      <c r="P530" s="107"/>
      <c r="Q530" s="107"/>
      <c r="R530" s="107"/>
    </row>
    <row r="531" spans="1:18" ht="15.75" customHeight="1" x14ac:dyDescent="0.25">
      <c r="A531" s="107"/>
      <c r="B531" s="107"/>
      <c r="C531" s="107"/>
      <c r="D531" s="107"/>
      <c r="E531" s="107"/>
      <c r="F531" s="107"/>
      <c r="G531" s="107"/>
      <c r="H531" s="107"/>
      <c r="I531" s="107"/>
      <c r="J531" s="107"/>
      <c r="K531" s="107"/>
      <c r="L531" s="107"/>
      <c r="M531" s="107"/>
      <c r="N531" s="107"/>
      <c r="O531" s="59"/>
      <c r="P531" s="107"/>
      <c r="Q531" s="107"/>
      <c r="R531" s="107"/>
    </row>
    <row r="532" spans="1:18" ht="15.75" customHeight="1" x14ac:dyDescent="0.25">
      <c r="A532" s="107"/>
      <c r="B532" s="107"/>
      <c r="C532" s="107"/>
      <c r="D532" s="107"/>
      <c r="E532" s="107"/>
      <c r="F532" s="107"/>
      <c r="G532" s="107"/>
      <c r="H532" s="107"/>
      <c r="I532" s="107"/>
      <c r="J532" s="107"/>
      <c r="K532" s="107"/>
      <c r="L532" s="107"/>
      <c r="M532" s="107"/>
      <c r="N532" s="107"/>
      <c r="O532" s="59"/>
      <c r="P532" s="107"/>
      <c r="Q532" s="107"/>
      <c r="R532" s="107"/>
    </row>
    <row r="533" spans="1:18" ht="15.75" customHeight="1" x14ac:dyDescent="0.25">
      <c r="A533" s="107"/>
      <c r="B533" s="107"/>
      <c r="C533" s="107"/>
      <c r="D533" s="107"/>
      <c r="E533" s="107"/>
      <c r="F533" s="107"/>
      <c r="G533" s="107"/>
      <c r="H533" s="107"/>
      <c r="I533" s="107"/>
      <c r="J533" s="107"/>
      <c r="K533" s="107"/>
      <c r="L533" s="107"/>
      <c r="M533" s="107"/>
      <c r="N533" s="107"/>
      <c r="O533" s="59"/>
      <c r="P533" s="107"/>
      <c r="Q533" s="107"/>
      <c r="R533" s="107"/>
    </row>
    <row r="534" spans="1:18" ht="15.75" customHeight="1" x14ac:dyDescent="0.25">
      <c r="A534" s="107"/>
      <c r="B534" s="107"/>
      <c r="C534" s="107"/>
      <c r="D534" s="107"/>
      <c r="E534" s="107"/>
      <c r="F534" s="107"/>
      <c r="G534" s="107"/>
      <c r="H534" s="107"/>
      <c r="I534" s="107"/>
      <c r="J534" s="107"/>
      <c r="K534" s="107"/>
      <c r="L534" s="107"/>
      <c r="M534" s="107"/>
      <c r="N534" s="107"/>
      <c r="O534" s="59"/>
      <c r="P534" s="107"/>
      <c r="Q534" s="107"/>
      <c r="R534" s="107"/>
    </row>
    <row r="535" spans="1:18" ht="15.75" customHeight="1" x14ac:dyDescent="0.25">
      <c r="A535" s="107"/>
      <c r="B535" s="107"/>
      <c r="C535" s="107"/>
      <c r="D535" s="107"/>
      <c r="E535" s="107"/>
      <c r="F535" s="107"/>
      <c r="G535" s="107"/>
      <c r="H535" s="107"/>
      <c r="I535" s="107"/>
      <c r="J535" s="107"/>
      <c r="K535" s="107"/>
      <c r="L535" s="107"/>
      <c r="M535" s="107"/>
      <c r="N535" s="107"/>
      <c r="O535" s="59"/>
      <c r="P535" s="107"/>
      <c r="Q535" s="107"/>
      <c r="R535" s="107"/>
    </row>
    <row r="536" spans="1:18" ht="15.75" customHeight="1" x14ac:dyDescent="0.25">
      <c r="A536" s="107"/>
      <c r="B536" s="107"/>
      <c r="C536" s="107"/>
      <c r="D536" s="107"/>
      <c r="E536" s="107"/>
      <c r="F536" s="107"/>
      <c r="G536" s="107"/>
      <c r="H536" s="107"/>
      <c r="I536" s="107"/>
      <c r="J536" s="107"/>
      <c r="K536" s="107"/>
      <c r="L536" s="107"/>
      <c r="M536" s="107"/>
      <c r="N536" s="107"/>
      <c r="O536" s="59"/>
      <c r="P536" s="107"/>
      <c r="Q536" s="107"/>
      <c r="R536" s="107"/>
    </row>
    <row r="537" spans="1:18" ht="15.75" customHeight="1" x14ac:dyDescent="0.25">
      <c r="A537" s="107"/>
      <c r="B537" s="107"/>
      <c r="C537" s="107"/>
      <c r="D537" s="107"/>
      <c r="E537" s="107"/>
      <c r="F537" s="107"/>
      <c r="G537" s="107"/>
      <c r="H537" s="107"/>
      <c r="I537" s="107"/>
      <c r="J537" s="107"/>
      <c r="K537" s="107"/>
      <c r="L537" s="107"/>
      <c r="M537" s="107"/>
      <c r="N537" s="107"/>
      <c r="O537" s="59"/>
      <c r="P537" s="107"/>
      <c r="Q537" s="107"/>
      <c r="R537" s="107"/>
    </row>
    <row r="538" spans="1:18" ht="15.75" customHeight="1" x14ac:dyDescent="0.25">
      <c r="A538" s="107"/>
      <c r="B538" s="107"/>
      <c r="C538" s="107"/>
      <c r="D538" s="107"/>
      <c r="E538" s="107"/>
      <c r="F538" s="107"/>
      <c r="G538" s="107"/>
      <c r="H538" s="107"/>
      <c r="I538" s="107"/>
      <c r="J538" s="107"/>
      <c r="K538" s="107"/>
      <c r="L538" s="107"/>
      <c r="M538" s="107"/>
      <c r="N538" s="107"/>
      <c r="O538" s="59"/>
      <c r="P538" s="107"/>
      <c r="Q538" s="107"/>
      <c r="R538" s="107"/>
    </row>
    <row r="539" spans="1:18" ht="15.75" customHeight="1" x14ac:dyDescent="0.25">
      <c r="A539" s="107"/>
      <c r="B539" s="107"/>
      <c r="C539" s="107"/>
      <c r="D539" s="107"/>
      <c r="E539" s="107"/>
      <c r="F539" s="107"/>
      <c r="G539" s="107"/>
      <c r="H539" s="107"/>
      <c r="I539" s="107"/>
      <c r="J539" s="107"/>
      <c r="K539" s="107"/>
      <c r="L539" s="107"/>
      <c r="M539" s="107"/>
      <c r="N539" s="107"/>
      <c r="O539" s="59"/>
      <c r="P539" s="107"/>
      <c r="Q539" s="107"/>
      <c r="R539" s="107"/>
    </row>
    <row r="540" spans="1:18" ht="15.75" customHeight="1" x14ac:dyDescent="0.25">
      <c r="A540" s="107"/>
      <c r="B540" s="107"/>
      <c r="C540" s="107"/>
      <c r="D540" s="107"/>
      <c r="E540" s="107"/>
      <c r="F540" s="107"/>
      <c r="G540" s="107"/>
      <c r="H540" s="107"/>
      <c r="I540" s="107"/>
      <c r="J540" s="107"/>
      <c r="K540" s="107"/>
      <c r="L540" s="107"/>
      <c r="M540" s="107"/>
      <c r="N540" s="107"/>
      <c r="O540" s="59"/>
      <c r="P540" s="107"/>
      <c r="Q540" s="107"/>
      <c r="R540" s="107"/>
    </row>
    <row r="541" spans="1:18" ht="15.75" customHeight="1" x14ac:dyDescent="0.25">
      <c r="A541" s="107"/>
      <c r="B541" s="107"/>
      <c r="C541" s="107"/>
      <c r="D541" s="107"/>
      <c r="E541" s="107"/>
      <c r="F541" s="107"/>
      <c r="G541" s="107"/>
      <c r="H541" s="107"/>
      <c r="I541" s="107"/>
      <c r="J541" s="107"/>
      <c r="K541" s="107"/>
      <c r="L541" s="107"/>
      <c r="M541" s="107"/>
      <c r="N541" s="107"/>
      <c r="O541" s="59"/>
      <c r="P541" s="107"/>
      <c r="Q541" s="107"/>
      <c r="R541" s="107"/>
    </row>
    <row r="542" spans="1:18" ht="15.75" customHeight="1" x14ac:dyDescent="0.25">
      <c r="A542" s="107"/>
      <c r="B542" s="107"/>
      <c r="C542" s="107"/>
      <c r="D542" s="107"/>
      <c r="E542" s="107"/>
      <c r="F542" s="107"/>
      <c r="G542" s="107"/>
      <c r="H542" s="107"/>
      <c r="I542" s="107"/>
      <c r="J542" s="107"/>
      <c r="K542" s="107"/>
      <c r="L542" s="107"/>
      <c r="M542" s="107"/>
      <c r="N542" s="107"/>
      <c r="O542" s="59"/>
      <c r="P542" s="107"/>
      <c r="Q542" s="107"/>
      <c r="R542" s="107"/>
    </row>
    <row r="543" spans="1:18" ht="15.75" customHeight="1" x14ac:dyDescent="0.25">
      <c r="A543" s="107"/>
      <c r="B543" s="107"/>
      <c r="C543" s="107"/>
      <c r="D543" s="107"/>
      <c r="E543" s="107"/>
      <c r="F543" s="107"/>
      <c r="G543" s="107"/>
      <c r="H543" s="107"/>
      <c r="I543" s="107"/>
      <c r="J543" s="107"/>
      <c r="K543" s="107"/>
      <c r="L543" s="107"/>
      <c r="M543" s="107"/>
      <c r="N543" s="107"/>
      <c r="O543" s="59"/>
      <c r="P543" s="107"/>
      <c r="Q543" s="107"/>
      <c r="R543" s="107"/>
    </row>
    <row r="544" spans="1:18" ht="15.75" customHeight="1" x14ac:dyDescent="0.25">
      <c r="A544" s="107"/>
      <c r="B544" s="107"/>
      <c r="C544" s="107"/>
      <c r="D544" s="107"/>
      <c r="E544" s="107"/>
      <c r="F544" s="107"/>
      <c r="G544" s="107"/>
      <c r="H544" s="107"/>
      <c r="I544" s="107"/>
      <c r="J544" s="107"/>
      <c r="K544" s="107"/>
      <c r="L544" s="107"/>
      <c r="M544" s="107"/>
      <c r="N544" s="107"/>
      <c r="O544" s="59"/>
      <c r="P544" s="107"/>
      <c r="Q544" s="107"/>
      <c r="R544" s="107"/>
    </row>
    <row r="545" spans="1:18" ht="15.75" customHeight="1" x14ac:dyDescent="0.25">
      <c r="A545" s="107"/>
      <c r="B545" s="107"/>
      <c r="C545" s="107"/>
      <c r="D545" s="107"/>
      <c r="E545" s="107"/>
      <c r="F545" s="107"/>
      <c r="G545" s="107"/>
      <c r="H545" s="107"/>
      <c r="I545" s="107"/>
      <c r="J545" s="107"/>
      <c r="K545" s="107"/>
      <c r="L545" s="107"/>
      <c r="M545" s="107"/>
      <c r="N545" s="107"/>
      <c r="O545" s="59"/>
      <c r="P545" s="107"/>
      <c r="Q545" s="107"/>
      <c r="R545" s="107"/>
    </row>
    <row r="546" spans="1:18" ht="15.75" customHeight="1" x14ac:dyDescent="0.25">
      <c r="A546" s="107"/>
      <c r="B546" s="107"/>
      <c r="C546" s="107"/>
      <c r="D546" s="107"/>
      <c r="E546" s="107"/>
      <c r="F546" s="107"/>
      <c r="G546" s="107"/>
      <c r="H546" s="107"/>
      <c r="I546" s="107"/>
      <c r="J546" s="107"/>
      <c r="K546" s="107"/>
      <c r="L546" s="107"/>
      <c r="M546" s="107"/>
      <c r="N546" s="107"/>
      <c r="O546" s="59"/>
      <c r="P546" s="107"/>
      <c r="Q546" s="107"/>
      <c r="R546" s="107"/>
    </row>
    <row r="547" spans="1:18" ht="15.75" customHeight="1" x14ac:dyDescent="0.25">
      <c r="A547" s="107"/>
      <c r="B547" s="107"/>
      <c r="C547" s="107"/>
      <c r="D547" s="107"/>
      <c r="E547" s="107"/>
      <c r="F547" s="107"/>
      <c r="G547" s="107"/>
      <c r="H547" s="107"/>
      <c r="I547" s="107"/>
      <c r="J547" s="107"/>
      <c r="K547" s="107"/>
      <c r="L547" s="107"/>
      <c r="M547" s="107"/>
      <c r="N547" s="107"/>
      <c r="O547" s="59"/>
      <c r="P547" s="107"/>
      <c r="Q547" s="107"/>
      <c r="R547" s="107"/>
    </row>
    <row r="548" spans="1:18" ht="15.75" customHeight="1" x14ac:dyDescent="0.25">
      <c r="A548" s="107"/>
      <c r="B548" s="107"/>
      <c r="C548" s="107"/>
      <c r="D548" s="107"/>
      <c r="E548" s="107"/>
      <c r="F548" s="107"/>
      <c r="G548" s="107"/>
      <c r="H548" s="107"/>
      <c r="I548" s="107"/>
      <c r="J548" s="107"/>
      <c r="K548" s="107"/>
      <c r="L548" s="107"/>
      <c r="M548" s="107"/>
      <c r="N548" s="107"/>
      <c r="O548" s="59"/>
      <c r="P548" s="107"/>
      <c r="Q548" s="107"/>
      <c r="R548" s="107"/>
    </row>
    <row r="549" spans="1:18" ht="15.75" customHeight="1" x14ac:dyDescent="0.25">
      <c r="A549" s="107"/>
      <c r="B549" s="107"/>
      <c r="C549" s="107"/>
      <c r="D549" s="107"/>
      <c r="E549" s="107"/>
      <c r="F549" s="107"/>
      <c r="G549" s="107"/>
      <c r="H549" s="107"/>
      <c r="I549" s="107"/>
      <c r="J549" s="107"/>
      <c r="K549" s="107"/>
      <c r="L549" s="107"/>
      <c r="M549" s="107"/>
      <c r="N549" s="107"/>
      <c r="O549" s="59"/>
      <c r="P549" s="107"/>
      <c r="Q549" s="107"/>
      <c r="R549" s="107"/>
    </row>
    <row r="550" spans="1:18" ht="15.75" customHeight="1" x14ac:dyDescent="0.25">
      <c r="A550" s="107"/>
      <c r="B550" s="107"/>
      <c r="C550" s="107"/>
      <c r="D550" s="107"/>
      <c r="E550" s="107"/>
      <c r="F550" s="107"/>
      <c r="G550" s="107"/>
      <c r="H550" s="107"/>
      <c r="I550" s="107"/>
      <c r="J550" s="107"/>
      <c r="K550" s="107"/>
      <c r="L550" s="107"/>
      <c r="M550" s="107"/>
      <c r="N550" s="107"/>
      <c r="O550" s="59"/>
      <c r="P550" s="107"/>
      <c r="Q550" s="107"/>
      <c r="R550" s="107"/>
    </row>
    <row r="551" spans="1:18" ht="15.75" customHeight="1" x14ac:dyDescent="0.25">
      <c r="A551" s="107"/>
      <c r="B551" s="107"/>
      <c r="C551" s="107"/>
      <c r="D551" s="107"/>
      <c r="E551" s="107"/>
      <c r="F551" s="107"/>
      <c r="G551" s="107"/>
      <c r="H551" s="107"/>
      <c r="I551" s="107"/>
      <c r="J551" s="107"/>
      <c r="K551" s="107"/>
      <c r="L551" s="107"/>
      <c r="M551" s="107"/>
      <c r="N551" s="107"/>
      <c r="O551" s="59"/>
      <c r="P551" s="107"/>
      <c r="Q551" s="107"/>
      <c r="R551" s="107"/>
    </row>
    <row r="552" spans="1:18" ht="15.75" customHeight="1" x14ac:dyDescent="0.25">
      <c r="A552" s="107"/>
      <c r="B552" s="107"/>
      <c r="C552" s="107"/>
      <c r="D552" s="107"/>
      <c r="E552" s="107"/>
      <c r="F552" s="107"/>
      <c r="G552" s="107"/>
      <c r="H552" s="107"/>
      <c r="I552" s="107"/>
      <c r="J552" s="107"/>
      <c r="K552" s="107"/>
      <c r="L552" s="107"/>
      <c r="M552" s="107"/>
      <c r="N552" s="107"/>
      <c r="O552" s="59"/>
      <c r="P552" s="107"/>
      <c r="Q552" s="107"/>
      <c r="R552" s="107"/>
    </row>
    <row r="553" spans="1:18" ht="15.75" customHeight="1" x14ac:dyDescent="0.25">
      <c r="A553" s="107"/>
      <c r="B553" s="107"/>
      <c r="C553" s="107"/>
      <c r="D553" s="107"/>
      <c r="E553" s="107"/>
      <c r="F553" s="107"/>
      <c r="G553" s="107"/>
      <c r="H553" s="107"/>
      <c r="I553" s="107"/>
      <c r="J553" s="107"/>
      <c r="K553" s="107"/>
      <c r="L553" s="107"/>
      <c r="M553" s="107"/>
      <c r="N553" s="107"/>
      <c r="O553" s="59"/>
      <c r="P553" s="107"/>
      <c r="Q553" s="107"/>
      <c r="R553" s="107"/>
    </row>
    <row r="554" spans="1:18" ht="15.75" customHeight="1" x14ac:dyDescent="0.25">
      <c r="A554" s="107"/>
      <c r="B554" s="107"/>
      <c r="C554" s="107"/>
      <c r="D554" s="107"/>
      <c r="E554" s="107"/>
      <c r="F554" s="107"/>
      <c r="G554" s="107"/>
      <c r="H554" s="107"/>
      <c r="I554" s="107"/>
      <c r="J554" s="107"/>
      <c r="K554" s="107"/>
      <c r="L554" s="107"/>
      <c r="M554" s="107"/>
      <c r="N554" s="107"/>
      <c r="O554" s="59"/>
      <c r="P554" s="107"/>
      <c r="Q554" s="107"/>
      <c r="R554" s="107"/>
    </row>
    <row r="555" spans="1:18" ht="15.75" customHeight="1" x14ac:dyDescent="0.25">
      <c r="A555" s="107"/>
      <c r="B555" s="107"/>
      <c r="C555" s="107"/>
      <c r="D555" s="107"/>
      <c r="E555" s="107"/>
      <c r="F555" s="107"/>
      <c r="G555" s="107"/>
      <c r="H555" s="107"/>
      <c r="I555" s="107"/>
      <c r="J555" s="107"/>
      <c r="K555" s="107"/>
      <c r="L555" s="107"/>
      <c r="M555" s="107"/>
      <c r="N555" s="107"/>
      <c r="O555" s="59"/>
      <c r="P555" s="107"/>
      <c r="Q555" s="107"/>
      <c r="R555" s="107"/>
    </row>
    <row r="556" spans="1:18" ht="15.75" customHeight="1" x14ac:dyDescent="0.25">
      <c r="A556" s="107"/>
      <c r="B556" s="107"/>
      <c r="C556" s="107"/>
      <c r="D556" s="107"/>
      <c r="E556" s="107"/>
      <c r="F556" s="107"/>
      <c r="G556" s="107"/>
      <c r="H556" s="107"/>
      <c r="I556" s="107"/>
      <c r="J556" s="107"/>
      <c r="K556" s="107"/>
      <c r="L556" s="107"/>
      <c r="M556" s="107"/>
      <c r="N556" s="107"/>
      <c r="O556" s="59"/>
      <c r="P556" s="107"/>
      <c r="Q556" s="107"/>
      <c r="R556" s="107"/>
    </row>
    <row r="557" spans="1:18" ht="15.75" customHeight="1" x14ac:dyDescent="0.25">
      <c r="A557" s="107"/>
      <c r="B557" s="107"/>
      <c r="C557" s="107"/>
      <c r="D557" s="107"/>
      <c r="E557" s="107"/>
      <c r="F557" s="107"/>
      <c r="G557" s="107"/>
      <c r="H557" s="107"/>
      <c r="I557" s="107"/>
      <c r="J557" s="107"/>
      <c r="K557" s="107"/>
      <c r="L557" s="107"/>
      <c r="M557" s="107"/>
      <c r="N557" s="107"/>
      <c r="O557" s="59"/>
      <c r="P557" s="107"/>
      <c r="Q557" s="107"/>
      <c r="R557" s="107"/>
    </row>
    <row r="558" spans="1:18" ht="15.75" customHeight="1" x14ac:dyDescent="0.25">
      <c r="A558" s="107"/>
      <c r="B558" s="107"/>
      <c r="C558" s="107"/>
      <c r="D558" s="107"/>
      <c r="E558" s="107"/>
      <c r="F558" s="107"/>
      <c r="G558" s="107"/>
      <c r="H558" s="107"/>
      <c r="I558" s="107"/>
      <c r="J558" s="107"/>
      <c r="K558" s="107"/>
      <c r="L558" s="107"/>
      <c r="M558" s="107"/>
      <c r="N558" s="107"/>
      <c r="O558" s="59"/>
      <c r="P558" s="107"/>
      <c r="Q558" s="107"/>
      <c r="R558" s="107"/>
    </row>
    <row r="559" spans="1:18" ht="15.75" customHeight="1" x14ac:dyDescent="0.25">
      <c r="A559" s="107"/>
      <c r="B559" s="107"/>
      <c r="C559" s="107"/>
      <c r="D559" s="107"/>
      <c r="E559" s="107"/>
      <c r="F559" s="107"/>
      <c r="G559" s="107"/>
      <c r="H559" s="107"/>
      <c r="I559" s="107"/>
      <c r="J559" s="107"/>
      <c r="K559" s="107"/>
      <c r="L559" s="107"/>
      <c r="M559" s="107"/>
      <c r="N559" s="107"/>
      <c r="O559" s="59"/>
      <c r="P559" s="107"/>
      <c r="Q559" s="107"/>
      <c r="R559" s="107"/>
    </row>
    <row r="560" spans="1:18" ht="15.75" customHeight="1" x14ac:dyDescent="0.25">
      <c r="A560" s="107"/>
      <c r="B560" s="107"/>
      <c r="C560" s="107"/>
      <c r="D560" s="107"/>
      <c r="E560" s="107"/>
      <c r="F560" s="107"/>
      <c r="G560" s="107"/>
      <c r="H560" s="107"/>
      <c r="I560" s="107"/>
      <c r="J560" s="107"/>
      <c r="K560" s="107"/>
      <c r="L560" s="107"/>
      <c r="M560" s="107"/>
      <c r="N560" s="107"/>
      <c r="O560" s="59"/>
      <c r="P560" s="107"/>
      <c r="Q560" s="107"/>
      <c r="R560" s="107"/>
    </row>
    <row r="561" spans="1:18" ht="15.75" customHeight="1" x14ac:dyDescent="0.25">
      <c r="A561" s="107"/>
      <c r="B561" s="107"/>
      <c r="C561" s="107"/>
      <c r="D561" s="107"/>
      <c r="E561" s="107"/>
      <c r="F561" s="107"/>
      <c r="G561" s="107"/>
      <c r="H561" s="107"/>
      <c r="I561" s="107"/>
      <c r="J561" s="107"/>
      <c r="K561" s="107"/>
      <c r="L561" s="107"/>
      <c r="M561" s="107"/>
      <c r="N561" s="107"/>
      <c r="O561" s="59"/>
      <c r="P561" s="107"/>
      <c r="Q561" s="107"/>
      <c r="R561" s="107"/>
    </row>
    <row r="562" spans="1:18" ht="15.75" customHeight="1" x14ac:dyDescent="0.25">
      <c r="A562" s="107"/>
      <c r="B562" s="107"/>
      <c r="C562" s="107"/>
      <c r="D562" s="107"/>
      <c r="E562" s="107"/>
      <c r="F562" s="107"/>
      <c r="G562" s="107"/>
      <c r="H562" s="107"/>
      <c r="I562" s="107"/>
      <c r="J562" s="107"/>
      <c r="K562" s="107"/>
      <c r="L562" s="107"/>
      <c r="M562" s="107"/>
      <c r="N562" s="107"/>
      <c r="O562" s="59"/>
      <c r="P562" s="107"/>
      <c r="Q562" s="107"/>
      <c r="R562" s="107"/>
    </row>
    <row r="563" spans="1:18" ht="15.75" customHeight="1" x14ac:dyDescent="0.25">
      <c r="A563" s="107"/>
      <c r="B563" s="107"/>
      <c r="C563" s="107"/>
      <c r="D563" s="107"/>
      <c r="E563" s="107"/>
      <c r="F563" s="107"/>
      <c r="G563" s="107"/>
      <c r="H563" s="107"/>
      <c r="I563" s="107"/>
      <c r="J563" s="107"/>
      <c r="K563" s="107"/>
      <c r="L563" s="107"/>
      <c r="M563" s="107"/>
      <c r="N563" s="107"/>
      <c r="O563" s="59"/>
      <c r="P563" s="107"/>
      <c r="Q563" s="107"/>
      <c r="R563" s="107"/>
    </row>
    <row r="564" spans="1:18" ht="15.75" customHeight="1" x14ac:dyDescent="0.25">
      <c r="A564" s="107"/>
      <c r="B564" s="107"/>
      <c r="C564" s="107"/>
      <c r="D564" s="107"/>
      <c r="E564" s="107"/>
      <c r="F564" s="107"/>
      <c r="G564" s="107"/>
      <c r="H564" s="107"/>
      <c r="I564" s="107"/>
      <c r="J564" s="107"/>
      <c r="K564" s="107"/>
      <c r="L564" s="107"/>
      <c r="M564" s="107"/>
      <c r="N564" s="107"/>
      <c r="O564" s="59"/>
      <c r="P564" s="107"/>
      <c r="Q564" s="107"/>
      <c r="R564" s="107"/>
    </row>
    <row r="565" spans="1:18" ht="15.75" customHeight="1" x14ac:dyDescent="0.25">
      <c r="A565" s="107"/>
      <c r="B565" s="107"/>
      <c r="C565" s="107"/>
      <c r="D565" s="107"/>
      <c r="E565" s="107"/>
      <c r="F565" s="107"/>
      <c r="G565" s="107"/>
      <c r="H565" s="107"/>
      <c r="I565" s="107"/>
      <c r="J565" s="107"/>
      <c r="K565" s="107"/>
      <c r="L565" s="107"/>
      <c r="M565" s="107"/>
      <c r="N565" s="107"/>
      <c r="O565" s="59"/>
      <c r="P565" s="107"/>
      <c r="Q565" s="107"/>
      <c r="R565" s="107"/>
    </row>
    <row r="566" spans="1:18" ht="15.75" customHeight="1" x14ac:dyDescent="0.25">
      <c r="A566" s="107"/>
      <c r="B566" s="107"/>
      <c r="C566" s="107"/>
      <c r="D566" s="107"/>
      <c r="E566" s="107"/>
      <c r="F566" s="107"/>
      <c r="G566" s="107"/>
      <c r="H566" s="107"/>
      <c r="I566" s="107"/>
      <c r="J566" s="107"/>
      <c r="K566" s="107"/>
      <c r="L566" s="107"/>
      <c r="M566" s="107"/>
      <c r="N566" s="107"/>
      <c r="O566" s="59"/>
      <c r="P566" s="107"/>
      <c r="Q566" s="107"/>
      <c r="R566" s="107"/>
    </row>
    <row r="567" spans="1:18" ht="15.75" customHeight="1" x14ac:dyDescent="0.25">
      <c r="A567" s="107"/>
      <c r="B567" s="107"/>
      <c r="C567" s="107"/>
      <c r="D567" s="107"/>
      <c r="E567" s="107"/>
      <c r="F567" s="107"/>
      <c r="G567" s="107"/>
      <c r="H567" s="107"/>
      <c r="I567" s="107"/>
      <c r="J567" s="107"/>
      <c r="K567" s="107"/>
      <c r="L567" s="107"/>
      <c r="M567" s="107"/>
      <c r="N567" s="107"/>
      <c r="O567" s="59"/>
      <c r="P567" s="107"/>
      <c r="Q567" s="107"/>
      <c r="R567" s="107"/>
    </row>
    <row r="568" spans="1:18" ht="15.75" customHeight="1" x14ac:dyDescent="0.25">
      <c r="A568" s="107"/>
      <c r="B568" s="107"/>
      <c r="C568" s="107"/>
      <c r="D568" s="107"/>
      <c r="E568" s="107"/>
      <c r="F568" s="107"/>
      <c r="G568" s="107"/>
      <c r="H568" s="107"/>
      <c r="I568" s="107"/>
      <c r="J568" s="107"/>
      <c r="K568" s="107"/>
      <c r="L568" s="107"/>
      <c r="M568" s="107"/>
      <c r="N568" s="107"/>
      <c r="O568" s="59"/>
      <c r="P568" s="107"/>
      <c r="Q568" s="107"/>
      <c r="R568" s="107"/>
    </row>
    <row r="569" spans="1:18" ht="15.75" customHeight="1" x14ac:dyDescent="0.25">
      <c r="A569" s="107"/>
      <c r="B569" s="107"/>
      <c r="C569" s="107"/>
      <c r="D569" s="107"/>
      <c r="E569" s="107"/>
      <c r="F569" s="107"/>
      <c r="G569" s="107"/>
      <c r="H569" s="107"/>
      <c r="I569" s="107"/>
      <c r="J569" s="107"/>
      <c r="K569" s="107"/>
      <c r="L569" s="107"/>
      <c r="M569" s="107"/>
      <c r="N569" s="107"/>
      <c r="O569" s="59"/>
      <c r="P569" s="107"/>
      <c r="Q569" s="107"/>
      <c r="R569" s="107"/>
    </row>
    <row r="570" spans="1:18" ht="15.75" customHeight="1" x14ac:dyDescent="0.25">
      <c r="A570" s="107"/>
      <c r="B570" s="107"/>
      <c r="C570" s="107"/>
      <c r="D570" s="107"/>
      <c r="E570" s="107"/>
      <c r="F570" s="107"/>
      <c r="G570" s="107"/>
      <c r="H570" s="107"/>
      <c r="I570" s="107"/>
      <c r="J570" s="107"/>
      <c r="K570" s="107"/>
      <c r="L570" s="107"/>
      <c r="M570" s="107"/>
      <c r="N570" s="107"/>
      <c r="O570" s="59"/>
      <c r="P570" s="107"/>
      <c r="Q570" s="107"/>
      <c r="R570" s="107"/>
    </row>
    <row r="571" spans="1:18" ht="15.75" customHeight="1" x14ac:dyDescent="0.25">
      <c r="A571" s="107"/>
      <c r="B571" s="107"/>
      <c r="C571" s="107"/>
      <c r="D571" s="107"/>
      <c r="E571" s="107"/>
      <c r="F571" s="107"/>
      <c r="G571" s="107"/>
      <c r="H571" s="107"/>
      <c r="I571" s="107"/>
      <c r="J571" s="107"/>
      <c r="K571" s="107"/>
      <c r="L571" s="107"/>
      <c r="M571" s="107"/>
      <c r="N571" s="107"/>
      <c r="O571" s="59"/>
      <c r="P571" s="107"/>
      <c r="Q571" s="107"/>
      <c r="R571" s="107"/>
    </row>
    <row r="572" spans="1:18" ht="15.75" customHeight="1" x14ac:dyDescent="0.25">
      <c r="A572" s="107"/>
      <c r="B572" s="107"/>
      <c r="C572" s="107"/>
      <c r="D572" s="107"/>
      <c r="E572" s="107"/>
      <c r="F572" s="107"/>
      <c r="G572" s="107"/>
      <c r="H572" s="107"/>
      <c r="I572" s="107"/>
      <c r="J572" s="107"/>
      <c r="K572" s="107"/>
      <c r="L572" s="107"/>
      <c r="M572" s="107"/>
      <c r="N572" s="107"/>
      <c r="O572" s="59"/>
      <c r="P572" s="107"/>
      <c r="Q572" s="107"/>
      <c r="R572" s="107"/>
    </row>
    <row r="573" spans="1:18" ht="15.75" customHeight="1" x14ac:dyDescent="0.25">
      <c r="A573" s="107"/>
      <c r="B573" s="107"/>
      <c r="C573" s="107"/>
      <c r="D573" s="107"/>
      <c r="E573" s="107"/>
      <c r="F573" s="107"/>
      <c r="G573" s="107"/>
      <c r="H573" s="107"/>
      <c r="I573" s="107"/>
      <c r="J573" s="107"/>
      <c r="K573" s="107"/>
      <c r="L573" s="107"/>
      <c r="M573" s="107"/>
      <c r="N573" s="107"/>
      <c r="O573" s="59"/>
      <c r="P573" s="107"/>
      <c r="Q573" s="107"/>
      <c r="R573" s="107"/>
    </row>
    <row r="574" spans="1:18" ht="15.75" customHeight="1" x14ac:dyDescent="0.25">
      <c r="A574" s="107"/>
      <c r="B574" s="107"/>
      <c r="C574" s="107"/>
      <c r="D574" s="107"/>
      <c r="E574" s="107"/>
      <c r="F574" s="107"/>
      <c r="G574" s="107"/>
      <c r="H574" s="107"/>
      <c r="I574" s="107"/>
      <c r="J574" s="107"/>
      <c r="K574" s="107"/>
      <c r="L574" s="107"/>
      <c r="M574" s="107"/>
      <c r="N574" s="107"/>
      <c r="O574" s="59"/>
      <c r="P574" s="107"/>
      <c r="Q574" s="107"/>
      <c r="R574" s="107"/>
    </row>
    <row r="575" spans="1:18" ht="15.75" customHeight="1" x14ac:dyDescent="0.25">
      <c r="A575" s="107"/>
      <c r="B575" s="107"/>
      <c r="C575" s="107"/>
      <c r="D575" s="107"/>
      <c r="E575" s="107"/>
      <c r="F575" s="107"/>
      <c r="G575" s="107"/>
      <c r="H575" s="107"/>
      <c r="I575" s="107"/>
      <c r="J575" s="107"/>
      <c r="K575" s="107"/>
      <c r="L575" s="107"/>
      <c r="M575" s="107"/>
      <c r="N575" s="107"/>
      <c r="O575" s="59"/>
      <c r="P575" s="107"/>
      <c r="Q575" s="107"/>
      <c r="R575" s="107"/>
    </row>
    <row r="576" spans="1:18" ht="15.75" customHeight="1" x14ac:dyDescent="0.25">
      <c r="A576" s="107"/>
      <c r="B576" s="107"/>
      <c r="C576" s="107"/>
      <c r="D576" s="107"/>
      <c r="E576" s="107"/>
      <c r="F576" s="107"/>
      <c r="G576" s="107"/>
      <c r="H576" s="107"/>
      <c r="I576" s="107"/>
      <c r="J576" s="107"/>
      <c r="K576" s="107"/>
      <c r="L576" s="107"/>
      <c r="M576" s="107"/>
      <c r="N576" s="107"/>
      <c r="O576" s="59"/>
      <c r="P576" s="107"/>
      <c r="Q576" s="107"/>
      <c r="R576" s="107"/>
    </row>
    <row r="577" spans="1:18" ht="15.75" customHeight="1" x14ac:dyDescent="0.25">
      <c r="A577" s="107"/>
      <c r="B577" s="107"/>
      <c r="C577" s="107"/>
      <c r="D577" s="107"/>
      <c r="E577" s="107"/>
      <c r="F577" s="107"/>
      <c r="G577" s="107"/>
      <c r="H577" s="107"/>
      <c r="I577" s="107"/>
      <c r="J577" s="107"/>
      <c r="K577" s="107"/>
      <c r="L577" s="107"/>
      <c r="M577" s="107"/>
      <c r="N577" s="107"/>
      <c r="O577" s="59"/>
      <c r="P577" s="107"/>
      <c r="Q577" s="107"/>
      <c r="R577" s="107"/>
    </row>
    <row r="578" spans="1:18" ht="15.75" customHeight="1" x14ac:dyDescent="0.25">
      <c r="A578" s="107"/>
      <c r="B578" s="107"/>
      <c r="C578" s="107"/>
      <c r="D578" s="107"/>
      <c r="E578" s="107"/>
      <c r="F578" s="107"/>
      <c r="G578" s="107"/>
      <c r="H578" s="107"/>
      <c r="I578" s="107"/>
      <c r="J578" s="107"/>
      <c r="K578" s="107"/>
      <c r="L578" s="107"/>
      <c r="M578" s="107"/>
      <c r="N578" s="107"/>
      <c r="O578" s="59"/>
      <c r="P578" s="107"/>
      <c r="Q578" s="107"/>
      <c r="R578" s="107"/>
    </row>
    <row r="579" spans="1:18" ht="15.75" customHeight="1" x14ac:dyDescent="0.25">
      <c r="A579" s="107"/>
      <c r="B579" s="107"/>
      <c r="C579" s="107"/>
      <c r="D579" s="107"/>
      <c r="E579" s="107"/>
      <c r="F579" s="107"/>
      <c r="G579" s="107"/>
      <c r="H579" s="107"/>
      <c r="I579" s="107"/>
      <c r="J579" s="107"/>
      <c r="K579" s="107"/>
      <c r="L579" s="107"/>
      <c r="M579" s="107"/>
      <c r="N579" s="107"/>
      <c r="O579" s="59"/>
      <c r="P579" s="107"/>
      <c r="Q579" s="107"/>
      <c r="R579" s="107"/>
    </row>
    <row r="580" spans="1:18" ht="15.75" customHeight="1" x14ac:dyDescent="0.25">
      <c r="A580" s="107"/>
      <c r="B580" s="107"/>
      <c r="C580" s="107"/>
      <c r="D580" s="107"/>
      <c r="E580" s="107"/>
      <c r="F580" s="107"/>
      <c r="G580" s="107"/>
      <c r="H580" s="107"/>
      <c r="I580" s="107"/>
      <c r="J580" s="107"/>
      <c r="K580" s="107"/>
      <c r="L580" s="107"/>
      <c r="M580" s="107"/>
      <c r="N580" s="107"/>
      <c r="O580" s="59"/>
      <c r="P580" s="107"/>
      <c r="Q580" s="107"/>
      <c r="R580" s="107"/>
    </row>
    <row r="581" spans="1:18" ht="15.75" customHeight="1" x14ac:dyDescent="0.25">
      <c r="A581" s="107"/>
      <c r="B581" s="107"/>
      <c r="C581" s="107"/>
      <c r="D581" s="107"/>
      <c r="E581" s="107"/>
      <c r="F581" s="107"/>
      <c r="G581" s="107"/>
      <c r="H581" s="107"/>
      <c r="I581" s="107"/>
      <c r="J581" s="107"/>
      <c r="K581" s="107"/>
      <c r="L581" s="107"/>
      <c r="M581" s="107"/>
      <c r="N581" s="107"/>
      <c r="O581" s="59"/>
      <c r="P581" s="107"/>
      <c r="Q581" s="107"/>
      <c r="R581" s="107"/>
    </row>
    <row r="582" spans="1:18" ht="15.75" customHeight="1" x14ac:dyDescent="0.25">
      <c r="A582" s="107"/>
      <c r="B582" s="107"/>
      <c r="C582" s="107"/>
      <c r="D582" s="107"/>
      <c r="E582" s="107"/>
      <c r="F582" s="107"/>
      <c r="G582" s="107"/>
      <c r="H582" s="107"/>
      <c r="I582" s="107"/>
      <c r="J582" s="107"/>
      <c r="K582" s="107"/>
      <c r="L582" s="107"/>
      <c r="M582" s="107"/>
      <c r="N582" s="107"/>
      <c r="O582" s="59"/>
      <c r="P582" s="107"/>
      <c r="Q582" s="107"/>
      <c r="R582" s="107"/>
    </row>
    <row r="583" spans="1:18" ht="15.75" customHeight="1" x14ac:dyDescent="0.25">
      <c r="A583" s="107"/>
      <c r="B583" s="107"/>
      <c r="C583" s="107"/>
      <c r="D583" s="107"/>
      <c r="E583" s="107"/>
      <c r="F583" s="107"/>
      <c r="G583" s="107"/>
      <c r="H583" s="107"/>
      <c r="I583" s="107"/>
      <c r="J583" s="107"/>
      <c r="K583" s="107"/>
      <c r="L583" s="107"/>
      <c r="M583" s="107"/>
      <c r="N583" s="107"/>
      <c r="O583" s="59"/>
      <c r="P583" s="107"/>
      <c r="Q583" s="107"/>
      <c r="R583" s="107"/>
    </row>
    <row r="584" spans="1:18" ht="15.75" customHeight="1" x14ac:dyDescent="0.25">
      <c r="A584" s="107"/>
      <c r="B584" s="107"/>
      <c r="C584" s="107"/>
      <c r="D584" s="107"/>
      <c r="E584" s="107"/>
      <c r="F584" s="107"/>
      <c r="G584" s="107"/>
      <c r="H584" s="107"/>
      <c r="I584" s="107"/>
      <c r="J584" s="107"/>
      <c r="K584" s="107"/>
      <c r="L584" s="107"/>
      <c r="M584" s="107"/>
      <c r="N584" s="107"/>
      <c r="O584" s="59"/>
      <c r="P584" s="107"/>
      <c r="Q584" s="107"/>
      <c r="R584" s="107"/>
    </row>
    <row r="585" spans="1:18" ht="15.75" customHeight="1" x14ac:dyDescent="0.25">
      <c r="A585" s="107"/>
      <c r="B585" s="107"/>
      <c r="C585" s="107"/>
      <c r="D585" s="107"/>
      <c r="E585" s="107"/>
      <c r="F585" s="107"/>
      <c r="G585" s="107"/>
      <c r="H585" s="107"/>
      <c r="I585" s="107"/>
      <c r="J585" s="107"/>
      <c r="K585" s="107"/>
      <c r="L585" s="107"/>
      <c r="M585" s="107"/>
      <c r="N585" s="107"/>
      <c r="O585" s="59"/>
      <c r="P585" s="107"/>
      <c r="Q585" s="107"/>
      <c r="R585" s="107"/>
    </row>
    <row r="586" spans="1:18" ht="15.75" customHeight="1" x14ac:dyDescent="0.25">
      <c r="A586" s="107"/>
      <c r="B586" s="107"/>
      <c r="C586" s="107"/>
      <c r="D586" s="107"/>
      <c r="E586" s="107"/>
      <c r="F586" s="107"/>
      <c r="G586" s="107"/>
      <c r="H586" s="107"/>
      <c r="I586" s="107"/>
      <c r="J586" s="107"/>
      <c r="K586" s="107"/>
      <c r="L586" s="107"/>
      <c r="M586" s="107"/>
      <c r="N586" s="107"/>
      <c r="O586" s="59"/>
      <c r="P586" s="107"/>
      <c r="Q586" s="107"/>
      <c r="R586" s="107"/>
    </row>
    <row r="587" spans="1:18" ht="15.75" customHeight="1" x14ac:dyDescent="0.25">
      <c r="A587" s="107"/>
      <c r="B587" s="107"/>
      <c r="C587" s="107"/>
      <c r="D587" s="107"/>
      <c r="E587" s="107"/>
      <c r="F587" s="107"/>
      <c r="G587" s="107"/>
      <c r="H587" s="107"/>
      <c r="I587" s="107"/>
      <c r="J587" s="107"/>
      <c r="K587" s="107"/>
      <c r="L587" s="107"/>
      <c r="M587" s="107"/>
      <c r="N587" s="107"/>
      <c r="O587" s="59"/>
      <c r="P587" s="107"/>
      <c r="Q587" s="107"/>
      <c r="R587" s="107"/>
    </row>
    <row r="588" spans="1:18" ht="15.75" customHeight="1" x14ac:dyDescent="0.25">
      <c r="A588" s="107"/>
      <c r="B588" s="107"/>
      <c r="C588" s="107"/>
      <c r="D588" s="107"/>
      <c r="E588" s="107"/>
      <c r="F588" s="107"/>
      <c r="G588" s="107"/>
      <c r="H588" s="107"/>
      <c r="I588" s="107"/>
      <c r="J588" s="107"/>
      <c r="K588" s="107"/>
      <c r="L588" s="107"/>
      <c r="M588" s="107"/>
      <c r="N588" s="107"/>
      <c r="O588" s="59"/>
      <c r="P588" s="107"/>
      <c r="Q588" s="107"/>
      <c r="R588" s="107"/>
    </row>
    <row r="589" spans="1:18" ht="15.75" customHeight="1" x14ac:dyDescent="0.25">
      <c r="A589" s="107"/>
      <c r="B589" s="107"/>
      <c r="C589" s="107"/>
      <c r="D589" s="107"/>
      <c r="E589" s="107"/>
      <c r="F589" s="107"/>
      <c r="G589" s="107"/>
      <c r="H589" s="107"/>
      <c r="I589" s="107"/>
      <c r="J589" s="107"/>
      <c r="K589" s="107"/>
      <c r="L589" s="107"/>
      <c r="M589" s="107"/>
      <c r="N589" s="107"/>
      <c r="O589" s="59"/>
      <c r="P589" s="107"/>
      <c r="Q589" s="107"/>
      <c r="R589" s="107"/>
    </row>
    <row r="590" spans="1:18" ht="15.75" customHeight="1" x14ac:dyDescent="0.25">
      <c r="A590" s="107"/>
      <c r="B590" s="107"/>
      <c r="C590" s="107"/>
      <c r="D590" s="107"/>
      <c r="E590" s="107"/>
      <c r="F590" s="107"/>
      <c r="G590" s="107"/>
      <c r="H590" s="107"/>
      <c r="I590" s="107"/>
      <c r="J590" s="107"/>
      <c r="K590" s="107"/>
      <c r="L590" s="107"/>
      <c r="M590" s="107"/>
      <c r="N590" s="107"/>
      <c r="O590" s="59"/>
      <c r="P590" s="107"/>
      <c r="Q590" s="107"/>
      <c r="R590" s="107"/>
    </row>
    <row r="591" spans="1:18" ht="15.75" customHeight="1" x14ac:dyDescent="0.25">
      <c r="A591" s="107"/>
      <c r="B591" s="107"/>
      <c r="C591" s="107"/>
      <c r="D591" s="107"/>
      <c r="E591" s="107"/>
      <c r="F591" s="107"/>
      <c r="G591" s="107"/>
      <c r="H591" s="107"/>
      <c r="I591" s="107"/>
      <c r="J591" s="107"/>
      <c r="K591" s="107"/>
      <c r="L591" s="107"/>
      <c r="M591" s="107"/>
      <c r="N591" s="107"/>
      <c r="O591" s="59"/>
      <c r="P591" s="107"/>
      <c r="Q591" s="107"/>
      <c r="R591" s="107"/>
    </row>
    <row r="592" spans="1:18" ht="15.75" customHeight="1" x14ac:dyDescent="0.25">
      <c r="A592" s="107"/>
      <c r="B592" s="107"/>
      <c r="C592" s="107"/>
      <c r="D592" s="107"/>
      <c r="E592" s="107"/>
      <c r="F592" s="107"/>
      <c r="G592" s="107"/>
      <c r="H592" s="107"/>
      <c r="I592" s="107"/>
      <c r="J592" s="107"/>
      <c r="K592" s="107"/>
      <c r="L592" s="107"/>
      <c r="M592" s="107"/>
      <c r="N592" s="107"/>
      <c r="O592" s="59"/>
      <c r="P592" s="107"/>
      <c r="Q592" s="107"/>
      <c r="R592" s="107"/>
    </row>
    <row r="593" spans="1:18" ht="15.75" customHeight="1" x14ac:dyDescent="0.25">
      <c r="A593" s="107"/>
      <c r="B593" s="107"/>
      <c r="C593" s="107"/>
      <c r="D593" s="107"/>
      <c r="E593" s="107"/>
      <c r="F593" s="107"/>
      <c r="G593" s="107"/>
      <c r="H593" s="107"/>
      <c r="I593" s="107"/>
      <c r="J593" s="107"/>
      <c r="K593" s="107"/>
      <c r="L593" s="107"/>
      <c r="M593" s="107"/>
      <c r="N593" s="107"/>
      <c r="O593" s="59"/>
      <c r="P593" s="107"/>
      <c r="Q593" s="107"/>
      <c r="R593" s="107"/>
    </row>
    <row r="594" spans="1:18" ht="15.75" customHeight="1" x14ac:dyDescent="0.25">
      <c r="A594" s="107"/>
      <c r="B594" s="107"/>
      <c r="C594" s="107"/>
      <c r="D594" s="107"/>
      <c r="E594" s="107"/>
      <c r="F594" s="107"/>
      <c r="G594" s="107"/>
      <c r="H594" s="107"/>
      <c r="I594" s="107"/>
      <c r="J594" s="107"/>
      <c r="K594" s="107"/>
      <c r="L594" s="107"/>
      <c r="M594" s="107"/>
      <c r="N594" s="107"/>
      <c r="O594" s="59"/>
      <c r="P594" s="107"/>
      <c r="Q594" s="107"/>
      <c r="R594" s="107"/>
    </row>
    <row r="595" spans="1:18" ht="15.75" customHeight="1" x14ac:dyDescent="0.25">
      <c r="A595" s="107"/>
      <c r="B595" s="107"/>
      <c r="C595" s="107"/>
      <c r="D595" s="107"/>
      <c r="E595" s="107"/>
      <c r="F595" s="107"/>
      <c r="G595" s="107"/>
      <c r="H595" s="107"/>
      <c r="I595" s="107"/>
      <c r="J595" s="107"/>
      <c r="K595" s="107"/>
      <c r="L595" s="107"/>
      <c r="M595" s="107"/>
      <c r="N595" s="107"/>
      <c r="O595" s="59"/>
      <c r="P595" s="107"/>
      <c r="Q595" s="107"/>
      <c r="R595" s="107"/>
    </row>
    <row r="596" spans="1:18" ht="15.75" customHeight="1" x14ac:dyDescent="0.25">
      <c r="A596" s="107"/>
      <c r="B596" s="107"/>
      <c r="C596" s="107"/>
      <c r="D596" s="107"/>
      <c r="E596" s="107"/>
      <c r="F596" s="107"/>
      <c r="G596" s="107"/>
      <c r="H596" s="107"/>
      <c r="I596" s="107"/>
      <c r="J596" s="107"/>
      <c r="K596" s="107"/>
      <c r="L596" s="107"/>
      <c r="M596" s="107"/>
      <c r="N596" s="107"/>
      <c r="O596" s="59"/>
      <c r="P596" s="107"/>
      <c r="Q596" s="107"/>
      <c r="R596" s="107"/>
    </row>
    <row r="597" spans="1:18" ht="15.75" customHeight="1" x14ac:dyDescent="0.25">
      <c r="A597" s="107"/>
      <c r="B597" s="107"/>
      <c r="C597" s="107"/>
      <c r="D597" s="107"/>
      <c r="E597" s="107"/>
      <c r="F597" s="107"/>
      <c r="G597" s="107"/>
      <c r="H597" s="107"/>
      <c r="I597" s="107"/>
      <c r="J597" s="107"/>
      <c r="K597" s="107"/>
      <c r="L597" s="107"/>
      <c r="M597" s="107"/>
      <c r="N597" s="107"/>
      <c r="O597" s="59"/>
      <c r="P597" s="107"/>
      <c r="Q597" s="107"/>
      <c r="R597" s="107"/>
    </row>
    <row r="598" spans="1:18" ht="15.75" customHeight="1" x14ac:dyDescent="0.25">
      <c r="A598" s="107"/>
      <c r="B598" s="107"/>
      <c r="C598" s="107"/>
      <c r="D598" s="107"/>
      <c r="E598" s="107"/>
      <c r="F598" s="107"/>
      <c r="G598" s="107"/>
      <c r="H598" s="107"/>
      <c r="I598" s="107"/>
      <c r="J598" s="107"/>
      <c r="K598" s="107"/>
      <c r="L598" s="107"/>
      <c r="M598" s="107"/>
      <c r="N598" s="107"/>
      <c r="O598" s="59"/>
      <c r="P598" s="107"/>
      <c r="Q598" s="107"/>
      <c r="R598" s="107"/>
    </row>
    <row r="599" spans="1:18" ht="15.75" customHeight="1" x14ac:dyDescent="0.25">
      <c r="A599" s="107"/>
      <c r="B599" s="107"/>
      <c r="C599" s="107"/>
      <c r="D599" s="107"/>
      <c r="E599" s="107"/>
      <c r="F599" s="107"/>
      <c r="G599" s="107"/>
      <c r="H599" s="107"/>
      <c r="I599" s="107"/>
      <c r="J599" s="107"/>
      <c r="K599" s="107"/>
      <c r="L599" s="107"/>
      <c r="M599" s="107"/>
      <c r="N599" s="107"/>
      <c r="O599" s="59"/>
      <c r="P599" s="107"/>
      <c r="Q599" s="107"/>
      <c r="R599" s="107"/>
    </row>
    <row r="600" spans="1:18" ht="15.75" customHeight="1" x14ac:dyDescent="0.25">
      <c r="A600" s="107"/>
      <c r="B600" s="107"/>
      <c r="C600" s="107"/>
      <c r="D600" s="107"/>
      <c r="E600" s="107"/>
      <c r="F600" s="107"/>
      <c r="G600" s="107"/>
      <c r="H600" s="107"/>
      <c r="I600" s="107"/>
      <c r="J600" s="107"/>
      <c r="K600" s="107"/>
      <c r="L600" s="107"/>
      <c r="M600" s="107"/>
      <c r="N600" s="107"/>
      <c r="O600" s="59"/>
      <c r="P600" s="107"/>
      <c r="Q600" s="107"/>
      <c r="R600" s="107"/>
    </row>
    <row r="601" spans="1:18" ht="15.75" customHeight="1" x14ac:dyDescent="0.25">
      <c r="A601" s="107"/>
      <c r="B601" s="107"/>
      <c r="C601" s="107"/>
      <c r="D601" s="107"/>
      <c r="E601" s="107"/>
      <c r="F601" s="107"/>
      <c r="G601" s="107"/>
      <c r="H601" s="107"/>
      <c r="I601" s="107"/>
      <c r="J601" s="107"/>
      <c r="K601" s="107"/>
      <c r="L601" s="107"/>
      <c r="M601" s="107"/>
      <c r="N601" s="107"/>
      <c r="O601" s="59"/>
      <c r="P601" s="107"/>
      <c r="Q601" s="107"/>
      <c r="R601" s="107"/>
    </row>
    <row r="602" spans="1:18" ht="15.75" customHeight="1" x14ac:dyDescent="0.25">
      <c r="A602" s="107"/>
      <c r="B602" s="107"/>
      <c r="C602" s="107"/>
      <c r="D602" s="107"/>
      <c r="E602" s="107"/>
      <c r="F602" s="107"/>
      <c r="G602" s="107"/>
      <c r="H602" s="107"/>
      <c r="I602" s="107"/>
      <c r="J602" s="107"/>
      <c r="K602" s="107"/>
      <c r="L602" s="107"/>
      <c r="M602" s="107"/>
      <c r="N602" s="107"/>
      <c r="O602" s="59"/>
      <c r="P602" s="107"/>
      <c r="Q602" s="107"/>
      <c r="R602" s="107"/>
    </row>
    <row r="603" spans="1:18" ht="15.75" customHeight="1" x14ac:dyDescent="0.25">
      <c r="A603" s="107"/>
      <c r="B603" s="107"/>
      <c r="C603" s="107"/>
      <c r="D603" s="107"/>
      <c r="E603" s="107"/>
      <c r="F603" s="107"/>
      <c r="G603" s="107"/>
      <c r="H603" s="107"/>
      <c r="I603" s="107"/>
      <c r="J603" s="107"/>
      <c r="K603" s="107"/>
      <c r="L603" s="107"/>
      <c r="M603" s="107"/>
      <c r="N603" s="107"/>
      <c r="O603" s="59"/>
      <c r="P603" s="107"/>
      <c r="Q603" s="107"/>
      <c r="R603" s="107"/>
    </row>
    <row r="604" spans="1:18" ht="15.75" customHeight="1" x14ac:dyDescent="0.25">
      <c r="A604" s="107"/>
      <c r="B604" s="107"/>
      <c r="C604" s="107"/>
      <c r="D604" s="107"/>
      <c r="E604" s="107"/>
      <c r="F604" s="107"/>
      <c r="G604" s="107"/>
      <c r="H604" s="107"/>
      <c r="I604" s="107"/>
      <c r="J604" s="107"/>
      <c r="K604" s="107"/>
      <c r="L604" s="107"/>
      <c r="M604" s="107"/>
      <c r="N604" s="107"/>
      <c r="O604" s="59"/>
      <c r="P604" s="107"/>
      <c r="Q604" s="107"/>
      <c r="R604" s="107"/>
    </row>
    <row r="605" spans="1:18" ht="15.75" customHeight="1" x14ac:dyDescent="0.25">
      <c r="A605" s="107"/>
      <c r="B605" s="107"/>
      <c r="C605" s="107"/>
      <c r="D605" s="107"/>
      <c r="E605" s="107"/>
      <c r="F605" s="107"/>
      <c r="G605" s="107"/>
      <c r="H605" s="107"/>
      <c r="I605" s="107"/>
      <c r="J605" s="107"/>
      <c r="K605" s="107"/>
      <c r="L605" s="107"/>
      <c r="M605" s="107"/>
      <c r="N605" s="107"/>
      <c r="O605" s="59"/>
      <c r="P605" s="107"/>
      <c r="Q605" s="107"/>
      <c r="R605" s="107"/>
    </row>
    <row r="606" spans="1:18" ht="15.75" customHeight="1" x14ac:dyDescent="0.25">
      <c r="A606" s="107"/>
      <c r="B606" s="107"/>
      <c r="C606" s="107"/>
      <c r="D606" s="107"/>
      <c r="E606" s="107"/>
      <c r="F606" s="107"/>
      <c r="G606" s="107"/>
      <c r="H606" s="107"/>
      <c r="I606" s="107"/>
      <c r="J606" s="107"/>
      <c r="K606" s="107"/>
      <c r="L606" s="107"/>
      <c r="M606" s="107"/>
      <c r="N606" s="107"/>
      <c r="O606" s="59"/>
      <c r="P606" s="107"/>
      <c r="Q606" s="107"/>
      <c r="R606" s="107"/>
    </row>
    <row r="607" spans="1:18" ht="15.75" customHeight="1" x14ac:dyDescent="0.25">
      <c r="A607" s="107"/>
      <c r="B607" s="107"/>
      <c r="C607" s="107"/>
      <c r="D607" s="107"/>
      <c r="E607" s="107"/>
      <c r="F607" s="107"/>
      <c r="G607" s="107"/>
      <c r="H607" s="107"/>
      <c r="I607" s="107"/>
      <c r="J607" s="107"/>
      <c r="K607" s="107"/>
      <c r="L607" s="107"/>
      <c r="M607" s="107"/>
      <c r="N607" s="107"/>
      <c r="O607" s="59"/>
      <c r="P607" s="107"/>
      <c r="Q607" s="107"/>
      <c r="R607" s="107"/>
    </row>
    <row r="608" spans="1:18" ht="15.75" customHeight="1" x14ac:dyDescent="0.25">
      <c r="A608" s="107"/>
      <c r="B608" s="107"/>
      <c r="C608" s="107"/>
      <c r="D608" s="107"/>
      <c r="E608" s="107"/>
      <c r="F608" s="107"/>
      <c r="G608" s="107"/>
      <c r="H608" s="107"/>
      <c r="I608" s="107"/>
      <c r="J608" s="107"/>
      <c r="K608" s="107"/>
      <c r="L608" s="107"/>
      <c r="M608" s="107"/>
      <c r="N608" s="107"/>
      <c r="O608" s="59"/>
      <c r="P608" s="107"/>
      <c r="Q608" s="107"/>
      <c r="R608" s="107"/>
    </row>
    <row r="609" spans="1:18" ht="15.75" customHeight="1" x14ac:dyDescent="0.25">
      <c r="A609" s="107"/>
      <c r="B609" s="107"/>
      <c r="C609" s="107"/>
      <c r="D609" s="107"/>
      <c r="E609" s="107"/>
      <c r="F609" s="107"/>
      <c r="G609" s="107"/>
      <c r="H609" s="107"/>
      <c r="I609" s="107"/>
      <c r="J609" s="107"/>
      <c r="K609" s="107"/>
      <c r="L609" s="107"/>
      <c r="M609" s="107"/>
      <c r="N609" s="107"/>
      <c r="O609" s="59"/>
      <c r="P609" s="107"/>
      <c r="Q609" s="107"/>
      <c r="R609" s="107"/>
    </row>
    <row r="610" spans="1:18" ht="15.75" customHeight="1" x14ac:dyDescent="0.25">
      <c r="A610" s="107"/>
      <c r="B610" s="107"/>
      <c r="C610" s="107"/>
      <c r="D610" s="107"/>
      <c r="E610" s="107"/>
      <c r="F610" s="107"/>
      <c r="G610" s="107"/>
      <c r="H610" s="107"/>
      <c r="I610" s="107"/>
      <c r="J610" s="107"/>
      <c r="K610" s="107"/>
      <c r="L610" s="107"/>
      <c r="M610" s="107"/>
      <c r="N610" s="107"/>
      <c r="O610" s="59"/>
      <c r="P610" s="107"/>
      <c r="Q610" s="107"/>
      <c r="R610" s="107"/>
    </row>
    <row r="611" spans="1:18" ht="15.75" customHeight="1" x14ac:dyDescent="0.25">
      <c r="A611" s="107"/>
      <c r="B611" s="107"/>
      <c r="C611" s="107"/>
      <c r="D611" s="107"/>
      <c r="E611" s="107"/>
      <c r="F611" s="107"/>
      <c r="G611" s="107"/>
      <c r="H611" s="107"/>
      <c r="I611" s="107"/>
      <c r="J611" s="107"/>
      <c r="K611" s="107"/>
      <c r="L611" s="107"/>
      <c r="M611" s="107"/>
      <c r="N611" s="107"/>
      <c r="O611" s="59"/>
      <c r="P611" s="107"/>
      <c r="Q611" s="107"/>
      <c r="R611" s="107"/>
    </row>
    <row r="612" spans="1:18" ht="15.75" customHeight="1" x14ac:dyDescent="0.25">
      <c r="A612" s="107"/>
      <c r="B612" s="107"/>
      <c r="C612" s="107"/>
      <c r="D612" s="107"/>
      <c r="E612" s="107"/>
      <c r="F612" s="107"/>
      <c r="G612" s="107"/>
      <c r="H612" s="107"/>
      <c r="I612" s="107"/>
      <c r="J612" s="107"/>
      <c r="K612" s="107"/>
      <c r="L612" s="107"/>
      <c r="M612" s="107"/>
      <c r="N612" s="107"/>
      <c r="O612" s="59"/>
      <c r="P612" s="107"/>
      <c r="Q612" s="107"/>
      <c r="R612" s="107"/>
    </row>
    <row r="613" spans="1:18" ht="15.75" customHeight="1" x14ac:dyDescent="0.25">
      <c r="A613" s="107"/>
      <c r="B613" s="107"/>
      <c r="C613" s="107"/>
      <c r="D613" s="107"/>
      <c r="E613" s="107"/>
      <c r="F613" s="107"/>
      <c r="G613" s="107"/>
      <c r="H613" s="107"/>
      <c r="I613" s="107"/>
      <c r="J613" s="107"/>
      <c r="K613" s="107"/>
      <c r="L613" s="107"/>
      <c r="M613" s="107"/>
      <c r="N613" s="107"/>
      <c r="O613" s="59"/>
      <c r="P613" s="107"/>
      <c r="Q613" s="107"/>
      <c r="R613" s="107"/>
    </row>
    <row r="614" spans="1:18" ht="15.75" customHeight="1" x14ac:dyDescent="0.25">
      <c r="A614" s="107"/>
      <c r="B614" s="107"/>
      <c r="C614" s="107"/>
      <c r="D614" s="107"/>
      <c r="E614" s="107"/>
      <c r="F614" s="107"/>
      <c r="G614" s="107"/>
      <c r="H614" s="107"/>
      <c r="I614" s="107"/>
      <c r="J614" s="107"/>
      <c r="K614" s="107"/>
      <c r="L614" s="107"/>
      <c r="M614" s="107"/>
      <c r="N614" s="107"/>
      <c r="O614" s="59"/>
      <c r="P614" s="107"/>
      <c r="Q614" s="107"/>
      <c r="R614" s="107"/>
    </row>
    <row r="615" spans="1:18" ht="15.75" customHeight="1" x14ac:dyDescent="0.25">
      <c r="A615" s="107"/>
      <c r="B615" s="107"/>
      <c r="C615" s="107"/>
      <c r="D615" s="107"/>
      <c r="E615" s="107"/>
      <c r="F615" s="107"/>
      <c r="G615" s="107"/>
      <c r="H615" s="107"/>
      <c r="I615" s="107"/>
      <c r="J615" s="107"/>
      <c r="K615" s="107"/>
      <c r="L615" s="107"/>
      <c r="M615" s="107"/>
      <c r="N615" s="107"/>
      <c r="O615" s="59"/>
      <c r="P615" s="107"/>
      <c r="Q615" s="107"/>
      <c r="R615" s="107"/>
    </row>
    <row r="616" spans="1:18" ht="15.75" customHeight="1" x14ac:dyDescent="0.25">
      <c r="A616" s="107"/>
      <c r="B616" s="107"/>
      <c r="C616" s="107"/>
      <c r="D616" s="107"/>
      <c r="E616" s="107"/>
      <c r="F616" s="107"/>
      <c r="G616" s="107"/>
      <c r="H616" s="107"/>
      <c r="I616" s="107"/>
      <c r="J616" s="107"/>
      <c r="K616" s="107"/>
      <c r="L616" s="107"/>
      <c r="M616" s="107"/>
      <c r="N616" s="107"/>
      <c r="O616" s="59"/>
      <c r="P616" s="107"/>
      <c r="Q616" s="107"/>
      <c r="R616" s="107"/>
    </row>
    <row r="617" spans="1:18" ht="15.75" customHeight="1" x14ac:dyDescent="0.25">
      <c r="A617" s="107"/>
      <c r="B617" s="107"/>
      <c r="C617" s="107"/>
      <c r="D617" s="107"/>
      <c r="E617" s="107"/>
      <c r="F617" s="107"/>
      <c r="G617" s="107"/>
      <c r="H617" s="107"/>
      <c r="I617" s="107"/>
      <c r="J617" s="107"/>
      <c r="K617" s="107"/>
      <c r="L617" s="107"/>
      <c r="M617" s="107"/>
      <c r="N617" s="107"/>
      <c r="O617" s="59"/>
      <c r="P617" s="107"/>
      <c r="Q617" s="107"/>
      <c r="R617" s="107"/>
    </row>
    <row r="618" spans="1:18" ht="15.75" customHeight="1" x14ac:dyDescent="0.25">
      <c r="A618" s="107"/>
      <c r="B618" s="107"/>
      <c r="C618" s="107"/>
      <c r="D618" s="107"/>
      <c r="E618" s="107"/>
      <c r="F618" s="107"/>
      <c r="G618" s="107"/>
      <c r="H618" s="107"/>
      <c r="I618" s="107"/>
      <c r="J618" s="107"/>
      <c r="K618" s="107"/>
      <c r="L618" s="107"/>
      <c r="M618" s="107"/>
      <c r="N618" s="107"/>
      <c r="O618" s="59"/>
      <c r="P618" s="107"/>
      <c r="Q618" s="107"/>
      <c r="R618" s="107"/>
    </row>
    <row r="619" spans="1:18" ht="15.75" customHeight="1" x14ac:dyDescent="0.25">
      <c r="A619" s="107"/>
      <c r="B619" s="107"/>
      <c r="C619" s="107"/>
      <c r="D619" s="107"/>
      <c r="E619" s="107"/>
      <c r="F619" s="107"/>
      <c r="G619" s="107"/>
      <c r="H619" s="107"/>
      <c r="I619" s="107"/>
      <c r="J619" s="107"/>
      <c r="K619" s="107"/>
      <c r="L619" s="107"/>
      <c r="M619" s="107"/>
      <c r="N619" s="107"/>
      <c r="O619" s="59"/>
      <c r="P619" s="107"/>
      <c r="Q619" s="107"/>
      <c r="R619" s="107"/>
    </row>
    <row r="620" spans="1:18" ht="15.75" customHeight="1" x14ac:dyDescent="0.25">
      <c r="A620" s="107"/>
      <c r="B620" s="107"/>
      <c r="C620" s="107"/>
      <c r="D620" s="107"/>
      <c r="E620" s="107"/>
      <c r="F620" s="107"/>
      <c r="G620" s="107"/>
      <c r="H620" s="107"/>
      <c r="I620" s="107"/>
      <c r="J620" s="107"/>
      <c r="K620" s="107"/>
      <c r="L620" s="107"/>
      <c r="M620" s="107"/>
      <c r="N620" s="107"/>
      <c r="O620" s="59"/>
      <c r="P620" s="107"/>
      <c r="Q620" s="107"/>
      <c r="R620" s="107"/>
    </row>
    <row r="621" spans="1:18" ht="15.75" customHeight="1" x14ac:dyDescent="0.25">
      <c r="A621" s="107"/>
      <c r="B621" s="107"/>
      <c r="C621" s="107"/>
      <c r="D621" s="107"/>
      <c r="E621" s="107"/>
      <c r="F621" s="107"/>
      <c r="G621" s="107"/>
      <c r="H621" s="107"/>
      <c r="I621" s="107"/>
      <c r="J621" s="107"/>
      <c r="K621" s="107"/>
      <c r="L621" s="107"/>
      <c r="M621" s="107"/>
      <c r="N621" s="107"/>
      <c r="O621" s="59"/>
      <c r="P621" s="107"/>
      <c r="Q621" s="107"/>
      <c r="R621" s="107"/>
    </row>
    <row r="622" spans="1:18" ht="15.75" customHeight="1" x14ac:dyDescent="0.25">
      <c r="A622" s="107"/>
      <c r="B622" s="107"/>
      <c r="C622" s="107"/>
      <c r="D622" s="107"/>
      <c r="E622" s="107"/>
      <c r="F622" s="107"/>
      <c r="G622" s="107"/>
      <c r="H622" s="107"/>
      <c r="I622" s="107"/>
      <c r="J622" s="107"/>
      <c r="K622" s="107"/>
      <c r="L622" s="107"/>
      <c r="M622" s="107"/>
      <c r="N622" s="107"/>
      <c r="O622" s="59"/>
      <c r="P622" s="107"/>
      <c r="Q622" s="107"/>
      <c r="R622" s="107"/>
    </row>
    <row r="623" spans="1:18" ht="15.75" customHeight="1" x14ac:dyDescent="0.25">
      <c r="A623" s="107"/>
      <c r="B623" s="107"/>
      <c r="C623" s="107"/>
      <c r="D623" s="107"/>
      <c r="E623" s="107"/>
      <c r="F623" s="107"/>
      <c r="G623" s="107"/>
      <c r="H623" s="107"/>
      <c r="I623" s="107"/>
      <c r="J623" s="107"/>
      <c r="K623" s="107"/>
      <c r="L623" s="107"/>
      <c r="M623" s="107"/>
      <c r="N623" s="107"/>
      <c r="O623" s="59"/>
      <c r="P623" s="107"/>
      <c r="Q623" s="107"/>
      <c r="R623" s="107"/>
    </row>
    <row r="624" spans="1:18" ht="15.75" customHeight="1" x14ac:dyDescent="0.25">
      <c r="A624" s="107"/>
      <c r="B624" s="107"/>
      <c r="C624" s="107"/>
      <c r="D624" s="107"/>
      <c r="E624" s="107"/>
      <c r="F624" s="107"/>
      <c r="G624" s="107"/>
      <c r="H624" s="107"/>
      <c r="I624" s="107"/>
      <c r="J624" s="107"/>
      <c r="K624" s="107"/>
      <c r="L624" s="107"/>
      <c r="M624" s="107"/>
      <c r="N624" s="107"/>
      <c r="O624" s="59"/>
      <c r="P624" s="107"/>
      <c r="Q624" s="107"/>
      <c r="R624" s="107"/>
    </row>
    <row r="625" spans="1:18" ht="15.75" customHeight="1" x14ac:dyDescent="0.25">
      <c r="A625" s="107"/>
      <c r="B625" s="107"/>
      <c r="C625" s="107"/>
      <c r="D625" s="107"/>
      <c r="E625" s="107"/>
      <c r="F625" s="107"/>
      <c r="G625" s="107"/>
      <c r="H625" s="107"/>
      <c r="I625" s="107"/>
      <c r="J625" s="107"/>
      <c r="K625" s="107"/>
      <c r="L625" s="107"/>
      <c r="M625" s="107"/>
      <c r="N625" s="107"/>
      <c r="O625" s="59"/>
      <c r="P625" s="107"/>
      <c r="Q625" s="107"/>
      <c r="R625" s="107"/>
    </row>
    <row r="626" spans="1:18" ht="15.75" customHeight="1" x14ac:dyDescent="0.25">
      <c r="A626" s="107"/>
      <c r="B626" s="107"/>
      <c r="C626" s="107"/>
      <c r="D626" s="107"/>
      <c r="E626" s="107"/>
      <c r="F626" s="107"/>
      <c r="G626" s="107"/>
      <c r="H626" s="107"/>
      <c r="I626" s="107"/>
      <c r="J626" s="107"/>
      <c r="K626" s="107"/>
      <c r="L626" s="107"/>
      <c r="M626" s="107"/>
      <c r="N626" s="107"/>
      <c r="O626" s="59"/>
      <c r="P626" s="107"/>
      <c r="Q626" s="107"/>
      <c r="R626" s="107"/>
    </row>
    <row r="627" spans="1:18" ht="15.75" customHeight="1" x14ac:dyDescent="0.25">
      <c r="A627" s="107"/>
      <c r="B627" s="107"/>
      <c r="C627" s="107"/>
      <c r="D627" s="107"/>
      <c r="E627" s="107"/>
      <c r="F627" s="107"/>
      <c r="G627" s="107"/>
      <c r="H627" s="107"/>
      <c r="I627" s="107"/>
      <c r="J627" s="107"/>
      <c r="K627" s="107"/>
      <c r="L627" s="107"/>
      <c r="M627" s="107"/>
      <c r="N627" s="107"/>
      <c r="O627" s="59"/>
      <c r="P627" s="107"/>
      <c r="Q627" s="107"/>
      <c r="R627" s="107"/>
    </row>
    <row r="628" spans="1:18" ht="15.75" customHeight="1" x14ac:dyDescent="0.25">
      <c r="A628" s="107"/>
      <c r="B628" s="107"/>
      <c r="C628" s="107"/>
      <c r="D628" s="107"/>
      <c r="E628" s="107"/>
      <c r="F628" s="107"/>
      <c r="G628" s="107"/>
      <c r="H628" s="107"/>
      <c r="I628" s="107"/>
      <c r="J628" s="107"/>
      <c r="K628" s="107"/>
      <c r="L628" s="107"/>
      <c r="M628" s="107"/>
      <c r="N628" s="107"/>
      <c r="O628" s="59"/>
      <c r="P628" s="107"/>
      <c r="Q628" s="107"/>
      <c r="R628" s="107"/>
    </row>
    <row r="629" spans="1:18" ht="15.75" customHeight="1" x14ac:dyDescent="0.25">
      <c r="A629" s="107"/>
      <c r="B629" s="107"/>
      <c r="C629" s="107"/>
      <c r="D629" s="107"/>
      <c r="E629" s="107"/>
      <c r="F629" s="107"/>
      <c r="G629" s="107"/>
      <c r="H629" s="107"/>
      <c r="I629" s="107"/>
      <c r="J629" s="107"/>
      <c r="K629" s="107"/>
      <c r="L629" s="107"/>
      <c r="M629" s="107"/>
      <c r="N629" s="107"/>
      <c r="O629" s="59"/>
      <c r="P629" s="107"/>
      <c r="Q629" s="107"/>
      <c r="R629" s="107"/>
    </row>
    <row r="630" spans="1:18" ht="15.75" customHeight="1" x14ac:dyDescent="0.25">
      <c r="A630" s="107"/>
      <c r="B630" s="107"/>
      <c r="C630" s="107"/>
      <c r="D630" s="107"/>
      <c r="E630" s="107"/>
      <c r="F630" s="107"/>
      <c r="G630" s="107"/>
      <c r="H630" s="107"/>
      <c r="I630" s="107"/>
      <c r="J630" s="107"/>
      <c r="K630" s="107"/>
      <c r="L630" s="107"/>
      <c r="M630" s="107"/>
      <c r="N630" s="107"/>
      <c r="O630" s="59"/>
      <c r="P630" s="107"/>
      <c r="Q630" s="107"/>
      <c r="R630" s="107"/>
    </row>
    <row r="631" spans="1:18" ht="15.75" customHeight="1" x14ac:dyDescent="0.25">
      <c r="A631" s="107"/>
      <c r="B631" s="107"/>
      <c r="C631" s="107"/>
      <c r="D631" s="107"/>
      <c r="E631" s="107"/>
      <c r="F631" s="107"/>
      <c r="G631" s="107"/>
      <c r="H631" s="107"/>
      <c r="I631" s="107"/>
      <c r="J631" s="107"/>
      <c r="K631" s="107"/>
      <c r="L631" s="107"/>
      <c r="M631" s="107"/>
      <c r="N631" s="107"/>
      <c r="O631" s="59"/>
      <c r="P631" s="107"/>
      <c r="Q631" s="107"/>
      <c r="R631" s="107"/>
    </row>
    <row r="632" spans="1:18" ht="15.75" customHeight="1" x14ac:dyDescent="0.25">
      <c r="A632" s="107"/>
      <c r="B632" s="107"/>
      <c r="C632" s="107"/>
      <c r="D632" s="107"/>
      <c r="E632" s="107"/>
      <c r="F632" s="107"/>
      <c r="G632" s="107"/>
      <c r="H632" s="107"/>
      <c r="I632" s="107"/>
      <c r="J632" s="107"/>
      <c r="K632" s="107"/>
      <c r="L632" s="107"/>
      <c r="M632" s="107"/>
      <c r="N632" s="107"/>
      <c r="O632" s="59"/>
      <c r="P632" s="107"/>
      <c r="Q632" s="107"/>
      <c r="R632" s="107"/>
    </row>
    <row r="633" spans="1:18" ht="15.75" customHeight="1" x14ac:dyDescent="0.25">
      <c r="A633" s="107"/>
      <c r="B633" s="107"/>
      <c r="C633" s="107"/>
      <c r="D633" s="107"/>
      <c r="E633" s="107"/>
      <c r="F633" s="107"/>
      <c r="G633" s="107"/>
      <c r="H633" s="107"/>
      <c r="I633" s="107"/>
      <c r="J633" s="107"/>
      <c r="K633" s="107"/>
      <c r="L633" s="107"/>
      <c r="M633" s="107"/>
      <c r="N633" s="107"/>
      <c r="O633" s="59"/>
      <c r="P633" s="107"/>
      <c r="Q633" s="107"/>
      <c r="R633" s="107"/>
    </row>
    <row r="634" spans="1:18" ht="15.75" customHeight="1" x14ac:dyDescent="0.25">
      <c r="A634" s="107"/>
      <c r="B634" s="107"/>
      <c r="C634" s="107"/>
      <c r="D634" s="107"/>
      <c r="E634" s="107"/>
      <c r="F634" s="107"/>
      <c r="G634" s="107"/>
      <c r="H634" s="107"/>
      <c r="I634" s="107"/>
      <c r="J634" s="107"/>
      <c r="K634" s="107"/>
      <c r="L634" s="107"/>
      <c r="M634" s="107"/>
      <c r="N634" s="107"/>
      <c r="O634" s="59"/>
      <c r="P634" s="107"/>
      <c r="Q634" s="107"/>
      <c r="R634" s="107"/>
    </row>
    <row r="635" spans="1:18" ht="15.75" customHeight="1" x14ac:dyDescent="0.25">
      <c r="A635" s="107"/>
      <c r="B635" s="107"/>
      <c r="C635" s="107"/>
      <c r="D635" s="107"/>
      <c r="E635" s="107"/>
      <c r="F635" s="107"/>
      <c r="G635" s="107"/>
      <c r="H635" s="107"/>
      <c r="I635" s="107"/>
      <c r="J635" s="107"/>
      <c r="K635" s="107"/>
      <c r="L635" s="107"/>
      <c r="M635" s="107"/>
      <c r="N635" s="107"/>
      <c r="O635" s="59"/>
      <c r="P635" s="107"/>
      <c r="Q635" s="107"/>
      <c r="R635" s="107"/>
    </row>
    <row r="636" spans="1:18" ht="15.75" customHeight="1" x14ac:dyDescent="0.25">
      <c r="A636" s="107"/>
      <c r="B636" s="107"/>
      <c r="C636" s="107"/>
      <c r="D636" s="107"/>
      <c r="E636" s="107"/>
      <c r="F636" s="107"/>
      <c r="G636" s="107"/>
      <c r="H636" s="107"/>
      <c r="I636" s="107"/>
      <c r="J636" s="107"/>
      <c r="K636" s="107"/>
      <c r="L636" s="107"/>
      <c r="M636" s="107"/>
      <c r="N636" s="107"/>
      <c r="O636" s="59"/>
      <c r="P636" s="107"/>
      <c r="Q636" s="107"/>
      <c r="R636" s="107"/>
    </row>
    <row r="637" spans="1:18" ht="15.75" customHeight="1" x14ac:dyDescent="0.25">
      <c r="A637" s="107"/>
      <c r="B637" s="107"/>
      <c r="C637" s="107"/>
      <c r="D637" s="107"/>
      <c r="E637" s="107"/>
      <c r="F637" s="107"/>
      <c r="G637" s="107"/>
      <c r="H637" s="107"/>
      <c r="I637" s="107"/>
      <c r="J637" s="107"/>
      <c r="K637" s="107"/>
      <c r="L637" s="107"/>
      <c r="M637" s="107"/>
      <c r="N637" s="107"/>
      <c r="O637" s="59"/>
      <c r="P637" s="107"/>
      <c r="Q637" s="107"/>
      <c r="R637" s="107"/>
    </row>
    <row r="638" spans="1:18" ht="15.75" customHeight="1" x14ac:dyDescent="0.25">
      <c r="A638" s="107"/>
      <c r="B638" s="107"/>
      <c r="C638" s="107"/>
      <c r="D638" s="107"/>
      <c r="E638" s="107"/>
      <c r="F638" s="107"/>
      <c r="G638" s="107"/>
      <c r="H638" s="107"/>
      <c r="I638" s="107"/>
      <c r="J638" s="107"/>
      <c r="K638" s="107"/>
      <c r="L638" s="107"/>
      <c r="M638" s="107"/>
      <c r="N638" s="107"/>
      <c r="O638" s="59"/>
      <c r="P638" s="107"/>
      <c r="Q638" s="107"/>
      <c r="R638" s="107"/>
    </row>
    <row r="639" spans="1:18" ht="15.75" customHeight="1" x14ac:dyDescent="0.25">
      <c r="A639" s="107"/>
      <c r="B639" s="107"/>
      <c r="C639" s="107"/>
      <c r="D639" s="107"/>
      <c r="E639" s="107"/>
      <c r="F639" s="107"/>
      <c r="G639" s="107"/>
      <c r="H639" s="107"/>
      <c r="I639" s="107"/>
      <c r="J639" s="107"/>
      <c r="K639" s="107"/>
      <c r="L639" s="107"/>
      <c r="M639" s="107"/>
      <c r="N639" s="107"/>
      <c r="O639" s="59"/>
      <c r="P639" s="107"/>
      <c r="Q639" s="107"/>
      <c r="R639" s="107"/>
    </row>
    <row r="640" spans="1:18" ht="15.75" customHeight="1" x14ac:dyDescent="0.25">
      <c r="A640" s="107"/>
      <c r="B640" s="107"/>
      <c r="C640" s="107"/>
      <c r="D640" s="107"/>
      <c r="E640" s="107"/>
      <c r="F640" s="107"/>
      <c r="G640" s="107"/>
      <c r="H640" s="107"/>
      <c r="I640" s="107"/>
      <c r="J640" s="107"/>
      <c r="K640" s="107"/>
      <c r="L640" s="107"/>
      <c r="M640" s="107"/>
      <c r="N640" s="107"/>
      <c r="O640" s="59"/>
      <c r="P640" s="107"/>
      <c r="Q640" s="107"/>
      <c r="R640" s="107"/>
    </row>
    <row r="641" spans="1:18" ht="15.75" customHeight="1" x14ac:dyDescent="0.25">
      <c r="A641" s="107"/>
      <c r="B641" s="107"/>
      <c r="C641" s="107"/>
      <c r="D641" s="107"/>
      <c r="E641" s="107"/>
      <c r="F641" s="107"/>
      <c r="G641" s="107"/>
      <c r="H641" s="107"/>
      <c r="I641" s="107"/>
      <c r="J641" s="107"/>
      <c r="K641" s="107"/>
      <c r="L641" s="107"/>
      <c r="M641" s="107"/>
      <c r="N641" s="107"/>
      <c r="O641" s="59"/>
      <c r="P641" s="107"/>
      <c r="Q641" s="107"/>
      <c r="R641" s="107"/>
    </row>
    <row r="642" spans="1:18" ht="15.75" customHeight="1" x14ac:dyDescent="0.25">
      <c r="A642" s="107"/>
      <c r="B642" s="107"/>
      <c r="C642" s="107"/>
      <c r="D642" s="107"/>
      <c r="E642" s="107"/>
      <c r="F642" s="107"/>
      <c r="G642" s="107"/>
      <c r="H642" s="107"/>
      <c r="I642" s="107"/>
      <c r="J642" s="107"/>
      <c r="K642" s="107"/>
      <c r="L642" s="107"/>
      <c r="M642" s="107"/>
      <c r="N642" s="107"/>
      <c r="O642" s="59"/>
      <c r="P642" s="107"/>
      <c r="Q642" s="107"/>
      <c r="R642" s="107"/>
    </row>
    <row r="643" spans="1:18" ht="15.75" customHeight="1" x14ac:dyDescent="0.25">
      <c r="A643" s="107"/>
      <c r="B643" s="107"/>
      <c r="C643" s="107"/>
      <c r="D643" s="107"/>
      <c r="E643" s="107"/>
      <c r="F643" s="107"/>
      <c r="G643" s="107"/>
      <c r="H643" s="107"/>
      <c r="I643" s="107"/>
      <c r="J643" s="107"/>
      <c r="K643" s="107"/>
      <c r="L643" s="107"/>
      <c r="M643" s="107"/>
      <c r="N643" s="107"/>
      <c r="O643" s="59"/>
      <c r="P643" s="107"/>
      <c r="Q643" s="107"/>
      <c r="R643" s="107"/>
    </row>
    <row r="644" spans="1:18" ht="15.75" customHeight="1" x14ac:dyDescent="0.25">
      <c r="A644" s="107"/>
      <c r="B644" s="107"/>
      <c r="C644" s="107"/>
      <c r="D644" s="107"/>
      <c r="E644" s="107"/>
      <c r="F644" s="107"/>
      <c r="G644" s="107"/>
      <c r="H644" s="107"/>
      <c r="I644" s="107"/>
      <c r="J644" s="107"/>
      <c r="K644" s="107"/>
      <c r="L644" s="107"/>
      <c r="M644" s="107"/>
      <c r="N644" s="107"/>
      <c r="O644" s="59"/>
      <c r="P644" s="107"/>
      <c r="Q644" s="107"/>
      <c r="R644" s="107"/>
    </row>
    <row r="645" spans="1:18" ht="15.75" customHeight="1" x14ac:dyDescent="0.25">
      <c r="A645" s="107"/>
      <c r="B645" s="107"/>
      <c r="C645" s="107"/>
      <c r="D645" s="107"/>
      <c r="E645" s="107"/>
      <c r="F645" s="107"/>
      <c r="G645" s="107"/>
      <c r="H645" s="107"/>
      <c r="I645" s="107"/>
      <c r="J645" s="107"/>
      <c r="K645" s="107"/>
      <c r="L645" s="107"/>
      <c r="M645" s="107"/>
      <c r="N645" s="107"/>
      <c r="O645" s="59"/>
      <c r="P645" s="107"/>
      <c r="Q645" s="107"/>
      <c r="R645" s="107"/>
    </row>
    <row r="646" spans="1:18" ht="15.75" customHeight="1" x14ac:dyDescent="0.25">
      <c r="A646" s="107"/>
      <c r="B646" s="107"/>
      <c r="C646" s="107"/>
      <c r="D646" s="107"/>
      <c r="E646" s="107"/>
      <c r="F646" s="107"/>
      <c r="G646" s="107"/>
      <c r="H646" s="107"/>
      <c r="I646" s="107"/>
      <c r="J646" s="107"/>
      <c r="K646" s="107"/>
      <c r="L646" s="107"/>
      <c r="M646" s="107"/>
      <c r="N646" s="107"/>
      <c r="O646" s="59"/>
      <c r="P646" s="107"/>
      <c r="Q646" s="107"/>
      <c r="R646" s="107"/>
    </row>
    <row r="647" spans="1:18" ht="15.75" customHeight="1" x14ac:dyDescent="0.25">
      <c r="A647" s="107"/>
      <c r="B647" s="107"/>
      <c r="C647" s="107"/>
      <c r="D647" s="107"/>
      <c r="E647" s="107"/>
      <c r="F647" s="107"/>
      <c r="G647" s="107"/>
      <c r="H647" s="107"/>
      <c r="I647" s="107"/>
      <c r="J647" s="107"/>
      <c r="K647" s="107"/>
      <c r="L647" s="107"/>
      <c r="M647" s="107"/>
      <c r="N647" s="107"/>
      <c r="O647" s="59"/>
      <c r="P647" s="107"/>
      <c r="Q647" s="107"/>
      <c r="R647" s="107"/>
    </row>
    <row r="648" spans="1:18" ht="15.75" customHeight="1" x14ac:dyDescent="0.25">
      <c r="A648" s="107"/>
      <c r="B648" s="107"/>
      <c r="C648" s="107"/>
      <c r="D648" s="107"/>
      <c r="E648" s="107"/>
      <c r="F648" s="107"/>
      <c r="G648" s="107"/>
      <c r="H648" s="107"/>
      <c r="I648" s="107"/>
      <c r="J648" s="107"/>
      <c r="K648" s="107"/>
      <c r="L648" s="107"/>
      <c r="M648" s="107"/>
      <c r="N648" s="107"/>
      <c r="O648" s="59"/>
      <c r="P648" s="107"/>
      <c r="Q648" s="107"/>
      <c r="R648" s="107"/>
    </row>
    <row r="649" spans="1:18" ht="15.75" customHeight="1" x14ac:dyDescent="0.25">
      <c r="A649" s="107"/>
      <c r="B649" s="107"/>
      <c r="C649" s="107"/>
      <c r="D649" s="107"/>
      <c r="E649" s="107"/>
      <c r="F649" s="107"/>
      <c r="G649" s="107"/>
      <c r="H649" s="107"/>
      <c r="I649" s="107"/>
      <c r="J649" s="107"/>
      <c r="K649" s="107"/>
      <c r="L649" s="107"/>
      <c r="M649" s="107"/>
      <c r="N649" s="107"/>
      <c r="O649" s="59"/>
      <c r="P649" s="107"/>
      <c r="Q649" s="107"/>
      <c r="R649" s="107"/>
    </row>
    <row r="650" spans="1:18" ht="15.75" customHeight="1" x14ac:dyDescent="0.25">
      <c r="A650" s="107"/>
      <c r="B650" s="107"/>
      <c r="C650" s="107"/>
      <c r="D650" s="107"/>
      <c r="E650" s="107"/>
      <c r="F650" s="107"/>
      <c r="G650" s="107"/>
      <c r="H650" s="107"/>
      <c r="I650" s="107"/>
      <c r="J650" s="107"/>
      <c r="K650" s="107"/>
      <c r="L650" s="107"/>
      <c r="M650" s="107"/>
      <c r="N650" s="107"/>
      <c r="O650" s="59"/>
      <c r="P650" s="107"/>
      <c r="Q650" s="107"/>
      <c r="R650" s="107"/>
    </row>
    <row r="651" spans="1:18" ht="15.75" customHeight="1" x14ac:dyDescent="0.25">
      <c r="A651" s="107"/>
      <c r="B651" s="107"/>
      <c r="C651" s="107"/>
      <c r="D651" s="107"/>
      <c r="E651" s="107"/>
      <c r="F651" s="107"/>
      <c r="G651" s="107"/>
      <c r="H651" s="107"/>
      <c r="I651" s="107"/>
      <c r="J651" s="107"/>
      <c r="K651" s="107"/>
      <c r="L651" s="107"/>
      <c r="M651" s="107"/>
      <c r="N651" s="107"/>
      <c r="O651" s="59"/>
      <c r="P651" s="107"/>
      <c r="Q651" s="107"/>
      <c r="R651" s="107"/>
    </row>
    <row r="652" spans="1:18" ht="15.75" customHeight="1" x14ac:dyDescent="0.25">
      <c r="A652" s="107"/>
      <c r="B652" s="107"/>
      <c r="C652" s="107"/>
      <c r="D652" s="107"/>
      <c r="E652" s="107"/>
      <c r="F652" s="107"/>
      <c r="G652" s="107"/>
      <c r="H652" s="107"/>
      <c r="I652" s="107"/>
      <c r="J652" s="107"/>
      <c r="K652" s="107"/>
      <c r="L652" s="107"/>
      <c r="M652" s="107"/>
      <c r="N652" s="107"/>
      <c r="O652" s="59"/>
      <c r="P652" s="107"/>
      <c r="Q652" s="107"/>
      <c r="R652" s="107"/>
    </row>
    <row r="653" spans="1:18" ht="15.75" customHeight="1" x14ac:dyDescent="0.25">
      <c r="A653" s="107"/>
      <c r="B653" s="107"/>
      <c r="C653" s="107"/>
      <c r="D653" s="107"/>
      <c r="E653" s="107"/>
      <c r="F653" s="107"/>
      <c r="G653" s="107"/>
      <c r="H653" s="107"/>
      <c r="I653" s="107"/>
      <c r="J653" s="107"/>
      <c r="K653" s="107"/>
      <c r="L653" s="107"/>
      <c r="M653" s="107"/>
      <c r="N653" s="107"/>
      <c r="O653" s="59"/>
      <c r="P653" s="107"/>
      <c r="Q653" s="107"/>
      <c r="R653" s="107"/>
    </row>
    <row r="654" spans="1:18" ht="15.75" customHeight="1" x14ac:dyDescent="0.25">
      <c r="A654" s="107"/>
      <c r="B654" s="107"/>
      <c r="C654" s="107"/>
      <c r="D654" s="107"/>
      <c r="E654" s="107"/>
      <c r="F654" s="107"/>
      <c r="G654" s="107"/>
      <c r="H654" s="107"/>
      <c r="I654" s="107"/>
      <c r="J654" s="107"/>
      <c r="K654" s="107"/>
      <c r="L654" s="107"/>
      <c r="M654" s="107"/>
      <c r="N654" s="107"/>
      <c r="O654" s="59"/>
      <c r="P654" s="107"/>
      <c r="Q654" s="107"/>
      <c r="R654" s="107"/>
    </row>
    <row r="655" spans="1:18" ht="15.75" customHeight="1" x14ac:dyDescent="0.25">
      <c r="A655" s="107"/>
      <c r="B655" s="107"/>
      <c r="C655" s="107"/>
      <c r="D655" s="107"/>
      <c r="E655" s="107"/>
      <c r="F655" s="107"/>
      <c r="G655" s="107"/>
      <c r="H655" s="107"/>
      <c r="I655" s="107"/>
      <c r="J655" s="107"/>
      <c r="K655" s="107"/>
      <c r="L655" s="107"/>
      <c r="M655" s="107"/>
      <c r="N655" s="107"/>
      <c r="O655" s="59"/>
      <c r="P655" s="107"/>
      <c r="Q655" s="107"/>
      <c r="R655" s="107"/>
    </row>
    <row r="656" spans="1:18" ht="15.75" customHeight="1" x14ac:dyDescent="0.25">
      <c r="A656" s="107"/>
      <c r="B656" s="107"/>
      <c r="C656" s="107"/>
      <c r="D656" s="107"/>
      <c r="E656" s="107"/>
      <c r="F656" s="107"/>
      <c r="G656" s="107"/>
      <c r="H656" s="107"/>
      <c r="I656" s="107"/>
      <c r="J656" s="107"/>
      <c r="K656" s="107"/>
      <c r="L656" s="107"/>
      <c r="M656" s="107"/>
      <c r="N656" s="107"/>
      <c r="O656" s="59"/>
      <c r="P656" s="107"/>
      <c r="Q656" s="107"/>
      <c r="R656" s="107"/>
    </row>
    <row r="657" spans="1:18" ht="15.75" customHeight="1" x14ac:dyDescent="0.25">
      <c r="A657" s="107"/>
      <c r="B657" s="107"/>
      <c r="C657" s="107"/>
      <c r="D657" s="107"/>
      <c r="E657" s="107"/>
      <c r="F657" s="107"/>
      <c r="G657" s="107"/>
      <c r="H657" s="107"/>
      <c r="I657" s="107"/>
      <c r="J657" s="107"/>
      <c r="K657" s="107"/>
      <c r="L657" s="107"/>
      <c r="M657" s="107"/>
      <c r="N657" s="107"/>
      <c r="O657" s="59"/>
      <c r="P657" s="107"/>
      <c r="Q657" s="107"/>
      <c r="R657" s="107"/>
    </row>
    <row r="658" spans="1:18" ht="15.75" customHeight="1" x14ac:dyDescent="0.25">
      <c r="A658" s="107"/>
      <c r="B658" s="107"/>
      <c r="C658" s="107"/>
      <c r="D658" s="107"/>
      <c r="E658" s="107"/>
      <c r="F658" s="107"/>
      <c r="G658" s="107"/>
      <c r="H658" s="107"/>
      <c r="I658" s="107"/>
      <c r="J658" s="107"/>
      <c r="K658" s="107"/>
      <c r="L658" s="107"/>
      <c r="M658" s="107"/>
      <c r="N658" s="107"/>
      <c r="O658" s="59"/>
      <c r="P658" s="107"/>
      <c r="Q658" s="107"/>
      <c r="R658" s="107"/>
    </row>
    <row r="659" spans="1:18" ht="15.75" customHeight="1" x14ac:dyDescent="0.25">
      <c r="A659" s="107"/>
      <c r="B659" s="107"/>
      <c r="C659" s="107"/>
      <c r="D659" s="107"/>
      <c r="E659" s="107"/>
      <c r="F659" s="107"/>
      <c r="G659" s="107"/>
      <c r="H659" s="107"/>
      <c r="I659" s="107"/>
      <c r="J659" s="107"/>
      <c r="K659" s="107"/>
      <c r="L659" s="107"/>
      <c r="M659" s="107"/>
      <c r="N659" s="107"/>
      <c r="O659" s="59"/>
      <c r="P659" s="107"/>
      <c r="Q659" s="107"/>
      <c r="R659" s="107"/>
    </row>
    <row r="660" spans="1:18" ht="15.75" customHeight="1" x14ac:dyDescent="0.25">
      <c r="A660" s="107"/>
      <c r="B660" s="107"/>
      <c r="C660" s="107"/>
      <c r="D660" s="107"/>
      <c r="E660" s="107"/>
      <c r="F660" s="107"/>
      <c r="G660" s="107"/>
      <c r="H660" s="107"/>
      <c r="I660" s="107"/>
      <c r="J660" s="107"/>
      <c r="K660" s="107"/>
      <c r="L660" s="107"/>
      <c r="M660" s="107"/>
      <c r="N660" s="107"/>
      <c r="O660" s="59"/>
      <c r="P660" s="107"/>
      <c r="Q660" s="107"/>
      <c r="R660" s="107"/>
    </row>
    <row r="661" spans="1:18" ht="15.75" customHeight="1" x14ac:dyDescent="0.25">
      <c r="A661" s="107"/>
      <c r="B661" s="107"/>
      <c r="C661" s="107"/>
      <c r="D661" s="107"/>
      <c r="E661" s="107"/>
      <c r="F661" s="107"/>
      <c r="G661" s="107"/>
      <c r="H661" s="107"/>
      <c r="I661" s="107"/>
      <c r="J661" s="107"/>
      <c r="K661" s="107"/>
      <c r="L661" s="107"/>
      <c r="M661" s="107"/>
      <c r="N661" s="107"/>
      <c r="O661" s="59"/>
      <c r="P661" s="107"/>
      <c r="Q661" s="107"/>
      <c r="R661" s="107"/>
    </row>
    <row r="662" spans="1:18" ht="15.75" customHeight="1" x14ac:dyDescent="0.25">
      <c r="A662" s="107"/>
      <c r="B662" s="107"/>
      <c r="C662" s="107"/>
      <c r="D662" s="107"/>
      <c r="E662" s="107"/>
      <c r="F662" s="107"/>
      <c r="G662" s="107"/>
      <c r="H662" s="107"/>
      <c r="I662" s="107"/>
      <c r="J662" s="107"/>
      <c r="K662" s="107"/>
      <c r="L662" s="107"/>
      <c r="M662" s="107"/>
      <c r="N662" s="107"/>
      <c r="O662" s="59"/>
      <c r="P662" s="107"/>
      <c r="Q662" s="107"/>
      <c r="R662" s="107"/>
    </row>
    <row r="663" spans="1:18" ht="15.75" customHeight="1" x14ac:dyDescent="0.25">
      <c r="A663" s="107"/>
      <c r="B663" s="107"/>
      <c r="C663" s="107"/>
      <c r="D663" s="107"/>
      <c r="E663" s="107"/>
      <c r="F663" s="107"/>
      <c r="G663" s="107"/>
      <c r="H663" s="107"/>
      <c r="I663" s="107"/>
      <c r="J663" s="107"/>
      <c r="K663" s="107"/>
      <c r="L663" s="107"/>
      <c r="M663" s="107"/>
      <c r="N663" s="107"/>
      <c r="O663" s="59"/>
      <c r="P663" s="107"/>
      <c r="Q663" s="107"/>
      <c r="R663" s="107"/>
    </row>
    <row r="664" spans="1:18" ht="15.75" customHeight="1" x14ac:dyDescent="0.25">
      <c r="A664" s="107"/>
      <c r="B664" s="107"/>
      <c r="C664" s="107"/>
      <c r="D664" s="107"/>
      <c r="E664" s="107"/>
      <c r="F664" s="107"/>
      <c r="G664" s="107"/>
      <c r="H664" s="107"/>
      <c r="I664" s="107"/>
      <c r="J664" s="107"/>
      <c r="K664" s="107"/>
      <c r="L664" s="107"/>
      <c r="M664" s="107"/>
      <c r="N664" s="107"/>
      <c r="O664" s="59"/>
      <c r="P664" s="107"/>
      <c r="Q664" s="107"/>
      <c r="R664" s="107"/>
    </row>
    <row r="665" spans="1:18" ht="15.75" customHeight="1" x14ac:dyDescent="0.25">
      <c r="A665" s="107"/>
      <c r="B665" s="107"/>
      <c r="C665" s="107"/>
      <c r="D665" s="107"/>
      <c r="E665" s="107"/>
      <c r="F665" s="107"/>
      <c r="G665" s="107"/>
      <c r="H665" s="107"/>
      <c r="I665" s="107"/>
      <c r="J665" s="107"/>
      <c r="K665" s="107"/>
      <c r="L665" s="107"/>
      <c r="M665" s="107"/>
      <c r="N665" s="107"/>
      <c r="O665" s="59"/>
      <c r="P665" s="107"/>
      <c r="Q665" s="107"/>
      <c r="R665" s="107"/>
    </row>
    <row r="666" spans="1:18" ht="15.75" customHeight="1" x14ac:dyDescent="0.25">
      <c r="A666" s="107"/>
      <c r="B666" s="107"/>
      <c r="C666" s="107"/>
      <c r="D666" s="107"/>
      <c r="E666" s="107"/>
      <c r="F666" s="107"/>
      <c r="G666" s="107"/>
      <c r="H666" s="107"/>
      <c r="I666" s="107"/>
      <c r="J666" s="107"/>
      <c r="K666" s="107"/>
      <c r="L666" s="107"/>
      <c r="M666" s="107"/>
      <c r="N666" s="107"/>
      <c r="O666" s="59"/>
      <c r="P666" s="107"/>
      <c r="Q666" s="107"/>
      <c r="R666" s="107"/>
    </row>
    <row r="667" spans="1:18" ht="15.75" customHeight="1" x14ac:dyDescent="0.25">
      <c r="A667" s="107"/>
      <c r="B667" s="107"/>
      <c r="C667" s="107"/>
      <c r="D667" s="107"/>
      <c r="E667" s="107"/>
      <c r="F667" s="107"/>
      <c r="G667" s="107"/>
      <c r="H667" s="107"/>
      <c r="I667" s="107"/>
      <c r="J667" s="107"/>
      <c r="K667" s="107"/>
      <c r="L667" s="107"/>
      <c r="M667" s="107"/>
      <c r="N667" s="107"/>
      <c r="O667" s="59"/>
      <c r="P667" s="107"/>
      <c r="Q667" s="107"/>
      <c r="R667" s="107"/>
    </row>
    <row r="668" spans="1:18" ht="15.75" customHeight="1" x14ac:dyDescent="0.25">
      <c r="A668" s="107"/>
      <c r="B668" s="107"/>
      <c r="C668" s="107"/>
      <c r="D668" s="107"/>
      <c r="E668" s="107"/>
      <c r="F668" s="107"/>
      <c r="G668" s="107"/>
      <c r="H668" s="107"/>
      <c r="I668" s="107"/>
      <c r="J668" s="107"/>
      <c r="K668" s="107"/>
      <c r="L668" s="107"/>
      <c r="M668" s="107"/>
      <c r="N668" s="107"/>
      <c r="O668" s="59"/>
      <c r="P668" s="107"/>
      <c r="Q668" s="107"/>
      <c r="R668" s="107"/>
    </row>
    <row r="669" spans="1:18" ht="15.75" customHeight="1" x14ac:dyDescent="0.25">
      <c r="A669" s="107"/>
      <c r="B669" s="107"/>
      <c r="C669" s="107"/>
      <c r="D669" s="107"/>
      <c r="E669" s="107"/>
      <c r="F669" s="107"/>
      <c r="G669" s="107"/>
      <c r="H669" s="107"/>
      <c r="I669" s="107"/>
      <c r="J669" s="107"/>
      <c r="K669" s="107"/>
      <c r="L669" s="107"/>
      <c r="M669" s="107"/>
      <c r="N669" s="107"/>
      <c r="O669" s="59"/>
      <c r="P669" s="107"/>
      <c r="Q669" s="107"/>
      <c r="R669" s="107"/>
    </row>
    <row r="670" spans="1:18" ht="15.75" customHeight="1" x14ac:dyDescent="0.25">
      <c r="A670" s="107"/>
      <c r="B670" s="107"/>
      <c r="C670" s="107"/>
      <c r="D670" s="107"/>
      <c r="E670" s="107"/>
      <c r="F670" s="107"/>
      <c r="G670" s="107"/>
      <c r="H670" s="107"/>
      <c r="I670" s="107"/>
      <c r="J670" s="107"/>
      <c r="K670" s="107"/>
      <c r="L670" s="107"/>
      <c r="M670" s="107"/>
      <c r="N670" s="107"/>
      <c r="O670" s="59"/>
      <c r="P670" s="107"/>
      <c r="Q670" s="107"/>
      <c r="R670" s="107"/>
    </row>
    <row r="671" spans="1:18" ht="15.75" customHeight="1" x14ac:dyDescent="0.25">
      <c r="A671" s="107"/>
      <c r="B671" s="107"/>
      <c r="C671" s="107"/>
      <c r="D671" s="107"/>
      <c r="E671" s="107"/>
      <c r="F671" s="107"/>
      <c r="G671" s="107"/>
      <c r="H671" s="107"/>
      <c r="I671" s="107"/>
      <c r="J671" s="107"/>
      <c r="K671" s="107"/>
      <c r="L671" s="107"/>
      <c r="M671" s="107"/>
      <c r="N671" s="107"/>
      <c r="O671" s="59"/>
      <c r="P671" s="107"/>
      <c r="Q671" s="107"/>
      <c r="R671" s="107"/>
    </row>
    <row r="672" spans="1:18" ht="15.75" customHeight="1" x14ac:dyDescent="0.25">
      <c r="A672" s="107"/>
      <c r="B672" s="107"/>
      <c r="C672" s="107"/>
      <c r="D672" s="107"/>
      <c r="E672" s="107"/>
      <c r="F672" s="107"/>
      <c r="G672" s="107"/>
      <c r="H672" s="107"/>
      <c r="I672" s="107"/>
      <c r="J672" s="107"/>
      <c r="K672" s="107"/>
      <c r="L672" s="107"/>
      <c r="M672" s="107"/>
      <c r="N672" s="107"/>
      <c r="O672" s="59"/>
      <c r="P672" s="107"/>
      <c r="Q672" s="107"/>
      <c r="R672" s="107"/>
    </row>
    <row r="673" spans="1:18" ht="15.75" customHeight="1" x14ac:dyDescent="0.25">
      <c r="A673" s="107"/>
      <c r="B673" s="107"/>
      <c r="C673" s="107"/>
      <c r="D673" s="107"/>
      <c r="E673" s="107"/>
      <c r="F673" s="107"/>
      <c r="G673" s="107"/>
      <c r="H673" s="107"/>
      <c r="I673" s="107"/>
      <c r="J673" s="107"/>
      <c r="K673" s="107"/>
      <c r="L673" s="107"/>
      <c r="M673" s="107"/>
      <c r="N673" s="107"/>
      <c r="O673" s="59"/>
      <c r="P673" s="107"/>
      <c r="Q673" s="107"/>
      <c r="R673" s="107"/>
    </row>
    <row r="674" spans="1:18" ht="15.75" customHeight="1" x14ac:dyDescent="0.25">
      <c r="A674" s="107"/>
      <c r="B674" s="107"/>
      <c r="C674" s="107"/>
      <c r="D674" s="107"/>
      <c r="E674" s="107"/>
      <c r="F674" s="107"/>
      <c r="G674" s="107"/>
      <c r="H674" s="107"/>
      <c r="I674" s="107"/>
      <c r="J674" s="107"/>
      <c r="K674" s="107"/>
      <c r="L674" s="107"/>
      <c r="M674" s="107"/>
      <c r="N674" s="107"/>
      <c r="O674" s="59"/>
      <c r="P674" s="107"/>
      <c r="Q674" s="107"/>
      <c r="R674" s="107"/>
    </row>
    <row r="675" spans="1:18" ht="15.75" customHeight="1" x14ac:dyDescent="0.25">
      <c r="A675" s="107"/>
      <c r="B675" s="107"/>
      <c r="C675" s="107"/>
      <c r="D675" s="107"/>
      <c r="E675" s="107"/>
      <c r="F675" s="107"/>
      <c r="G675" s="107"/>
      <c r="H675" s="107"/>
      <c r="I675" s="107"/>
      <c r="J675" s="107"/>
      <c r="K675" s="107"/>
      <c r="L675" s="107"/>
      <c r="M675" s="107"/>
      <c r="N675" s="107"/>
      <c r="O675" s="59"/>
      <c r="P675" s="107"/>
      <c r="Q675" s="107"/>
      <c r="R675" s="107"/>
    </row>
    <row r="676" spans="1:18" ht="15.75" customHeight="1" x14ac:dyDescent="0.25">
      <c r="A676" s="107"/>
      <c r="B676" s="107"/>
      <c r="C676" s="107"/>
      <c r="D676" s="107"/>
      <c r="E676" s="107"/>
      <c r="F676" s="107"/>
      <c r="G676" s="107"/>
      <c r="H676" s="107"/>
      <c r="I676" s="107"/>
      <c r="J676" s="107"/>
      <c r="K676" s="107"/>
      <c r="L676" s="107"/>
      <c r="M676" s="107"/>
      <c r="N676" s="107"/>
      <c r="O676" s="59"/>
      <c r="P676" s="107"/>
      <c r="Q676" s="107"/>
      <c r="R676" s="107"/>
    </row>
    <row r="677" spans="1:18" ht="15.75" customHeight="1" x14ac:dyDescent="0.25">
      <c r="A677" s="107"/>
      <c r="B677" s="107"/>
      <c r="C677" s="107"/>
      <c r="D677" s="107"/>
      <c r="E677" s="107"/>
      <c r="F677" s="107"/>
      <c r="G677" s="107"/>
      <c r="H677" s="107"/>
      <c r="I677" s="107"/>
      <c r="J677" s="107"/>
      <c r="K677" s="107"/>
      <c r="L677" s="107"/>
      <c r="M677" s="107"/>
      <c r="N677" s="107"/>
      <c r="O677" s="59"/>
      <c r="P677" s="107"/>
      <c r="Q677" s="107"/>
      <c r="R677" s="107"/>
    </row>
    <row r="678" spans="1:18" ht="15.75" customHeight="1" x14ac:dyDescent="0.25">
      <c r="A678" s="107"/>
      <c r="B678" s="107"/>
      <c r="C678" s="107"/>
      <c r="D678" s="107"/>
      <c r="E678" s="107"/>
      <c r="F678" s="107"/>
      <c r="G678" s="107"/>
      <c r="H678" s="107"/>
      <c r="I678" s="107"/>
      <c r="J678" s="107"/>
      <c r="K678" s="107"/>
      <c r="L678" s="107"/>
      <c r="M678" s="107"/>
      <c r="N678" s="107"/>
      <c r="O678" s="59"/>
      <c r="P678" s="107"/>
      <c r="Q678" s="107"/>
      <c r="R678" s="107"/>
    </row>
    <row r="679" spans="1:18" ht="15.75" customHeight="1" x14ac:dyDescent="0.25">
      <c r="A679" s="107"/>
      <c r="B679" s="107"/>
      <c r="C679" s="107"/>
      <c r="D679" s="107"/>
      <c r="E679" s="107"/>
      <c r="F679" s="107"/>
      <c r="G679" s="107"/>
      <c r="H679" s="107"/>
      <c r="I679" s="107"/>
      <c r="J679" s="107"/>
      <c r="K679" s="107"/>
      <c r="L679" s="107"/>
      <c r="M679" s="107"/>
      <c r="N679" s="107"/>
      <c r="O679" s="59"/>
      <c r="P679" s="107"/>
      <c r="Q679" s="107"/>
      <c r="R679" s="107"/>
    </row>
    <row r="680" spans="1:18" ht="15.75" customHeight="1" x14ac:dyDescent="0.25">
      <c r="A680" s="107"/>
      <c r="B680" s="107"/>
      <c r="C680" s="107"/>
      <c r="D680" s="107"/>
      <c r="E680" s="107"/>
      <c r="F680" s="107"/>
      <c r="G680" s="107"/>
      <c r="H680" s="107"/>
      <c r="I680" s="107"/>
      <c r="J680" s="107"/>
      <c r="K680" s="107"/>
      <c r="L680" s="107"/>
      <c r="M680" s="107"/>
      <c r="N680" s="107"/>
      <c r="O680" s="59"/>
      <c r="P680" s="107"/>
      <c r="Q680" s="107"/>
      <c r="R680" s="107"/>
    </row>
    <row r="681" spans="1:18" ht="15.75" customHeight="1" x14ac:dyDescent="0.25">
      <c r="A681" s="107"/>
      <c r="B681" s="107"/>
      <c r="C681" s="107"/>
      <c r="D681" s="107"/>
      <c r="E681" s="107"/>
      <c r="F681" s="107"/>
      <c r="G681" s="107"/>
      <c r="H681" s="107"/>
      <c r="I681" s="107"/>
      <c r="J681" s="107"/>
      <c r="K681" s="107"/>
      <c r="L681" s="107"/>
      <c r="M681" s="107"/>
      <c r="N681" s="107"/>
      <c r="O681" s="59"/>
      <c r="P681" s="107"/>
      <c r="Q681" s="107"/>
      <c r="R681" s="107"/>
    </row>
    <row r="682" spans="1:18" ht="15.75" customHeight="1" x14ac:dyDescent="0.25">
      <c r="A682" s="107"/>
      <c r="B682" s="107"/>
      <c r="C682" s="107"/>
      <c r="D682" s="107"/>
      <c r="E682" s="107"/>
      <c r="F682" s="107"/>
      <c r="G682" s="107"/>
      <c r="H682" s="107"/>
      <c r="I682" s="107"/>
      <c r="J682" s="107"/>
      <c r="K682" s="107"/>
      <c r="L682" s="107"/>
      <c r="M682" s="107"/>
      <c r="N682" s="107"/>
      <c r="O682" s="59"/>
      <c r="P682" s="107"/>
      <c r="Q682" s="107"/>
      <c r="R682" s="107"/>
    </row>
    <row r="683" spans="1:18" ht="15.75" customHeight="1" x14ac:dyDescent="0.25">
      <c r="A683" s="107"/>
      <c r="B683" s="107"/>
      <c r="C683" s="107"/>
      <c r="D683" s="107"/>
      <c r="E683" s="107"/>
      <c r="F683" s="107"/>
      <c r="G683" s="107"/>
      <c r="H683" s="107"/>
      <c r="I683" s="107"/>
      <c r="J683" s="107"/>
      <c r="K683" s="107"/>
      <c r="L683" s="107"/>
      <c r="M683" s="107"/>
      <c r="N683" s="107"/>
      <c r="O683" s="59"/>
      <c r="P683" s="107"/>
      <c r="Q683" s="107"/>
      <c r="R683" s="107"/>
    </row>
    <row r="684" spans="1:18" ht="15.75" customHeight="1" x14ac:dyDescent="0.25">
      <c r="A684" s="107"/>
      <c r="B684" s="107"/>
      <c r="C684" s="107"/>
      <c r="D684" s="107"/>
      <c r="E684" s="107"/>
      <c r="F684" s="107"/>
      <c r="G684" s="107"/>
      <c r="H684" s="107"/>
      <c r="I684" s="107"/>
      <c r="J684" s="107"/>
      <c r="K684" s="107"/>
      <c r="L684" s="107"/>
      <c r="M684" s="107"/>
      <c r="N684" s="107"/>
      <c r="O684" s="59"/>
      <c r="P684" s="107"/>
      <c r="Q684" s="107"/>
      <c r="R684" s="107"/>
    </row>
    <row r="685" spans="1:18" ht="15.75" customHeight="1" x14ac:dyDescent="0.25">
      <c r="A685" s="107"/>
      <c r="B685" s="107"/>
      <c r="C685" s="107"/>
      <c r="D685" s="107"/>
      <c r="E685" s="107"/>
      <c r="F685" s="107"/>
      <c r="G685" s="107"/>
      <c r="H685" s="107"/>
      <c r="I685" s="107"/>
      <c r="J685" s="107"/>
      <c r="K685" s="107"/>
      <c r="L685" s="107"/>
      <c r="M685" s="107"/>
      <c r="N685" s="107"/>
      <c r="O685" s="59"/>
      <c r="P685" s="107"/>
      <c r="Q685" s="107"/>
      <c r="R685" s="107"/>
    </row>
    <row r="686" spans="1:18" ht="15.75" customHeight="1" x14ac:dyDescent="0.25">
      <c r="A686" s="107"/>
      <c r="B686" s="107"/>
      <c r="C686" s="107"/>
      <c r="D686" s="107"/>
      <c r="E686" s="107"/>
      <c r="F686" s="107"/>
      <c r="G686" s="107"/>
      <c r="H686" s="107"/>
      <c r="I686" s="107"/>
      <c r="J686" s="107"/>
      <c r="K686" s="107"/>
      <c r="L686" s="107"/>
      <c r="M686" s="107"/>
      <c r="N686" s="107"/>
      <c r="O686" s="59"/>
      <c r="P686" s="107"/>
      <c r="Q686" s="107"/>
      <c r="R686" s="107"/>
    </row>
    <row r="687" spans="1:18" ht="15.75" customHeight="1" x14ac:dyDescent="0.25">
      <c r="A687" s="107"/>
      <c r="B687" s="107"/>
      <c r="C687" s="107"/>
      <c r="D687" s="107"/>
      <c r="E687" s="107"/>
      <c r="F687" s="107"/>
      <c r="G687" s="107"/>
      <c r="H687" s="107"/>
      <c r="I687" s="107"/>
      <c r="J687" s="107"/>
      <c r="K687" s="107"/>
      <c r="L687" s="107"/>
      <c r="M687" s="107"/>
      <c r="N687" s="107"/>
      <c r="O687" s="59"/>
      <c r="P687" s="107"/>
      <c r="Q687" s="107"/>
      <c r="R687" s="107"/>
    </row>
    <row r="688" spans="1:18" ht="15.75" customHeight="1" x14ac:dyDescent="0.25">
      <c r="A688" s="107"/>
      <c r="B688" s="107"/>
      <c r="C688" s="107"/>
      <c r="D688" s="107"/>
      <c r="E688" s="107"/>
      <c r="F688" s="107"/>
      <c r="G688" s="107"/>
      <c r="H688" s="107"/>
      <c r="I688" s="107"/>
      <c r="J688" s="107"/>
      <c r="K688" s="107"/>
      <c r="L688" s="107"/>
      <c r="M688" s="107"/>
      <c r="N688" s="107"/>
      <c r="O688" s="59"/>
      <c r="P688" s="107"/>
      <c r="Q688" s="107"/>
      <c r="R688" s="107"/>
    </row>
    <row r="689" spans="1:18" ht="15.75" customHeight="1" x14ac:dyDescent="0.25">
      <c r="A689" s="107"/>
      <c r="B689" s="107"/>
      <c r="C689" s="107"/>
      <c r="D689" s="107"/>
      <c r="E689" s="107"/>
      <c r="F689" s="107"/>
      <c r="G689" s="107"/>
      <c r="H689" s="107"/>
      <c r="I689" s="107"/>
      <c r="J689" s="107"/>
      <c r="K689" s="107"/>
      <c r="L689" s="107"/>
      <c r="M689" s="107"/>
      <c r="N689" s="107"/>
      <c r="O689" s="59"/>
      <c r="P689" s="107"/>
      <c r="Q689" s="107"/>
      <c r="R689" s="107"/>
    </row>
    <row r="690" spans="1:18" ht="15.75" customHeight="1" x14ac:dyDescent="0.25">
      <c r="A690" s="107"/>
      <c r="B690" s="107"/>
      <c r="C690" s="107"/>
      <c r="D690" s="107"/>
      <c r="E690" s="107"/>
      <c r="F690" s="107"/>
      <c r="G690" s="107"/>
      <c r="H690" s="107"/>
      <c r="I690" s="107"/>
      <c r="J690" s="107"/>
      <c r="K690" s="107"/>
      <c r="L690" s="107"/>
      <c r="M690" s="107"/>
      <c r="N690" s="107"/>
      <c r="O690" s="59"/>
      <c r="P690" s="107"/>
      <c r="Q690" s="107"/>
      <c r="R690" s="107"/>
    </row>
    <row r="691" spans="1:18" ht="15.75" customHeight="1" x14ac:dyDescent="0.25">
      <c r="A691" s="107"/>
      <c r="B691" s="107"/>
      <c r="C691" s="107"/>
      <c r="D691" s="107"/>
      <c r="E691" s="107"/>
      <c r="F691" s="107"/>
      <c r="G691" s="107"/>
      <c r="H691" s="107"/>
      <c r="I691" s="107"/>
      <c r="J691" s="107"/>
      <c r="K691" s="107"/>
      <c r="L691" s="107"/>
      <c r="M691" s="107"/>
      <c r="N691" s="107"/>
      <c r="O691" s="59"/>
      <c r="P691" s="107"/>
      <c r="Q691" s="107"/>
      <c r="R691" s="107"/>
    </row>
    <row r="692" spans="1:18" ht="15.75" customHeight="1" x14ac:dyDescent="0.25">
      <c r="A692" s="107"/>
      <c r="B692" s="107"/>
      <c r="C692" s="107"/>
      <c r="D692" s="107"/>
      <c r="E692" s="107"/>
      <c r="F692" s="107"/>
      <c r="G692" s="107"/>
      <c r="H692" s="107"/>
      <c r="I692" s="107"/>
      <c r="J692" s="107"/>
      <c r="K692" s="107"/>
      <c r="L692" s="107"/>
      <c r="M692" s="107"/>
      <c r="N692" s="107"/>
      <c r="O692" s="59"/>
      <c r="P692" s="107"/>
      <c r="Q692" s="107"/>
      <c r="R692" s="107"/>
    </row>
    <row r="693" spans="1:18" ht="15.75" customHeight="1" x14ac:dyDescent="0.25">
      <c r="A693" s="107"/>
      <c r="B693" s="107"/>
      <c r="C693" s="107"/>
      <c r="D693" s="107"/>
      <c r="E693" s="107"/>
      <c r="F693" s="107"/>
      <c r="G693" s="107"/>
      <c r="H693" s="107"/>
      <c r="I693" s="107"/>
      <c r="J693" s="107"/>
      <c r="K693" s="107"/>
      <c r="L693" s="107"/>
      <c r="M693" s="107"/>
      <c r="N693" s="107"/>
      <c r="O693" s="59"/>
      <c r="P693" s="107"/>
      <c r="Q693" s="107"/>
      <c r="R693" s="107"/>
    </row>
    <row r="694" spans="1:18" ht="15.75" customHeight="1" x14ac:dyDescent="0.25">
      <c r="A694" s="107"/>
      <c r="B694" s="107"/>
      <c r="C694" s="107"/>
      <c r="D694" s="107"/>
      <c r="E694" s="107"/>
      <c r="F694" s="107"/>
      <c r="G694" s="107"/>
      <c r="H694" s="107"/>
      <c r="I694" s="107"/>
      <c r="J694" s="107"/>
      <c r="K694" s="107"/>
      <c r="L694" s="107"/>
      <c r="M694" s="107"/>
      <c r="N694" s="107"/>
      <c r="O694" s="59"/>
      <c r="P694" s="107"/>
      <c r="Q694" s="107"/>
      <c r="R694" s="107"/>
    </row>
    <row r="695" spans="1:18" ht="15.75" customHeight="1" x14ac:dyDescent="0.25">
      <c r="A695" s="107"/>
      <c r="B695" s="107"/>
      <c r="C695" s="107"/>
      <c r="D695" s="107"/>
      <c r="E695" s="107"/>
      <c r="F695" s="107"/>
      <c r="G695" s="107"/>
      <c r="H695" s="107"/>
      <c r="I695" s="107"/>
      <c r="J695" s="107"/>
      <c r="K695" s="107"/>
      <c r="L695" s="107"/>
      <c r="M695" s="107"/>
      <c r="N695" s="107"/>
      <c r="O695" s="59"/>
      <c r="P695" s="107"/>
      <c r="Q695" s="107"/>
      <c r="R695" s="107"/>
    </row>
    <row r="696" spans="1:18" ht="15.75" customHeight="1" x14ac:dyDescent="0.25">
      <c r="A696" s="107"/>
      <c r="B696" s="107"/>
      <c r="C696" s="107"/>
      <c r="D696" s="107"/>
      <c r="E696" s="107"/>
      <c r="F696" s="107"/>
      <c r="G696" s="107"/>
      <c r="H696" s="107"/>
      <c r="I696" s="107"/>
      <c r="J696" s="107"/>
      <c r="K696" s="107"/>
      <c r="L696" s="107"/>
      <c r="M696" s="107"/>
      <c r="N696" s="107"/>
      <c r="O696" s="59"/>
      <c r="P696" s="107"/>
      <c r="Q696" s="107"/>
      <c r="R696" s="107"/>
    </row>
    <row r="697" spans="1:18" ht="15.75" customHeight="1" x14ac:dyDescent="0.25">
      <c r="A697" s="107"/>
      <c r="B697" s="107"/>
      <c r="C697" s="107"/>
      <c r="D697" s="107"/>
      <c r="E697" s="107"/>
      <c r="F697" s="107"/>
      <c r="G697" s="107"/>
      <c r="H697" s="107"/>
      <c r="I697" s="107"/>
      <c r="J697" s="107"/>
      <c r="K697" s="107"/>
      <c r="L697" s="107"/>
      <c r="M697" s="107"/>
      <c r="N697" s="107"/>
      <c r="O697" s="59"/>
      <c r="P697" s="107"/>
      <c r="Q697" s="107"/>
      <c r="R697" s="107"/>
    </row>
    <row r="698" spans="1:18" ht="15.75" customHeight="1" x14ac:dyDescent="0.25">
      <c r="A698" s="107"/>
      <c r="B698" s="107"/>
      <c r="C698" s="107"/>
      <c r="D698" s="107"/>
      <c r="E698" s="107"/>
      <c r="F698" s="107"/>
      <c r="G698" s="107"/>
      <c r="H698" s="107"/>
      <c r="I698" s="107"/>
      <c r="J698" s="107"/>
      <c r="K698" s="107"/>
      <c r="L698" s="107"/>
      <c r="M698" s="107"/>
      <c r="N698" s="107"/>
      <c r="O698" s="59"/>
      <c r="P698" s="107"/>
      <c r="Q698" s="107"/>
      <c r="R698" s="107"/>
    </row>
    <row r="699" spans="1:18" ht="15.75" customHeight="1" x14ac:dyDescent="0.25">
      <c r="A699" s="107"/>
      <c r="B699" s="107"/>
      <c r="C699" s="107"/>
      <c r="D699" s="107"/>
      <c r="E699" s="107"/>
      <c r="F699" s="107"/>
      <c r="G699" s="107"/>
      <c r="H699" s="107"/>
      <c r="I699" s="107"/>
      <c r="J699" s="107"/>
      <c r="K699" s="107"/>
      <c r="L699" s="107"/>
      <c r="M699" s="107"/>
      <c r="N699" s="107"/>
      <c r="O699" s="59"/>
      <c r="P699" s="107"/>
      <c r="Q699" s="107"/>
      <c r="R699" s="107"/>
    </row>
    <row r="700" spans="1:18" ht="15.75" customHeight="1" x14ac:dyDescent="0.25">
      <c r="A700" s="107"/>
      <c r="B700" s="107"/>
      <c r="C700" s="107"/>
      <c r="D700" s="107"/>
      <c r="E700" s="107"/>
      <c r="F700" s="107"/>
      <c r="G700" s="107"/>
      <c r="H700" s="107"/>
      <c r="I700" s="107"/>
      <c r="J700" s="107"/>
      <c r="K700" s="107"/>
      <c r="L700" s="107"/>
      <c r="M700" s="107"/>
      <c r="N700" s="107"/>
      <c r="O700" s="59"/>
      <c r="P700" s="107"/>
      <c r="Q700" s="107"/>
      <c r="R700" s="107"/>
    </row>
    <row r="701" spans="1:18" ht="15.75" customHeight="1" x14ac:dyDescent="0.25">
      <c r="A701" s="107"/>
      <c r="B701" s="107"/>
      <c r="C701" s="107"/>
      <c r="D701" s="107"/>
      <c r="E701" s="107"/>
      <c r="F701" s="107"/>
      <c r="G701" s="107"/>
      <c r="H701" s="107"/>
      <c r="I701" s="107"/>
      <c r="J701" s="107"/>
      <c r="K701" s="107"/>
      <c r="L701" s="107"/>
      <c r="M701" s="107"/>
      <c r="N701" s="107"/>
      <c r="O701" s="59"/>
      <c r="P701" s="107"/>
      <c r="Q701" s="107"/>
      <c r="R701" s="107"/>
    </row>
    <row r="702" spans="1:18" ht="15.75" customHeight="1" x14ac:dyDescent="0.25">
      <c r="A702" s="107"/>
      <c r="B702" s="107"/>
      <c r="C702" s="107"/>
      <c r="D702" s="107"/>
      <c r="E702" s="107"/>
      <c r="F702" s="107"/>
      <c r="G702" s="107"/>
      <c r="H702" s="107"/>
      <c r="I702" s="107"/>
      <c r="J702" s="107"/>
      <c r="K702" s="107"/>
      <c r="L702" s="107"/>
      <c r="M702" s="107"/>
      <c r="N702" s="107"/>
      <c r="O702" s="59"/>
      <c r="P702" s="107"/>
      <c r="Q702" s="107"/>
      <c r="R702" s="107"/>
    </row>
    <row r="703" spans="1:18" ht="15.75" customHeight="1" x14ac:dyDescent="0.25">
      <c r="A703" s="107"/>
      <c r="B703" s="107"/>
      <c r="C703" s="107"/>
      <c r="D703" s="107"/>
      <c r="E703" s="107"/>
      <c r="F703" s="107"/>
      <c r="G703" s="107"/>
      <c r="H703" s="107"/>
      <c r="I703" s="107"/>
      <c r="J703" s="107"/>
      <c r="K703" s="107"/>
      <c r="L703" s="107"/>
      <c r="M703" s="107"/>
      <c r="N703" s="107"/>
      <c r="O703" s="59"/>
      <c r="P703" s="107"/>
      <c r="Q703" s="107"/>
      <c r="R703" s="107"/>
    </row>
    <row r="704" spans="1:18" ht="15.75" customHeight="1" x14ac:dyDescent="0.25">
      <c r="A704" s="107"/>
      <c r="B704" s="107"/>
      <c r="C704" s="107"/>
      <c r="D704" s="107"/>
      <c r="E704" s="107"/>
      <c r="F704" s="107"/>
      <c r="G704" s="107"/>
      <c r="H704" s="107"/>
      <c r="I704" s="107"/>
      <c r="J704" s="107"/>
      <c r="K704" s="107"/>
      <c r="L704" s="107"/>
      <c r="M704" s="107"/>
      <c r="N704" s="107"/>
      <c r="O704" s="59"/>
      <c r="P704" s="107"/>
      <c r="Q704" s="107"/>
      <c r="R704" s="107"/>
    </row>
    <row r="705" spans="1:18" ht="15.75" customHeight="1" x14ac:dyDescent="0.25">
      <c r="A705" s="107"/>
      <c r="B705" s="107"/>
      <c r="C705" s="107"/>
      <c r="D705" s="107"/>
      <c r="E705" s="107"/>
      <c r="F705" s="107"/>
      <c r="G705" s="107"/>
      <c r="H705" s="107"/>
      <c r="I705" s="107"/>
      <c r="J705" s="107"/>
      <c r="K705" s="107"/>
      <c r="L705" s="107"/>
      <c r="M705" s="107"/>
      <c r="N705" s="107"/>
      <c r="O705" s="59"/>
      <c r="P705" s="107"/>
      <c r="Q705" s="107"/>
      <c r="R705" s="107"/>
    </row>
    <row r="706" spans="1:18" ht="15.75" customHeight="1" x14ac:dyDescent="0.25">
      <c r="A706" s="107"/>
      <c r="B706" s="107"/>
      <c r="C706" s="107"/>
      <c r="D706" s="107"/>
      <c r="E706" s="107"/>
      <c r="F706" s="107"/>
      <c r="G706" s="107"/>
      <c r="H706" s="107"/>
      <c r="I706" s="107"/>
      <c r="J706" s="107"/>
      <c r="K706" s="107"/>
      <c r="L706" s="107"/>
      <c r="M706" s="107"/>
      <c r="N706" s="107"/>
      <c r="O706" s="59"/>
      <c r="P706" s="107"/>
      <c r="Q706" s="107"/>
      <c r="R706" s="107"/>
    </row>
    <row r="707" spans="1:18" ht="15.75" customHeight="1" x14ac:dyDescent="0.25">
      <c r="A707" s="107"/>
      <c r="B707" s="107"/>
      <c r="C707" s="107"/>
      <c r="D707" s="107"/>
      <c r="E707" s="107"/>
      <c r="F707" s="107"/>
      <c r="G707" s="107"/>
      <c r="H707" s="107"/>
      <c r="I707" s="107"/>
      <c r="J707" s="107"/>
      <c r="K707" s="107"/>
      <c r="L707" s="107"/>
      <c r="M707" s="107"/>
      <c r="N707" s="107"/>
      <c r="O707" s="59"/>
      <c r="P707" s="107"/>
      <c r="Q707" s="107"/>
      <c r="R707" s="107"/>
    </row>
    <row r="708" spans="1:18" ht="15.75" customHeight="1" x14ac:dyDescent="0.25">
      <c r="A708" s="107"/>
      <c r="B708" s="107"/>
      <c r="C708" s="107"/>
      <c r="D708" s="107"/>
      <c r="E708" s="107"/>
      <c r="F708" s="107"/>
      <c r="G708" s="107"/>
      <c r="H708" s="107"/>
      <c r="I708" s="107"/>
      <c r="J708" s="107"/>
      <c r="K708" s="107"/>
      <c r="L708" s="107"/>
      <c r="M708" s="107"/>
      <c r="N708" s="107"/>
      <c r="O708" s="59"/>
      <c r="P708" s="107"/>
      <c r="Q708" s="107"/>
      <c r="R708" s="107"/>
    </row>
    <row r="709" spans="1:18" ht="15.75" customHeight="1" x14ac:dyDescent="0.25">
      <c r="A709" s="107"/>
      <c r="B709" s="107"/>
      <c r="C709" s="107"/>
      <c r="D709" s="107"/>
      <c r="E709" s="107"/>
      <c r="F709" s="107"/>
      <c r="G709" s="107"/>
      <c r="H709" s="107"/>
      <c r="I709" s="107"/>
      <c r="J709" s="107"/>
      <c r="K709" s="107"/>
      <c r="L709" s="107"/>
      <c r="M709" s="107"/>
      <c r="N709" s="107"/>
      <c r="O709" s="59"/>
      <c r="P709" s="107"/>
      <c r="Q709" s="107"/>
      <c r="R709" s="107"/>
    </row>
    <row r="710" spans="1:18" ht="15.75" customHeight="1" x14ac:dyDescent="0.25">
      <c r="A710" s="107"/>
      <c r="B710" s="107"/>
      <c r="C710" s="107"/>
      <c r="D710" s="107"/>
      <c r="E710" s="107"/>
      <c r="F710" s="107"/>
      <c r="G710" s="107"/>
      <c r="H710" s="107"/>
      <c r="I710" s="107"/>
      <c r="J710" s="107"/>
      <c r="K710" s="107"/>
      <c r="L710" s="107"/>
      <c r="M710" s="107"/>
      <c r="N710" s="107"/>
      <c r="O710" s="59"/>
      <c r="P710" s="107"/>
      <c r="Q710" s="107"/>
      <c r="R710" s="107"/>
    </row>
    <row r="711" spans="1:18" ht="15.75" customHeight="1" x14ac:dyDescent="0.25">
      <c r="A711" s="107"/>
      <c r="B711" s="107"/>
      <c r="C711" s="107"/>
      <c r="D711" s="107"/>
      <c r="E711" s="107"/>
      <c r="F711" s="107"/>
      <c r="G711" s="107"/>
      <c r="H711" s="107"/>
      <c r="I711" s="107"/>
      <c r="J711" s="107"/>
      <c r="K711" s="107"/>
      <c r="L711" s="107"/>
      <c r="M711" s="107"/>
      <c r="N711" s="107"/>
      <c r="O711" s="59"/>
      <c r="P711" s="107"/>
      <c r="Q711" s="107"/>
      <c r="R711" s="107"/>
    </row>
    <row r="712" spans="1:18" ht="15.75" customHeight="1" x14ac:dyDescent="0.25">
      <c r="A712" s="107"/>
      <c r="B712" s="107"/>
      <c r="C712" s="107"/>
      <c r="D712" s="107"/>
      <c r="E712" s="107"/>
      <c r="F712" s="107"/>
      <c r="G712" s="107"/>
      <c r="H712" s="107"/>
      <c r="I712" s="107"/>
      <c r="J712" s="107"/>
      <c r="K712" s="107"/>
      <c r="L712" s="107"/>
      <c r="M712" s="107"/>
      <c r="N712" s="107"/>
      <c r="O712" s="59"/>
      <c r="P712" s="107"/>
      <c r="Q712" s="107"/>
      <c r="R712" s="107"/>
    </row>
    <row r="713" spans="1:18" ht="15.75" customHeight="1" x14ac:dyDescent="0.25">
      <c r="A713" s="107"/>
      <c r="B713" s="107"/>
      <c r="C713" s="107"/>
      <c r="D713" s="107"/>
      <c r="E713" s="107"/>
      <c r="F713" s="107"/>
      <c r="G713" s="107"/>
      <c r="H713" s="107"/>
      <c r="I713" s="107"/>
      <c r="J713" s="107"/>
      <c r="K713" s="107"/>
      <c r="L713" s="107"/>
      <c r="M713" s="107"/>
      <c r="N713" s="107"/>
      <c r="O713" s="59"/>
      <c r="P713" s="107"/>
      <c r="Q713" s="107"/>
      <c r="R713" s="107"/>
    </row>
    <row r="714" spans="1:18" ht="15.75" customHeight="1" x14ac:dyDescent="0.25">
      <c r="A714" s="107"/>
      <c r="B714" s="107"/>
      <c r="C714" s="107"/>
      <c r="D714" s="107"/>
      <c r="E714" s="107"/>
      <c r="F714" s="107"/>
      <c r="G714" s="107"/>
      <c r="H714" s="107"/>
      <c r="I714" s="107"/>
      <c r="J714" s="107"/>
      <c r="K714" s="107"/>
      <c r="L714" s="107"/>
      <c r="M714" s="107"/>
      <c r="N714" s="107"/>
      <c r="O714" s="59"/>
      <c r="P714" s="107"/>
      <c r="Q714" s="107"/>
      <c r="R714" s="107"/>
    </row>
    <row r="715" spans="1:18" ht="15.75" customHeight="1" x14ac:dyDescent="0.25">
      <c r="A715" s="107"/>
      <c r="B715" s="107"/>
      <c r="C715" s="107"/>
      <c r="D715" s="107"/>
      <c r="E715" s="107"/>
      <c r="F715" s="107"/>
      <c r="G715" s="107"/>
      <c r="H715" s="107"/>
      <c r="I715" s="107"/>
      <c r="J715" s="107"/>
      <c r="K715" s="107"/>
      <c r="L715" s="107"/>
      <c r="M715" s="107"/>
      <c r="N715" s="107"/>
      <c r="O715" s="59"/>
      <c r="P715" s="107"/>
      <c r="Q715" s="107"/>
      <c r="R715" s="107"/>
    </row>
    <row r="716" spans="1:18" ht="15.75" customHeight="1" x14ac:dyDescent="0.25">
      <c r="A716" s="107"/>
      <c r="B716" s="107"/>
      <c r="C716" s="107"/>
      <c r="D716" s="107"/>
      <c r="E716" s="107"/>
      <c r="F716" s="107"/>
      <c r="G716" s="107"/>
      <c r="H716" s="107"/>
      <c r="I716" s="107"/>
      <c r="J716" s="107"/>
      <c r="K716" s="107"/>
      <c r="L716" s="107"/>
      <c r="M716" s="107"/>
      <c r="N716" s="107"/>
      <c r="O716" s="59"/>
      <c r="P716" s="107"/>
      <c r="Q716" s="107"/>
      <c r="R716" s="107"/>
    </row>
    <row r="717" spans="1:18" ht="15.75" customHeight="1" x14ac:dyDescent="0.25">
      <c r="A717" s="107"/>
      <c r="B717" s="107"/>
      <c r="C717" s="107"/>
      <c r="D717" s="107"/>
      <c r="E717" s="107"/>
      <c r="F717" s="107"/>
      <c r="G717" s="107"/>
      <c r="H717" s="107"/>
      <c r="I717" s="107"/>
      <c r="J717" s="107"/>
      <c r="K717" s="107"/>
      <c r="L717" s="107"/>
      <c r="M717" s="107"/>
      <c r="N717" s="107"/>
      <c r="O717" s="59"/>
      <c r="P717" s="107"/>
      <c r="Q717" s="107"/>
      <c r="R717" s="107"/>
    </row>
    <row r="718" spans="1:18" ht="15.75" customHeight="1" x14ac:dyDescent="0.25">
      <c r="A718" s="107"/>
      <c r="B718" s="107"/>
      <c r="C718" s="107"/>
      <c r="D718" s="107"/>
      <c r="E718" s="107"/>
      <c r="F718" s="107"/>
      <c r="G718" s="107"/>
      <c r="H718" s="107"/>
      <c r="I718" s="107"/>
      <c r="J718" s="107"/>
      <c r="K718" s="107"/>
      <c r="L718" s="107"/>
      <c r="M718" s="107"/>
      <c r="N718" s="107"/>
      <c r="O718" s="59"/>
      <c r="P718" s="107"/>
      <c r="Q718" s="107"/>
      <c r="R718" s="107"/>
    </row>
    <row r="719" spans="1:18" ht="15.75" customHeight="1" x14ac:dyDescent="0.25">
      <c r="A719" s="107"/>
      <c r="B719" s="107"/>
      <c r="C719" s="107"/>
      <c r="D719" s="107"/>
      <c r="E719" s="107"/>
      <c r="F719" s="107"/>
      <c r="G719" s="107"/>
      <c r="H719" s="107"/>
      <c r="I719" s="107"/>
      <c r="J719" s="107"/>
      <c r="K719" s="107"/>
      <c r="L719" s="107"/>
      <c r="M719" s="107"/>
      <c r="N719" s="107"/>
      <c r="O719" s="59"/>
      <c r="P719" s="107"/>
      <c r="Q719" s="107"/>
      <c r="R719" s="107"/>
    </row>
    <row r="720" spans="1:18" ht="15.75" customHeight="1" x14ac:dyDescent="0.25">
      <c r="A720" s="107"/>
      <c r="B720" s="107"/>
      <c r="C720" s="107"/>
      <c r="D720" s="107"/>
      <c r="E720" s="107"/>
      <c r="F720" s="107"/>
      <c r="G720" s="107"/>
      <c r="H720" s="107"/>
      <c r="I720" s="107"/>
      <c r="J720" s="107"/>
      <c r="K720" s="107"/>
      <c r="L720" s="107"/>
      <c r="M720" s="107"/>
      <c r="N720" s="107"/>
      <c r="O720" s="59"/>
      <c r="P720" s="107"/>
      <c r="Q720" s="107"/>
      <c r="R720" s="107"/>
    </row>
    <row r="721" spans="1:18" ht="15.75" customHeight="1" x14ac:dyDescent="0.25">
      <c r="A721" s="107"/>
      <c r="B721" s="107"/>
      <c r="C721" s="107"/>
      <c r="D721" s="107"/>
      <c r="E721" s="107"/>
      <c r="F721" s="107"/>
      <c r="G721" s="107"/>
      <c r="H721" s="107"/>
      <c r="I721" s="107"/>
      <c r="J721" s="107"/>
      <c r="K721" s="107"/>
      <c r="L721" s="107"/>
      <c r="M721" s="107"/>
      <c r="N721" s="107"/>
      <c r="O721" s="59"/>
      <c r="P721" s="107"/>
      <c r="Q721" s="107"/>
      <c r="R721" s="107"/>
    </row>
    <row r="722" spans="1:18" ht="15.75" customHeight="1" x14ac:dyDescent="0.25">
      <c r="A722" s="107"/>
      <c r="B722" s="107"/>
      <c r="C722" s="107"/>
      <c r="D722" s="107"/>
      <c r="E722" s="107"/>
      <c r="F722" s="107"/>
      <c r="G722" s="107"/>
      <c r="H722" s="107"/>
      <c r="I722" s="107"/>
      <c r="J722" s="107"/>
      <c r="K722" s="107"/>
      <c r="L722" s="107"/>
      <c r="M722" s="107"/>
      <c r="N722" s="107"/>
      <c r="O722" s="59"/>
      <c r="P722" s="107"/>
      <c r="Q722" s="107"/>
      <c r="R722" s="107"/>
    </row>
    <row r="723" spans="1:18" ht="15.75" customHeight="1" x14ac:dyDescent="0.25">
      <c r="A723" s="107"/>
      <c r="B723" s="107"/>
      <c r="C723" s="107"/>
      <c r="D723" s="107"/>
      <c r="E723" s="107"/>
      <c r="F723" s="107"/>
      <c r="G723" s="107"/>
      <c r="H723" s="107"/>
      <c r="I723" s="107"/>
      <c r="J723" s="107"/>
      <c r="K723" s="107"/>
      <c r="L723" s="107"/>
      <c r="M723" s="107"/>
      <c r="N723" s="107"/>
      <c r="O723" s="59"/>
      <c r="P723" s="107"/>
      <c r="Q723" s="107"/>
      <c r="R723" s="107"/>
    </row>
    <row r="724" spans="1:18" ht="15.75" customHeight="1" x14ac:dyDescent="0.25">
      <c r="A724" s="107"/>
      <c r="B724" s="107"/>
      <c r="C724" s="107"/>
      <c r="D724" s="107"/>
      <c r="E724" s="107"/>
      <c r="F724" s="107"/>
      <c r="G724" s="107"/>
      <c r="H724" s="107"/>
      <c r="I724" s="107"/>
      <c r="J724" s="107"/>
      <c r="K724" s="107"/>
      <c r="L724" s="107"/>
      <c r="M724" s="107"/>
      <c r="N724" s="107"/>
      <c r="O724" s="59"/>
      <c r="P724" s="107"/>
      <c r="Q724" s="107"/>
      <c r="R724" s="107"/>
    </row>
    <row r="725" spans="1:18" ht="15.75" customHeight="1" x14ac:dyDescent="0.25">
      <c r="A725" s="107"/>
      <c r="B725" s="107"/>
      <c r="C725" s="107"/>
      <c r="D725" s="107"/>
      <c r="E725" s="107"/>
      <c r="F725" s="107"/>
      <c r="G725" s="107"/>
      <c r="H725" s="107"/>
      <c r="I725" s="107"/>
      <c r="J725" s="107"/>
      <c r="K725" s="107"/>
      <c r="L725" s="107"/>
      <c r="M725" s="107"/>
      <c r="N725" s="107"/>
      <c r="O725" s="59"/>
      <c r="P725" s="107"/>
      <c r="Q725" s="107"/>
      <c r="R725" s="107"/>
    </row>
    <row r="726" spans="1:18" ht="15.75" customHeight="1" x14ac:dyDescent="0.25">
      <c r="A726" s="107"/>
      <c r="B726" s="107"/>
      <c r="C726" s="107"/>
      <c r="D726" s="107"/>
      <c r="E726" s="107"/>
      <c r="F726" s="107"/>
      <c r="G726" s="107"/>
      <c r="H726" s="107"/>
      <c r="I726" s="107"/>
      <c r="J726" s="107"/>
      <c r="K726" s="107"/>
      <c r="L726" s="107"/>
      <c r="M726" s="107"/>
      <c r="N726" s="107"/>
      <c r="O726" s="59"/>
      <c r="P726" s="107"/>
      <c r="Q726" s="107"/>
      <c r="R726" s="107"/>
    </row>
    <row r="727" spans="1:18" ht="15.75" customHeight="1" x14ac:dyDescent="0.25">
      <c r="A727" s="107"/>
      <c r="B727" s="107"/>
      <c r="C727" s="107"/>
      <c r="D727" s="107"/>
      <c r="E727" s="107"/>
      <c r="F727" s="107"/>
      <c r="G727" s="107"/>
      <c r="H727" s="107"/>
      <c r="I727" s="107"/>
      <c r="J727" s="107"/>
      <c r="K727" s="107"/>
      <c r="L727" s="107"/>
      <c r="M727" s="107"/>
      <c r="N727" s="107"/>
      <c r="O727" s="59"/>
      <c r="P727" s="107"/>
      <c r="Q727" s="107"/>
      <c r="R727" s="107"/>
    </row>
    <row r="728" spans="1:18" ht="15.75" customHeight="1" x14ac:dyDescent="0.25">
      <c r="A728" s="107"/>
      <c r="B728" s="107"/>
      <c r="C728" s="107"/>
      <c r="D728" s="107"/>
      <c r="E728" s="107"/>
      <c r="F728" s="107"/>
      <c r="G728" s="107"/>
      <c r="H728" s="107"/>
      <c r="I728" s="107"/>
      <c r="J728" s="107"/>
      <c r="K728" s="107"/>
      <c r="L728" s="107"/>
      <c r="M728" s="107"/>
      <c r="N728" s="107"/>
      <c r="O728" s="59"/>
      <c r="P728" s="107"/>
      <c r="Q728" s="107"/>
      <c r="R728" s="107"/>
    </row>
    <row r="729" spans="1:18" ht="15.75" customHeight="1" x14ac:dyDescent="0.25">
      <c r="A729" s="107"/>
      <c r="B729" s="107"/>
      <c r="C729" s="107"/>
      <c r="D729" s="107"/>
      <c r="E729" s="107"/>
      <c r="F729" s="107"/>
      <c r="G729" s="107"/>
      <c r="H729" s="107"/>
      <c r="I729" s="107"/>
      <c r="J729" s="107"/>
      <c r="K729" s="107"/>
      <c r="L729" s="107"/>
      <c r="M729" s="107"/>
      <c r="N729" s="107"/>
      <c r="O729" s="59"/>
      <c r="P729" s="107"/>
      <c r="Q729" s="107"/>
      <c r="R729" s="107"/>
    </row>
    <row r="730" spans="1:18" ht="15.75" customHeight="1" x14ac:dyDescent="0.25">
      <c r="A730" s="107"/>
      <c r="B730" s="107"/>
      <c r="C730" s="107"/>
      <c r="D730" s="107"/>
      <c r="E730" s="107"/>
      <c r="F730" s="107"/>
      <c r="G730" s="107"/>
      <c r="H730" s="107"/>
      <c r="I730" s="107"/>
      <c r="J730" s="107"/>
      <c r="K730" s="107"/>
      <c r="L730" s="107"/>
      <c r="M730" s="107"/>
      <c r="N730" s="107"/>
      <c r="O730" s="59"/>
      <c r="P730" s="107"/>
      <c r="Q730" s="107"/>
      <c r="R730" s="107"/>
    </row>
    <row r="731" spans="1:18" ht="15.75" customHeight="1" x14ac:dyDescent="0.25">
      <c r="A731" s="107"/>
      <c r="B731" s="107"/>
      <c r="C731" s="107"/>
      <c r="D731" s="107"/>
      <c r="E731" s="107"/>
      <c r="F731" s="107"/>
      <c r="G731" s="107"/>
      <c r="H731" s="107"/>
      <c r="I731" s="107"/>
      <c r="J731" s="107"/>
      <c r="K731" s="107"/>
      <c r="L731" s="107"/>
      <c r="M731" s="107"/>
      <c r="N731" s="107"/>
      <c r="O731" s="59"/>
      <c r="P731" s="107"/>
      <c r="Q731" s="107"/>
      <c r="R731" s="107"/>
    </row>
    <row r="732" spans="1:18" ht="15.75" customHeight="1" x14ac:dyDescent="0.25">
      <c r="A732" s="107"/>
      <c r="B732" s="107"/>
      <c r="C732" s="107"/>
      <c r="D732" s="107"/>
      <c r="E732" s="107"/>
      <c r="F732" s="107"/>
      <c r="G732" s="107"/>
      <c r="H732" s="107"/>
      <c r="I732" s="107"/>
      <c r="J732" s="107"/>
      <c r="K732" s="107"/>
      <c r="L732" s="107"/>
      <c r="M732" s="107"/>
      <c r="N732" s="107"/>
      <c r="O732" s="59"/>
      <c r="P732" s="107"/>
      <c r="Q732" s="107"/>
      <c r="R732" s="107"/>
    </row>
    <row r="733" spans="1:18" ht="15.75" customHeight="1" x14ac:dyDescent="0.25">
      <c r="A733" s="107"/>
      <c r="B733" s="107"/>
      <c r="C733" s="107"/>
      <c r="D733" s="107"/>
      <c r="E733" s="107"/>
      <c r="F733" s="107"/>
      <c r="G733" s="107"/>
      <c r="H733" s="107"/>
      <c r="I733" s="107"/>
      <c r="J733" s="107"/>
      <c r="K733" s="107"/>
      <c r="L733" s="107"/>
      <c r="M733" s="107"/>
      <c r="N733" s="107"/>
      <c r="O733" s="59"/>
      <c r="P733" s="107"/>
      <c r="Q733" s="107"/>
      <c r="R733" s="107"/>
    </row>
    <row r="734" spans="1:18" ht="15.75" customHeight="1" x14ac:dyDescent="0.25">
      <c r="A734" s="107"/>
      <c r="B734" s="107"/>
      <c r="C734" s="107"/>
      <c r="D734" s="107"/>
      <c r="E734" s="107"/>
      <c r="F734" s="107"/>
      <c r="G734" s="107"/>
      <c r="H734" s="107"/>
      <c r="I734" s="107"/>
      <c r="J734" s="107"/>
      <c r="K734" s="107"/>
      <c r="L734" s="107"/>
      <c r="M734" s="107"/>
      <c r="N734" s="107"/>
      <c r="O734" s="59"/>
      <c r="P734" s="107"/>
      <c r="Q734" s="107"/>
      <c r="R734" s="107"/>
    </row>
    <row r="735" spans="1:18" ht="15.75" customHeight="1" x14ac:dyDescent="0.25">
      <c r="A735" s="107"/>
      <c r="B735" s="107"/>
      <c r="C735" s="107"/>
      <c r="D735" s="107"/>
      <c r="E735" s="107"/>
      <c r="F735" s="107"/>
      <c r="G735" s="107"/>
      <c r="H735" s="107"/>
      <c r="I735" s="107"/>
      <c r="J735" s="107"/>
      <c r="K735" s="107"/>
      <c r="L735" s="107"/>
      <c r="M735" s="107"/>
      <c r="N735" s="107"/>
      <c r="O735" s="59"/>
      <c r="P735" s="107"/>
      <c r="Q735" s="107"/>
      <c r="R735" s="107"/>
    </row>
    <row r="736" spans="1:18" ht="15.75" customHeight="1" x14ac:dyDescent="0.25">
      <c r="A736" s="107"/>
      <c r="B736" s="107"/>
      <c r="C736" s="107"/>
      <c r="D736" s="107"/>
      <c r="E736" s="107"/>
      <c r="F736" s="107"/>
      <c r="G736" s="107"/>
      <c r="H736" s="107"/>
      <c r="I736" s="107"/>
      <c r="J736" s="107"/>
      <c r="K736" s="107"/>
      <c r="L736" s="107"/>
      <c r="M736" s="107"/>
      <c r="N736" s="107"/>
      <c r="O736" s="59"/>
      <c r="P736" s="107"/>
      <c r="Q736" s="107"/>
      <c r="R736" s="107"/>
    </row>
    <row r="737" spans="1:18" ht="15.75" customHeight="1" x14ac:dyDescent="0.25">
      <c r="A737" s="107"/>
      <c r="B737" s="107"/>
      <c r="C737" s="107"/>
      <c r="D737" s="107"/>
      <c r="E737" s="107"/>
      <c r="F737" s="107"/>
      <c r="G737" s="107"/>
      <c r="H737" s="107"/>
      <c r="I737" s="107"/>
      <c r="J737" s="107"/>
      <c r="K737" s="107"/>
      <c r="L737" s="107"/>
      <c r="M737" s="107"/>
      <c r="N737" s="107"/>
      <c r="O737" s="59"/>
      <c r="P737" s="107"/>
      <c r="Q737" s="107"/>
      <c r="R737" s="107"/>
    </row>
    <row r="738" spans="1:18" ht="15.75" customHeight="1" x14ac:dyDescent="0.25">
      <c r="A738" s="107"/>
      <c r="B738" s="107"/>
      <c r="C738" s="107"/>
      <c r="D738" s="107"/>
      <c r="E738" s="107"/>
      <c r="F738" s="107"/>
      <c r="G738" s="107"/>
      <c r="H738" s="107"/>
      <c r="I738" s="107"/>
      <c r="J738" s="107"/>
      <c r="K738" s="107"/>
      <c r="L738" s="107"/>
      <c r="M738" s="107"/>
      <c r="N738" s="107"/>
      <c r="O738" s="59"/>
      <c r="P738" s="107"/>
      <c r="Q738" s="107"/>
      <c r="R738" s="107"/>
    </row>
    <row r="739" spans="1:18" ht="15.75" customHeight="1" x14ac:dyDescent="0.25">
      <c r="A739" s="107"/>
      <c r="B739" s="107"/>
      <c r="C739" s="107"/>
      <c r="D739" s="107"/>
      <c r="E739" s="107"/>
      <c r="F739" s="107"/>
      <c r="G739" s="107"/>
      <c r="H739" s="107"/>
      <c r="I739" s="107"/>
      <c r="J739" s="107"/>
      <c r="K739" s="107"/>
      <c r="L739" s="107"/>
      <c r="M739" s="107"/>
      <c r="N739" s="107"/>
      <c r="O739" s="59"/>
      <c r="P739" s="107"/>
      <c r="Q739" s="107"/>
      <c r="R739" s="107"/>
    </row>
    <row r="740" spans="1:18" ht="15.75" customHeight="1" x14ac:dyDescent="0.25">
      <c r="A740" s="107"/>
      <c r="B740" s="107"/>
      <c r="C740" s="107"/>
      <c r="D740" s="107"/>
      <c r="E740" s="107"/>
      <c r="F740" s="107"/>
      <c r="G740" s="107"/>
      <c r="H740" s="107"/>
      <c r="I740" s="107"/>
      <c r="J740" s="107"/>
      <c r="K740" s="107"/>
      <c r="L740" s="107"/>
      <c r="M740" s="107"/>
      <c r="N740" s="107"/>
      <c r="O740" s="59"/>
      <c r="P740" s="107"/>
      <c r="Q740" s="107"/>
      <c r="R740" s="107"/>
    </row>
    <row r="741" spans="1:18" ht="15.75" customHeight="1" x14ac:dyDescent="0.25">
      <c r="A741" s="107"/>
      <c r="B741" s="107"/>
      <c r="C741" s="107"/>
      <c r="D741" s="107"/>
      <c r="E741" s="107"/>
      <c r="F741" s="107"/>
      <c r="G741" s="107"/>
      <c r="H741" s="107"/>
      <c r="I741" s="107"/>
      <c r="J741" s="107"/>
      <c r="K741" s="107"/>
      <c r="L741" s="107"/>
      <c r="M741" s="107"/>
      <c r="N741" s="107"/>
      <c r="O741" s="59"/>
      <c r="P741" s="107"/>
      <c r="Q741" s="107"/>
      <c r="R741" s="107"/>
    </row>
    <row r="742" spans="1:18" ht="15.75" customHeight="1" x14ac:dyDescent="0.25">
      <c r="A742" s="107"/>
      <c r="B742" s="107"/>
      <c r="C742" s="107"/>
      <c r="D742" s="107"/>
      <c r="E742" s="107"/>
      <c r="F742" s="107"/>
      <c r="G742" s="107"/>
      <c r="H742" s="107"/>
      <c r="I742" s="107"/>
      <c r="J742" s="107"/>
      <c r="K742" s="107"/>
      <c r="L742" s="107"/>
      <c r="M742" s="107"/>
      <c r="N742" s="107"/>
      <c r="O742" s="59"/>
      <c r="P742" s="107"/>
      <c r="Q742" s="107"/>
      <c r="R742" s="107"/>
    </row>
    <row r="743" spans="1:18" ht="15.75" customHeight="1" x14ac:dyDescent="0.25">
      <c r="A743" s="107"/>
      <c r="B743" s="107"/>
      <c r="C743" s="107"/>
      <c r="D743" s="107"/>
      <c r="E743" s="107"/>
      <c r="F743" s="107"/>
      <c r="G743" s="107"/>
      <c r="H743" s="107"/>
      <c r="I743" s="107"/>
      <c r="J743" s="107"/>
      <c r="K743" s="107"/>
      <c r="L743" s="107"/>
      <c r="M743" s="107"/>
      <c r="N743" s="107"/>
      <c r="O743" s="59"/>
      <c r="P743" s="107"/>
      <c r="Q743" s="107"/>
      <c r="R743" s="107"/>
    </row>
    <row r="744" spans="1:18" ht="15.75" customHeight="1" x14ac:dyDescent="0.25">
      <c r="A744" s="107"/>
      <c r="B744" s="107"/>
      <c r="C744" s="107"/>
      <c r="D744" s="107"/>
      <c r="E744" s="107"/>
      <c r="F744" s="107"/>
      <c r="G744" s="107"/>
      <c r="H744" s="107"/>
      <c r="I744" s="107"/>
      <c r="J744" s="107"/>
      <c r="K744" s="107"/>
      <c r="L744" s="107"/>
      <c r="M744" s="107"/>
      <c r="N744" s="107"/>
      <c r="O744" s="59"/>
      <c r="P744" s="107"/>
      <c r="Q744" s="107"/>
      <c r="R744" s="107"/>
    </row>
    <row r="745" spans="1:18" ht="15.75" customHeight="1" x14ac:dyDescent="0.25">
      <c r="A745" s="107"/>
      <c r="B745" s="107"/>
      <c r="C745" s="107"/>
      <c r="D745" s="107"/>
      <c r="E745" s="107"/>
      <c r="F745" s="107"/>
      <c r="G745" s="107"/>
      <c r="H745" s="107"/>
      <c r="I745" s="107"/>
      <c r="J745" s="107"/>
      <c r="K745" s="107"/>
      <c r="L745" s="107"/>
      <c r="M745" s="107"/>
      <c r="N745" s="107"/>
      <c r="O745" s="59"/>
      <c r="P745" s="107"/>
      <c r="Q745" s="107"/>
      <c r="R745" s="107"/>
    </row>
    <row r="746" spans="1:18" ht="15.75" customHeight="1" x14ac:dyDescent="0.25">
      <c r="A746" s="107"/>
      <c r="B746" s="107"/>
      <c r="C746" s="107"/>
      <c r="D746" s="107"/>
      <c r="E746" s="107"/>
      <c r="F746" s="107"/>
      <c r="G746" s="107"/>
      <c r="H746" s="107"/>
      <c r="I746" s="107"/>
      <c r="J746" s="107"/>
      <c r="K746" s="107"/>
      <c r="L746" s="107"/>
      <c r="M746" s="107"/>
      <c r="N746" s="107"/>
      <c r="O746" s="59"/>
      <c r="P746" s="107"/>
      <c r="Q746" s="107"/>
      <c r="R746" s="107"/>
    </row>
    <row r="747" spans="1:18" ht="15.75" customHeight="1" x14ac:dyDescent="0.25">
      <c r="A747" s="107"/>
      <c r="B747" s="107"/>
      <c r="C747" s="107"/>
      <c r="D747" s="107"/>
      <c r="E747" s="107"/>
      <c r="F747" s="107"/>
      <c r="G747" s="107"/>
      <c r="H747" s="107"/>
      <c r="I747" s="107"/>
      <c r="J747" s="107"/>
      <c r="K747" s="107"/>
      <c r="L747" s="107"/>
      <c r="M747" s="107"/>
      <c r="N747" s="107"/>
      <c r="O747" s="59"/>
      <c r="P747" s="107"/>
      <c r="Q747" s="107"/>
      <c r="R747" s="107"/>
    </row>
    <row r="748" spans="1:18" ht="15.75" customHeight="1" x14ac:dyDescent="0.25">
      <c r="A748" s="107"/>
      <c r="B748" s="107"/>
      <c r="C748" s="107"/>
      <c r="D748" s="107"/>
      <c r="E748" s="107"/>
      <c r="F748" s="107"/>
      <c r="G748" s="107"/>
      <c r="H748" s="107"/>
      <c r="I748" s="107"/>
      <c r="J748" s="107"/>
      <c r="K748" s="107"/>
      <c r="L748" s="107"/>
      <c r="M748" s="107"/>
      <c r="N748" s="107"/>
      <c r="O748" s="59"/>
      <c r="P748" s="107"/>
      <c r="Q748" s="107"/>
      <c r="R748" s="107"/>
    </row>
    <row r="749" spans="1:18" ht="15.75" customHeight="1" x14ac:dyDescent="0.25">
      <c r="A749" s="107"/>
      <c r="B749" s="107"/>
      <c r="C749" s="107"/>
      <c r="D749" s="107"/>
      <c r="E749" s="107"/>
      <c r="F749" s="107"/>
      <c r="G749" s="107"/>
      <c r="H749" s="107"/>
      <c r="I749" s="107"/>
      <c r="J749" s="107"/>
      <c r="K749" s="107"/>
      <c r="L749" s="107"/>
      <c r="M749" s="107"/>
      <c r="N749" s="107"/>
      <c r="O749" s="59"/>
      <c r="P749" s="107"/>
      <c r="Q749" s="107"/>
      <c r="R749" s="107"/>
    </row>
    <row r="750" spans="1:18" ht="15.75" customHeight="1" x14ac:dyDescent="0.25">
      <c r="A750" s="107"/>
      <c r="B750" s="107"/>
      <c r="C750" s="107"/>
      <c r="D750" s="107"/>
      <c r="E750" s="107"/>
      <c r="F750" s="107"/>
      <c r="G750" s="107"/>
      <c r="H750" s="107"/>
      <c r="I750" s="107"/>
      <c r="J750" s="107"/>
      <c r="K750" s="107"/>
      <c r="L750" s="107"/>
      <c r="M750" s="107"/>
      <c r="N750" s="107"/>
      <c r="O750" s="59"/>
      <c r="P750" s="107"/>
      <c r="Q750" s="107"/>
      <c r="R750" s="107"/>
    </row>
    <row r="751" spans="1:18" ht="15.75" customHeight="1" x14ac:dyDescent="0.25">
      <c r="A751" s="107"/>
      <c r="B751" s="107"/>
      <c r="C751" s="107"/>
      <c r="D751" s="107"/>
      <c r="E751" s="107"/>
      <c r="F751" s="107"/>
      <c r="G751" s="107"/>
      <c r="H751" s="107"/>
      <c r="I751" s="107"/>
      <c r="J751" s="107"/>
      <c r="K751" s="107"/>
      <c r="L751" s="107"/>
      <c r="M751" s="107"/>
      <c r="N751" s="107"/>
      <c r="O751" s="59"/>
      <c r="P751" s="107"/>
      <c r="Q751" s="107"/>
      <c r="R751" s="107"/>
    </row>
    <row r="752" spans="1:18" ht="15.75" customHeight="1" x14ac:dyDescent="0.25">
      <c r="A752" s="107"/>
      <c r="B752" s="107"/>
      <c r="C752" s="107"/>
      <c r="D752" s="107"/>
      <c r="E752" s="107"/>
      <c r="F752" s="107"/>
      <c r="G752" s="107"/>
      <c r="H752" s="107"/>
      <c r="I752" s="107"/>
      <c r="J752" s="107"/>
      <c r="K752" s="107"/>
      <c r="L752" s="107"/>
      <c r="M752" s="107"/>
      <c r="N752" s="107"/>
      <c r="O752" s="59"/>
      <c r="P752" s="107"/>
      <c r="Q752" s="107"/>
      <c r="R752" s="107"/>
    </row>
    <row r="753" spans="1:18" ht="15.75" customHeight="1" x14ac:dyDescent="0.25">
      <c r="A753" s="107"/>
      <c r="B753" s="107"/>
      <c r="C753" s="107"/>
      <c r="D753" s="107"/>
      <c r="E753" s="107"/>
      <c r="F753" s="107"/>
      <c r="G753" s="107"/>
      <c r="H753" s="107"/>
      <c r="I753" s="107"/>
      <c r="J753" s="107"/>
      <c r="K753" s="107"/>
      <c r="L753" s="107"/>
      <c r="M753" s="107"/>
      <c r="N753" s="107"/>
      <c r="O753" s="59"/>
      <c r="P753" s="107"/>
      <c r="Q753" s="107"/>
      <c r="R753" s="107"/>
    </row>
    <row r="754" spans="1:18" ht="15.75" customHeight="1" x14ac:dyDescent="0.25">
      <c r="A754" s="107"/>
      <c r="B754" s="107"/>
      <c r="C754" s="107"/>
      <c r="D754" s="107"/>
      <c r="E754" s="107"/>
      <c r="F754" s="107"/>
      <c r="G754" s="107"/>
      <c r="H754" s="107"/>
      <c r="I754" s="107"/>
      <c r="J754" s="107"/>
      <c r="K754" s="107"/>
      <c r="L754" s="107"/>
      <c r="M754" s="107"/>
      <c r="N754" s="107"/>
      <c r="O754" s="59"/>
      <c r="P754" s="107"/>
      <c r="Q754" s="107"/>
      <c r="R754" s="107"/>
    </row>
    <row r="755" spans="1:18" ht="15.75" customHeight="1" x14ac:dyDescent="0.25">
      <c r="A755" s="107"/>
      <c r="B755" s="107"/>
      <c r="C755" s="107"/>
      <c r="D755" s="107"/>
      <c r="E755" s="107"/>
      <c r="F755" s="107"/>
      <c r="G755" s="107"/>
      <c r="H755" s="107"/>
      <c r="I755" s="107"/>
      <c r="J755" s="107"/>
      <c r="K755" s="107"/>
      <c r="L755" s="107"/>
      <c r="M755" s="107"/>
      <c r="N755" s="107"/>
      <c r="O755" s="59"/>
      <c r="P755" s="107"/>
      <c r="Q755" s="107"/>
      <c r="R755" s="107"/>
    </row>
    <row r="756" spans="1:18" ht="15.75" customHeight="1" x14ac:dyDescent="0.25">
      <c r="A756" s="107"/>
      <c r="B756" s="107"/>
      <c r="C756" s="107"/>
      <c r="D756" s="107"/>
      <c r="E756" s="107"/>
      <c r="F756" s="107"/>
      <c r="G756" s="107"/>
      <c r="H756" s="107"/>
      <c r="I756" s="107"/>
      <c r="J756" s="107"/>
      <c r="K756" s="107"/>
      <c r="L756" s="107"/>
      <c r="M756" s="107"/>
      <c r="N756" s="107"/>
      <c r="O756" s="59"/>
      <c r="P756" s="107"/>
      <c r="Q756" s="107"/>
      <c r="R756" s="107"/>
    </row>
    <row r="757" spans="1:18" ht="15.75" customHeight="1" x14ac:dyDescent="0.25">
      <c r="A757" s="107"/>
      <c r="B757" s="107"/>
      <c r="C757" s="107"/>
      <c r="D757" s="107"/>
      <c r="E757" s="107"/>
      <c r="F757" s="107"/>
      <c r="G757" s="107"/>
      <c r="H757" s="107"/>
      <c r="I757" s="107"/>
      <c r="J757" s="107"/>
      <c r="K757" s="107"/>
      <c r="L757" s="107"/>
      <c r="M757" s="107"/>
      <c r="N757" s="107"/>
      <c r="O757" s="59"/>
      <c r="P757" s="107"/>
      <c r="Q757" s="107"/>
      <c r="R757" s="107"/>
    </row>
    <row r="758" spans="1:18" ht="15.75" customHeight="1" x14ac:dyDescent="0.25">
      <c r="A758" s="107"/>
      <c r="B758" s="107"/>
      <c r="C758" s="107"/>
      <c r="D758" s="107"/>
      <c r="E758" s="107"/>
      <c r="F758" s="107"/>
      <c r="G758" s="107"/>
      <c r="H758" s="107"/>
      <c r="I758" s="107"/>
      <c r="J758" s="107"/>
      <c r="K758" s="107"/>
      <c r="L758" s="107"/>
      <c r="M758" s="107"/>
      <c r="N758" s="107"/>
      <c r="O758" s="59"/>
      <c r="P758" s="107"/>
      <c r="Q758" s="107"/>
      <c r="R758" s="107"/>
    </row>
    <row r="759" spans="1:18" ht="15.75" customHeight="1" x14ac:dyDescent="0.25">
      <c r="A759" s="107"/>
      <c r="B759" s="107"/>
      <c r="C759" s="107"/>
      <c r="D759" s="107"/>
      <c r="E759" s="107"/>
      <c r="F759" s="107"/>
      <c r="G759" s="107"/>
      <c r="H759" s="107"/>
      <c r="I759" s="107"/>
      <c r="J759" s="107"/>
      <c r="K759" s="107"/>
      <c r="L759" s="107"/>
      <c r="M759" s="107"/>
      <c r="N759" s="107"/>
      <c r="O759" s="59"/>
      <c r="P759" s="107"/>
      <c r="Q759" s="107"/>
      <c r="R759" s="107"/>
    </row>
    <row r="760" spans="1:18" ht="15.75" customHeight="1" x14ac:dyDescent="0.25">
      <c r="A760" s="107"/>
      <c r="B760" s="107"/>
      <c r="C760" s="107"/>
      <c r="D760" s="107"/>
      <c r="E760" s="107"/>
      <c r="F760" s="107"/>
      <c r="G760" s="107"/>
      <c r="H760" s="107"/>
      <c r="I760" s="107"/>
      <c r="J760" s="107"/>
      <c r="K760" s="107"/>
      <c r="L760" s="107"/>
      <c r="M760" s="107"/>
      <c r="N760" s="107"/>
      <c r="O760" s="59"/>
      <c r="P760" s="107"/>
      <c r="Q760" s="107"/>
      <c r="R760" s="107"/>
    </row>
    <row r="761" spans="1:18" ht="15.75" customHeight="1" x14ac:dyDescent="0.25">
      <c r="A761" s="107"/>
      <c r="B761" s="107"/>
      <c r="C761" s="107"/>
      <c r="D761" s="107"/>
      <c r="E761" s="107"/>
      <c r="F761" s="107"/>
      <c r="G761" s="107"/>
      <c r="H761" s="107"/>
      <c r="I761" s="107"/>
      <c r="J761" s="107"/>
      <c r="K761" s="107"/>
      <c r="L761" s="107"/>
      <c r="M761" s="107"/>
      <c r="N761" s="107"/>
      <c r="O761" s="59"/>
      <c r="P761" s="107"/>
      <c r="Q761" s="107"/>
      <c r="R761" s="107"/>
    </row>
    <row r="762" spans="1:18" ht="15.75" customHeight="1" x14ac:dyDescent="0.25">
      <c r="A762" s="107"/>
      <c r="B762" s="107"/>
      <c r="C762" s="107"/>
      <c r="D762" s="107"/>
      <c r="E762" s="107"/>
      <c r="F762" s="107"/>
      <c r="G762" s="107"/>
      <c r="H762" s="107"/>
      <c r="I762" s="107"/>
      <c r="J762" s="107"/>
      <c r="K762" s="107"/>
      <c r="L762" s="107"/>
      <c r="M762" s="107"/>
      <c r="N762" s="107"/>
      <c r="O762" s="59"/>
      <c r="P762" s="107"/>
      <c r="Q762" s="107"/>
      <c r="R762" s="107"/>
    </row>
    <row r="763" spans="1:18" ht="15.75" customHeight="1" x14ac:dyDescent="0.25">
      <c r="A763" s="107"/>
      <c r="B763" s="107"/>
      <c r="C763" s="107"/>
      <c r="D763" s="107"/>
      <c r="E763" s="107"/>
      <c r="F763" s="107"/>
      <c r="G763" s="107"/>
      <c r="H763" s="107"/>
      <c r="I763" s="107"/>
      <c r="J763" s="107"/>
      <c r="K763" s="107"/>
      <c r="L763" s="107"/>
      <c r="M763" s="107"/>
      <c r="N763" s="107"/>
      <c r="O763" s="59"/>
      <c r="P763" s="107"/>
      <c r="Q763" s="107"/>
      <c r="R763" s="107"/>
    </row>
    <row r="764" spans="1:18" ht="15.75" customHeight="1" x14ac:dyDescent="0.25">
      <c r="A764" s="107"/>
      <c r="B764" s="107"/>
      <c r="C764" s="107"/>
      <c r="D764" s="107"/>
      <c r="E764" s="107"/>
      <c r="F764" s="107"/>
      <c r="G764" s="107"/>
      <c r="H764" s="107"/>
      <c r="I764" s="107"/>
      <c r="J764" s="107"/>
      <c r="K764" s="107"/>
      <c r="L764" s="107"/>
      <c r="M764" s="107"/>
      <c r="N764" s="107"/>
      <c r="O764" s="59"/>
      <c r="P764" s="107"/>
      <c r="Q764" s="107"/>
      <c r="R764" s="107"/>
    </row>
    <row r="765" spans="1:18" ht="15.75" customHeight="1" x14ac:dyDescent="0.25">
      <c r="A765" s="107"/>
      <c r="B765" s="107"/>
      <c r="C765" s="107"/>
      <c r="D765" s="107"/>
      <c r="E765" s="107"/>
      <c r="F765" s="107"/>
      <c r="G765" s="107"/>
      <c r="H765" s="107"/>
      <c r="I765" s="107"/>
      <c r="J765" s="107"/>
      <c r="K765" s="107"/>
      <c r="L765" s="107"/>
      <c r="M765" s="107"/>
      <c r="N765" s="107"/>
      <c r="O765" s="59"/>
      <c r="P765" s="107"/>
      <c r="Q765" s="107"/>
      <c r="R765" s="107"/>
    </row>
    <row r="766" spans="1:18" ht="15.75" customHeight="1" x14ac:dyDescent="0.25">
      <c r="A766" s="107"/>
      <c r="B766" s="107"/>
      <c r="C766" s="107"/>
      <c r="D766" s="107"/>
      <c r="E766" s="107"/>
      <c r="F766" s="107"/>
      <c r="G766" s="107"/>
      <c r="H766" s="107"/>
      <c r="I766" s="107"/>
      <c r="J766" s="107"/>
      <c r="K766" s="107"/>
      <c r="L766" s="107"/>
      <c r="M766" s="107"/>
      <c r="N766" s="107"/>
      <c r="O766" s="59"/>
      <c r="P766" s="107"/>
      <c r="Q766" s="107"/>
      <c r="R766" s="107"/>
    </row>
    <row r="767" spans="1:18" ht="15.75" customHeight="1" x14ac:dyDescent="0.25">
      <c r="A767" s="107"/>
      <c r="B767" s="107"/>
      <c r="C767" s="107"/>
      <c r="D767" s="107"/>
      <c r="E767" s="107"/>
      <c r="F767" s="107"/>
      <c r="G767" s="107"/>
      <c r="H767" s="107"/>
      <c r="I767" s="107"/>
      <c r="J767" s="107"/>
      <c r="K767" s="107"/>
      <c r="L767" s="107"/>
      <c r="M767" s="107"/>
      <c r="N767" s="107"/>
      <c r="O767" s="59"/>
      <c r="P767" s="107"/>
      <c r="Q767" s="107"/>
      <c r="R767" s="107"/>
    </row>
    <row r="768" spans="1:18" ht="15.75" customHeight="1" x14ac:dyDescent="0.25">
      <c r="A768" s="107"/>
      <c r="B768" s="107"/>
      <c r="C768" s="107"/>
      <c r="D768" s="107"/>
      <c r="E768" s="107"/>
      <c r="F768" s="107"/>
      <c r="G768" s="107"/>
      <c r="H768" s="107"/>
      <c r="I768" s="107"/>
      <c r="J768" s="107"/>
      <c r="K768" s="107"/>
      <c r="L768" s="107"/>
      <c r="M768" s="107"/>
      <c r="N768" s="107"/>
      <c r="O768" s="59"/>
      <c r="P768" s="107"/>
      <c r="Q768" s="107"/>
      <c r="R768" s="107"/>
    </row>
    <row r="769" spans="1:18" ht="15.75" customHeight="1" x14ac:dyDescent="0.25">
      <c r="A769" s="107"/>
      <c r="B769" s="107"/>
      <c r="C769" s="107"/>
      <c r="D769" s="107"/>
      <c r="E769" s="107"/>
      <c r="F769" s="107"/>
      <c r="G769" s="107"/>
      <c r="H769" s="107"/>
      <c r="I769" s="107"/>
      <c r="J769" s="107"/>
      <c r="K769" s="107"/>
      <c r="L769" s="107"/>
      <c r="M769" s="107"/>
      <c r="N769" s="107"/>
      <c r="O769" s="59"/>
      <c r="P769" s="107"/>
      <c r="Q769" s="107"/>
      <c r="R769" s="107"/>
    </row>
    <row r="770" spans="1:18" ht="15.75" customHeight="1" x14ac:dyDescent="0.25">
      <c r="A770" s="107"/>
      <c r="B770" s="107"/>
      <c r="C770" s="107"/>
      <c r="D770" s="107"/>
      <c r="E770" s="107"/>
      <c r="F770" s="107"/>
      <c r="G770" s="107"/>
      <c r="H770" s="107"/>
      <c r="I770" s="107"/>
      <c r="J770" s="107"/>
      <c r="K770" s="107"/>
      <c r="L770" s="107"/>
      <c r="M770" s="107"/>
      <c r="N770" s="107"/>
      <c r="O770" s="59"/>
      <c r="P770" s="107"/>
      <c r="Q770" s="107"/>
      <c r="R770" s="107"/>
    </row>
    <row r="771" spans="1:18" ht="15.75" customHeight="1" x14ac:dyDescent="0.25">
      <c r="A771" s="107"/>
      <c r="B771" s="107"/>
      <c r="C771" s="107"/>
      <c r="D771" s="107"/>
      <c r="E771" s="107"/>
      <c r="F771" s="107"/>
      <c r="G771" s="107"/>
      <c r="H771" s="107"/>
      <c r="I771" s="107"/>
      <c r="J771" s="107"/>
      <c r="K771" s="107"/>
      <c r="L771" s="107"/>
      <c r="M771" s="107"/>
      <c r="N771" s="107"/>
      <c r="O771" s="59"/>
      <c r="P771" s="107"/>
      <c r="Q771" s="107"/>
      <c r="R771" s="107"/>
    </row>
    <row r="772" spans="1:18" ht="15.75" customHeight="1" x14ac:dyDescent="0.25">
      <c r="A772" s="107"/>
      <c r="B772" s="107"/>
      <c r="C772" s="107"/>
      <c r="D772" s="107"/>
      <c r="E772" s="107"/>
      <c r="F772" s="107"/>
      <c r="G772" s="107"/>
      <c r="H772" s="107"/>
      <c r="I772" s="107"/>
      <c r="J772" s="107"/>
      <c r="K772" s="107"/>
      <c r="L772" s="107"/>
      <c r="M772" s="107"/>
      <c r="N772" s="107"/>
      <c r="O772" s="59"/>
      <c r="P772" s="107"/>
      <c r="Q772" s="107"/>
      <c r="R772" s="107"/>
    </row>
    <row r="773" spans="1:18" ht="15.75" customHeight="1" x14ac:dyDescent="0.25">
      <c r="A773" s="107"/>
      <c r="B773" s="107"/>
      <c r="C773" s="107"/>
      <c r="D773" s="107"/>
      <c r="E773" s="107"/>
      <c r="F773" s="107"/>
      <c r="G773" s="107"/>
      <c r="H773" s="107"/>
      <c r="I773" s="107"/>
      <c r="J773" s="107"/>
      <c r="K773" s="107"/>
      <c r="L773" s="107"/>
      <c r="M773" s="107"/>
      <c r="N773" s="107"/>
      <c r="O773" s="59"/>
      <c r="P773" s="107"/>
      <c r="Q773" s="107"/>
      <c r="R773" s="107"/>
    </row>
    <row r="774" spans="1:18" ht="15.75" customHeight="1" x14ac:dyDescent="0.25">
      <c r="A774" s="107"/>
      <c r="B774" s="107"/>
      <c r="C774" s="107"/>
      <c r="D774" s="107"/>
      <c r="E774" s="107"/>
      <c r="F774" s="107"/>
      <c r="G774" s="107"/>
      <c r="H774" s="107"/>
      <c r="I774" s="107"/>
      <c r="J774" s="107"/>
      <c r="K774" s="107"/>
      <c r="L774" s="107"/>
      <c r="M774" s="107"/>
      <c r="N774" s="107"/>
      <c r="O774" s="59"/>
      <c r="P774" s="107"/>
      <c r="Q774" s="107"/>
      <c r="R774" s="107"/>
    </row>
    <row r="775" spans="1:18" ht="15.75" customHeight="1" x14ac:dyDescent="0.25">
      <c r="A775" s="107"/>
      <c r="B775" s="107"/>
      <c r="C775" s="107"/>
      <c r="D775" s="107"/>
      <c r="E775" s="107"/>
      <c r="F775" s="107"/>
      <c r="G775" s="107"/>
      <c r="H775" s="107"/>
      <c r="I775" s="107"/>
      <c r="J775" s="107"/>
      <c r="K775" s="107"/>
      <c r="L775" s="107"/>
      <c r="M775" s="107"/>
      <c r="N775" s="107"/>
      <c r="O775" s="59"/>
      <c r="P775" s="107"/>
      <c r="Q775" s="107"/>
      <c r="R775" s="107"/>
    </row>
    <row r="776" spans="1:18" ht="15.75" customHeight="1" x14ac:dyDescent="0.25">
      <c r="A776" s="107"/>
      <c r="B776" s="107"/>
      <c r="C776" s="107"/>
      <c r="D776" s="107"/>
      <c r="E776" s="107"/>
      <c r="F776" s="107"/>
      <c r="G776" s="107"/>
      <c r="H776" s="107"/>
      <c r="I776" s="107"/>
      <c r="J776" s="107"/>
      <c r="K776" s="107"/>
      <c r="L776" s="107"/>
      <c r="M776" s="107"/>
      <c r="N776" s="107"/>
      <c r="O776" s="59"/>
      <c r="P776" s="107"/>
      <c r="Q776" s="107"/>
      <c r="R776" s="107"/>
    </row>
    <row r="777" spans="1:18" ht="15.75" customHeight="1" x14ac:dyDescent="0.25">
      <c r="A777" s="107"/>
      <c r="B777" s="107"/>
      <c r="C777" s="107"/>
      <c r="D777" s="107"/>
      <c r="E777" s="107"/>
      <c r="F777" s="107"/>
      <c r="G777" s="107"/>
      <c r="H777" s="107"/>
      <c r="I777" s="107"/>
      <c r="J777" s="107"/>
      <c r="K777" s="107"/>
      <c r="L777" s="107"/>
      <c r="M777" s="107"/>
      <c r="N777" s="107"/>
      <c r="O777" s="59"/>
      <c r="P777" s="107"/>
      <c r="Q777" s="107"/>
      <c r="R777" s="107"/>
    </row>
    <row r="778" spans="1:18" ht="15.75" customHeight="1" x14ac:dyDescent="0.25">
      <c r="A778" s="107"/>
      <c r="B778" s="107"/>
      <c r="C778" s="107"/>
      <c r="D778" s="107"/>
      <c r="E778" s="107"/>
      <c r="F778" s="107"/>
      <c r="G778" s="107"/>
      <c r="H778" s="107"/>
      <c r="I778" s="107"/>
      <c r="J778" s="107"/>
      <c r="K778" s="107"/>
      <c r="L778" s="107"/>
      <c r="M778" s="107"/>
      <c r="N778" s="107"/>
      <c r="O778" s="59"/>
      <c r="P778" s="107"/>
      <c r="Q778" s="107"/>
      <c r="R778" s="107"/>
    </row>
    <row r="779" spans="1:18" ht="15.75" customHeight="1" x14ac:dyDescent="0.25">
      <c r="A779" s="107"/>
      <c r="B779" s="107"/>
      <c r="C779" s="107"/>
      <c r="D779" s="107"/>
      <c r="E779" s="107"/>
      <c r="F779" s="107"/>
      <c r="G779" s="107"/>
      <c r="H779" s="107"/>
      <c r="I779" s="107"/>
      <c r="J779" s="107"/>
      <c r="K779" s="107"/>
      <c r="L779" s="107"/>
      <c r="M779" s="107"/>
      <c r="N779" s="107"/>
      <c r="O779" s="59"/>
      <c r="P779" s="107"/>
      <c r="Q779" s="107"/>
      <c r="R779" s="107"/>
    </row>
    <row r="780" spans="1:18" ht="15.75" customHeight="1" x14ac:dyDescent="0.25">
      <c r="A780" s="107"/>
      <c r="B780" s="107"/>
      <c r="C780" s="107"/>
      <c r="D780" s="107"/>
      <c r="E780" s="107"/>
      <c r="F780" s="107"/>
      <c r="G780" s="107"/>
      <c r="H780" s="107"/>
      <c r="I780" s="107"/>
      <c r="J780" s="107"/>
      <c r="K780" s="107"/>
      <c r="L780" s="107"/>
      <c r="M780" s="107"/>
      <c r="N780" s="107"/>
      <c r="O780" s="59"/>
      <c r="P780" s="107"/>
      <c r="Q780" s="107"/>
      <c r="R780" s="107"/>
    </row>
    <row r="781" spans="1:18" ht="15.75" customHeight="1" x14ac:dyDescent="0.25">
      <c r="A781" s="107"/>
      <c r="B781" s="107"/>
      <c r="C781" s="107"/>
      <c r="D781" s="107"/>
      <c r="E781" s="107"/>
      <c r="F781" s="107"/>
      <c r="G781" s="107"/>
      <c r="H781" s="107"/>
      <c r="I781" s="107"/>
      <c r="J781" s="107"/>
      <c r="K781" s="107"/>
      <c r="L781" s="107"/>
      <c r="M781" s="107"/>
      <c r="N781" s="107"/>
      <c r="O781" s="59"/>
      <c r="P781" s="107"/>
      <c r="Q781" s="107"/>
      <c r="R781" s="107"/>
    </row>
    <row r="782" spans="1:18" ht="15.75" customHeight="1" x14ac:dyDescent="0.25">
      <c r="A782" s="107"/>
      <c r="B782" s="107"/>
      <c r="C782" s="107"/>
      <c r="D782" s="107"/>
      <c r="E782" s="107"/>
      <c r="F782" s="107"/>
      <c r="G782" s="107"/>
      <c r="H782" s="107"/>
      <c r="I782" s="107"/>
      <c r="J782" s="107"/>
      <c r="K782" s="107"/>
      <c r="L782" s="107"/>
      <c r="M782" s="107"/>
      <c r="N782" s="107"/>
      <c r="O782" s="59"/>
      <c r="P782" s="107"/>
      <c r="Q782" s="107"/>
      <c r="R782" s="107"/>
    </row>
    <row r="783" spans="1:18" ht="15.75" customHeight="1" x14ac:dyDescent="0.25">
      <c r="A783" s="107"/>
      <c r="B783" s="107"/>
      <c r="C783" s="107"/>
      <c r="D783" s="107"/>
      <c r="E783" s="107"/>
      <c r="F783" s="107"/>
      <c r="G783" s="107"/>
      <c r="H783" s="107"/>
      <c r="I783" s="107"/>
      <c r="J783" s="107"/>
      <c r="K783" s="107"/>
      <c r="L783" s="107"/>
      <c r="M783" s="107"/>
      <c r="N783" s="107"/>
      <c r="O783" s="59"/>
      <c r="P783" s="107"/>
      <c r="Q783" s="107"/>
      <c r="R783" s="107"/>
    </row>
    <row r="784" spans="1:18" ht="15.75" customHeight="1" x14ac:dyDescent="0.25">
      <c r="A784" s="107"/>
      <c r="B784" s="107"/>
      <c r="C784" s="107"/>
      <c r="D784" s="107"/>
      <c r="E784" s="107"/>
      <c r="F784" s="107"/>
      <c r="G784" s="107"/>
      <c r="H784" s="107"/>
      <c r="I784" s="107"/>
      <c r="J784" s="107"/>
      <c r="K784" s="107"/>
      <c r="L784" s="107"/>
      <c r="M784" s="107"/>
      <c r="N784" s="107"/>
      <c r="O784" s="59"/>
      <c r="P784" s="107"/>
      <c r="Q784" s="107"/>
      <c r="R784" s="107"/>
    </row>
    <row r="785" spans="1:18" ht="15.75" customHeight="1" x14ac:dyDescent="0.25">
      <c r="A785" s="107"/>
      <c r="B785" s="107"/>
      <c r="C785" s="107"/>
      <c r="D785" s="107"/>
      <c r="E785" s="107"/>
      <c r="F785" s="107"/>
      <c r="G785" s="107"/>
      <c r="H785" s="107"/>
      <c r="I785" s="107"/>
      <c r="J785" s="107"/>
      <c r="K785" s="107"/>
      <c r="L785" s="107"/>
      <c r="M785" s="107"/>
      <c r="N785" s="107"/>
      <c r="O785" s="59"/>
      <c r="P785" s="107"/>
      <c r="Q785" s="107"/>
      <c r="R785" s="107"/>
    </row>
    <row r="786" spans="1:18" ht="15.75" customHeight="1" x14ac:dyDescent="0.25">
      <c r="A786" s="107"/>
      <c r="B786" s="107"/>
      <c r="C786" s="107"/>
      <c r="D786" s="107"/>
      <c r="E786" s="107"/>
      <c r="F786" s="107"/>
      <c r="G786" s="107"/>
      <c r="H786" s="107"/>
      <c r="I786" s="107"/>
      <c r="J786" s="107"/>
      <c r="K786" s="107"/>
      <c r="L786" s="107"/>
      <c r="M786" s="107"/>
      <c r="N786" s="107"/>
      <c r="O786" s="59"/>
      <c r="P786" s="107"/>
      <c r="Q786" s="107"/>
      <c r="R786" s="107"/>
    </row>
    <row r="787" spans="1:18" ht="15.75" customHeight="1" x14ac:dyDescent="0.25">
      <c r="A787" s="107"/>
      <c r="B787" s="107"/>
      <c r="C787" s="107"/>
      <c r="D787" s="107"/>
      <c r="E787" s="107"/>
      <c r="F787" s="107"/>
      <c r="G787" s="107"/>
      <c r="H787" s="107"/>
      <c r="I787" s="107"/>
      <c r="J787" s="107"/>
      <c r="K787" s="107"/>
      <c r="L787" s="107"/>
      <c r="M787" s="107"/>
      <c r="N787" s="107"/>
      <c r="O787" s="59"/>
      <c r="P787" s="107"/>
      <c r="Q787" s="107"/>
      <c r="R787" s="107"/>
    </row>
    <row r="788" spans="1:18" ht="15.75" customHeight="1" x14ac:dyDescent="0.25">
      <c r="A788" s="107"/>
      <c r="B788" s="107"/>
      <c r="C788" s="107"/>
      <c r="D788" s="107"/>
      <c r="E788" s="107"/>
      <c r="F788" s="107"/>
      <c r="G788" s="107"/>
      <c r="H788" s="107"/>
      <c r="I788" s="107"/>
      <c r="J788" s="107"/>
      <c r="K788" s="107"/>
      <c r="L788" s="107"/>
      <c r="M788" s="107"/>
      <c r="N788" s="107"/>
      <c r="O788" s="59"/>
      <c r="P788" s="107"/>
      <c r="Q788" s="107"/>
      <c r="R788" s="107"/>
    </row>
    <row r="789" spans="1:18" ht="15.75" customHeight="1" x14ac:dyDescent="0.25">
      <c r="A789" s="107"/>
      <c r="B789" s="107"/>
      <c r="C789" s="107"/>
      <c r="D789" s="107"/>
      <c r="E789" s="107"/>
      <c r="F789" s="107"/>
      <c r="G789" s="107"/>
      <c r="H789" s="107"/>
      <c r="I789" s="107"/>
      <c r="J789" s="107"/>
      <c r="K789" s="107"/>
      <c r="L789" s="107"/>
      <c r="M789" s="107"/>
      <c r="N789" s="107"/>
      <c r="O789" s="59"/>
      <c r="P789" s="107"/>
      <c r="Q789" s="107"/>
      <c r="R789" s="107"/>
    </row>
    <row r="790" spans="1:18" ht="15.75" customHeight="1" x14ac:dyDescent="0.25">
      <c r="A790" s="107"/>
      <c r="B790" s="107"/>
      <c r="C790" s="107"/>
      <c r="D790" s="107"/>
      <c r="E790" s="107"/>
      <c r="F790" s="107"/>
      <c r="G790" s="107"/>
      <c r="H790" s="107"/>
      <c r="I790" s="107"/>
      <c r="J790" s="107"/>
      <c r="K790" s="107"/>
      <c r="L790" s="107"/>
      <c r="M790" s="107"/>
      <c r="N790" s="107"/>
      <c r="O790" s="59"/>
      <c r="P790" s="107"/>
      <c r="Q790" s="107"/>
      <c r="R790" s="107"/>
    </row>
    <row r="791" spans="1:18" ht="15.75" customHeight="1" x14ac:dyDescent="0.25">
      <c r="A791" s="107"/>
      <c r="B791" s="107"/>
      <c r="C791" s="107"/>
      <c r="D791" s="107"/>
      <c r="E791" s="107"/>
      <c r="F791" s="107"/>
      <c r="G791" s="107"/>
      <c r="H791" s="107"/>
      <c r="I791" s="107"/>
      <c r="J791" s="107"/>
      <c r="K791" s="107"/>
      <c r="L791" s="107"/>
      <c r="M791" s="107"/>
      <c r="N791" s="107"/>
      <c r="O791" s="59"/>
      <c r="P791" s="107"/>
      <c r="Q791" s="107"/>
      <c r="R791" s="107"/>
    </row>
    <row r="792" spans="1:18" ht="15.75" customHeight="1" x14ac:dyDescent="0.25">
      <c r="A792" s="107"/>
      <c r="B792" s="107"/>
      <c r="C792" s="107"/>
      <c r="D792" s="107"/>
      <c r="E792" s="107"/>
      <c r="F792" s="107"/>
      <c r="G792" s="107"/>
      <c r="H792" s="107"/>
      <c r="I792" s="107"/>
      <c r="J792" s="107"/>
      <c r="K792" s="107"/>
      <c r="L792" s="107"/>
      <c r="M792" s="107"/>
      <c r="N792" s="107"/>
      <c r="O792" s="59"/>
      <c r="P792" s="107"/>
      <c r="Q792" s="107"/>
      <c r="R792" s="107"/>
    </row>
    <row r="793" spans="1:18" ht="15.75" customHeight="1" x14ac:dyDescent="0.25">
      <c r="A793" s="107"/>
      <c r="B793" s="107"/>
      <c r="C793" s="107"/>
      <c r="D793" s="107"/>
      <c r="E793" s="107"/>
      <c r="F793" s="107"/>
      <c r="G793" s="107"/>
      <c r="H793" s="107"/>
      <c r="I793" s="107"/>
      <c r="J793" s="107"/>
      <c r="K793" s="107"/>
      <c r="L793" s="107"/>
      <c r="M793" s="107"/>
      <c r="N793" s="107"/>
      <c r="O793" s="59"/>
      <c r="P793" s="107"/>
      <c r="Q793" s="107"/>
      <c r="R793" s="107"/>
    </row>
    <row r="794" spans="1:18" ht="15.75" customHeight="1" x14ac:dyDescent="0.25">
      <c r="A794" s="107"/>
      <c r="B794" s="107"/>
      <c r="C794" s="107"/>
      <c r="D794" s="107"/>
      <c r="E794" s="107"/>
      <c r="F794" s="107"/>
      <c r="G794" s="107"/>
      <c r="H794" s="107"/>
      <c r="I794" s="107"/>
      <c r="J794" s="107"/>
      <c r="K794" s="107"/>
      <c r="L794" s="107"/>
      <c r="M794" s="107"/>
      <c r="N794" s="107"/>
      <c r="O794" s="59"/>
      <c r="P794" s="107"/>
      <c r="Q794" s="107"/>
      <c r="R794" s="107"/>
    </row>
    <row r="795" spans="1:18" ht="15.75" customHeight="1" x14ac:dyDescent="0.25">
      <c r="A795" s="107"/>
      <c r="B795" s="107"/>
      <c r="C795" s="107"/>
      <c r="D795" s="107"/>
      <c r="E795" s="107"/>
      <c r="F795" s="107"/>
      <c r="G795" s="107"/>
      <c r="H795" s="107"/>
      <c r="I795" s="107"/>
      <c r="J795" s="107"/>
      <c r="K795" s="107"/>
      <c r="L795" s="107"/>
      <c r="M795" s="107"/>
      <c r="N795" s="107"/>
      <c r="O795" s="59"/>
      <c r="P795" s="107"/>
      <c r="Q795" s="107"/>
      <c r="R795" s="107"/>
    </row>
    <row r="796" spans="1:18" ht="15.75" customHeight="1" x14ac:dyDescent="0.25">
      <c r="A796" s="107"/>
      <c r="B796" s="107"/>
      <c r="C796" s="107"/>
      <c r="D796" s="107"/>
      <c r="E796" s="107"/>
      <c r="F796" s="107"/>
      <c r="G796" s="107"/>
      <c r="H796" s="107"/>
      <c r="I796" s="107"/>
      <c r="J796" s="107"/>
      <c r="K796" s="107"/>
      <c r="L796" s="107"/>
      <c r="M796" s="107"/>
      <c r="N796" s="107"/>
      <c r="O796" s="59"/>
      <c r="P796" s="107"/>
      <c r="Q796" s="107"/>
      <c r="R796" s="107"/>
    </row>
    <row r="797" spans="1:18" ht="15.75" customHeight="1" x14ac:dyDescent="0.25">
      <c r="A797" s="107"/>
      <c r="B797" s="107"/>
      <c r="C797" s="107"/>
      <c r="D797" s="107"/>
      <c r="E797" s="107"/>
      <c r="F797" s="107"/>
      <c r="G797" s="107"/>
      <c r="H797" s="107"/>
      <c r="I797" s="107"/>
      <c r="J797" s="107"/>
      <c r="K797" s="107"/>
      <c r="L797" s="107"/>
      <c r="M797" s="107"/>
      <c r="N797" s="107"/>
      <c r="O797" s="59"/>
      <c r="P797" s="107"/>
      <c r="Q797" s="107"/>
      <c r="R797" s="107"/>
    </row>
    <row r="798" spans="1:18" ht="15.75" customHeight="1" x14ac:dyDescent="0.25">
      <c r="A798" s="107"/>
      <c r="B798" s="107"/>
      <c r="C798" s="107"/>
      <c r="D798" s="107"/>
      <c r="E798" s="107"/>
      <c r="F798" s="107"/>
      <c r="G798" s="107"/>
      <c r="H798" s="107"/>
      <c r="I798" s="107"/>
      <c r="J798" s="107"/>
      <c r="K798" s="107"/>
      <c r="L798" s="107"/>
      <c r="M798" s="107"/>
      <c r="N798" s="107"/>
      <c r="O798" s="59"/>
      <c r="P798" s="107"/>
      <c r="Q798" s="107"/>
      <c r="R798" s="107"/>
    </row>
    <row r="799" spans="1:18" ht="15.75" customHeight="1" x14ac:dyDescent="0.25">
      <c r="A799" s="107"/>
      <c r="B799" s="107"/>
      <c r="C799" s="107"/>
      <c r="D799" s="107"/>
      <c r="E799" s="107"/>
      <c r="F799" s="107"/>
      <c r="G799" s="107"/>
      <c r="H799" s="107"/>
      <c r="I799" s="107"/>
      <c r="J799" s="107"/>
      <c r="K799" s="107"/>
      <c r="L799" s="107"/>
      <c r="M799" s="107"/>
      <c r="N799" s="107"/>
      <c r="O799" s="59"/>
      <c r="P799" s="107"/>
      <c r="Q799" s="107"/>
      <c r="R799" s="107"/>
    </row>
    <row r="800" spans="1:18" ht="15.75" customHeight="1" x14ac:dyDescent="0.25">
      <c r="A800" s="107"/>
      <c r="B800" s="107"/>
      <c r="C800" s="107"/>
      <c r="D800" s="107"/>
      <c r="E800" s="107"/>
      <c r="F800" s="107"/>
      <c r="G800" s="107"/>
      <c r="H800" s="107"/>
      <c r="I800" s="107"/>
      <c r="J800" s="107"/>
      <c r="K800" s="107"/>
      <c r="L800" s="107"/>
      <c r="M800" s="107"/>
      <c r="N800" s="107"/>
      <c r="O800" s="59"/>
      <c r="P800" s="107"/>
      <c r="Q800" s="107"/>
      <c r="R800" s="107"/>
    </row>
    <row r="801" spans="1:18" ht="15.75" customHeight="1" x14ac:dyDescent="0.25">
      <c r="A801" s="107"/>
      <c r="B801" s="107"/>
      <c r="C801" s="107"/>
      <c r="D801" s="107"/>
      <c r="E801" s="107"/>
      <c r="F801" s="107"/>
      <c r="G801" s="107"/>
      <c r="H801" s="107"/>
      <c r="I801" s="107"/>
      <c r="J801" s="107"/>
      <c r="K801" s="107"/>
      <c r="L801" s="107"/>
      <c r="M801" s="107"/>
      <c r="N801" s="107"/>
      <c r="O801" s="59"/>
      <c r="P801" s="107"/>
      <c r="Q801" s="107"/>
      <c r="R801" s="107"/>
    </row>
    <row r="802" spans="1:18" ht="15.75" customHeight="1" x14ac:dyDescent="0.25">
      <c r="A802" s="107"/>
      <c r="B802" s="107"/>
      <c r="C802" s="107"/>
      <c r="D802" s="107"/>
      <c r="E802" s="107"/>
      <c r="F802" s="107"/>
      <c r="G802" s="107"/>
      <c r="H802" s="107"/>
      <c r="I802" s="107"/>
      <c r="J802" s="107"/>
      <c r="K802" s="107"/>
      <c r="L802" s="107"/>
      <c r="M802" s="107"/>
      <c r="N802" s="107"/>
      <c r="O802" s="59"/>
      <c r="P802" s="107"/>
      <c r="Q802" s="107"/>
      <c r="R802" s="107"/>
    </row>
    <row r="803" spans="1:18" ht="15.75" customHeight="1" x14ac:dyDescent="0.25">
      <c r="A803" s="107"/>
      <c r="B803" s="107"/>
      <c r="C803" s="107"/>
      <c r="D803" s="107"/>
      <c r="E803" s="107"/>
      <c r="F803" s="107"/>
      <c r="G803" s="107"/>
      <c r="H803" s="107"/>
      <c r="I803" s="107"/>
      <c r="J803" s="107"/>
      <c r="K803" s="107"/>
      <c r="L803" s="107"/>
      <c r="M803" s="107"/>
      <c r="N803" s="107"/>
      <c r="O803" s="59"/>
      <c r="P803" s="107"/>
      <c r="Q803" s="107"/>
      <c r="R803" s="107"/>
    </row>
    <row r="804" spans="1:18" ht="15.75" customHeight="1" x14ac:dyDescent="0.25">
      <c r="A804" s="107"/>
      <c r="B804" s="107"/>
      <c r="C804" s="107"/>
      <c r="D804" s="107"/>
      <c r="E804" s="107"/>
      <c r="F804" s="107"/>
      <c r="G804" s="107"/>
      <c r="H804" s="107"/>
      <c r="I804" s="107"/>
      <c r="J804" s="107"/>
      <c r="K804" s="107"/>
      <c r="L804" s="107"/>
      <c r="M804" s="107"/>
      <c r="N804" s="107"/>
      <c r="O804" s="59"/>
      <c r="P804" s="107"/>
      <c r="Q804" s="107"/>
      <c r="R804" s="107"/>
    </row>
    <row r="805" spans="1:18" ht="15.75" customHeight="1" x14ac:dyDescent="0.25">
      <c r="A805" s="107"/>
      <c r="B805" s="107"/>
      <c r="C805" s="107"/>
      <c r="D805" s="107"/>
      <c r="E805" s="107"/>
      <c r="F805" s="107"/>
      <c r="G805" s="107"/>
      <c r="H805" s="107"/>
      <c r="I805" s="107"/>
      <c r="J805" s="107"/>
      <c r="K805" s="107"/>
      <c r="L805" s="107"/>
      <c r="M805" s="107"/>
      <c r="N805" s="107"/>
      <c r="O805" s="59"/>
      <c r="P805" s="107"/>
      <c r="Q805" s="107"/>
      <c r="R805" s="107"/>
    </row>
    <row r="806" spans="1:18" ht="15.75" customHeight="1" x14ac:dyDescent="0.25">
      <c r="A806" s="107"/>
      <c r="B806" s="107"/>
      <c r="C806" s="107"/>
      <c r="D806" s="107"/>
      <c r="E806" s="107"/>
      <c r="F806" s="107"/>
      <c r="G806" s="107"/>
      <c r="H806" s="107"/>
      <c r="I806" s="107"/>
      <c r="J806" s="107"/>
      <c r="K806" s="107"/>
      <c r="L806" s="107"/>
      <c r="M806" s="107"/>
      <c r="N806" s="107"/>
      <c r="O806" s="59"/>
      <c r="P806" s="107"/>
      <c r="Q806" s="107"/>
      <c r="R806" s="107"/>
    </row>
    <row r="807" spans="1:18" ht="15.75" customHeight="1" x14ac:dyDescent="0.25">
      <c r="A807" s="107"/>
      <c r="B807" s="107"/>
      <c r="C807" s="107"/>
      <c r="D807" s="107"/>
      <c r="E807" s="107"/>
      <c r="F807" s="107"/>
      <c r="G807" s="107"/>
      <c r="H807" s="107"/>
      <c r="I807" s="107"/>
      <c r="J807" s="107"/>
      <c r="K807" s="107"/>
      <c r="L807" s="107"/>
      <c r="M807" s="107"/>
      <c r="N807" s="107"/>
      <c r="O807" s="59"/>
      <c r="P807" s="107"/>
      <c r="Q807" s="107"/>
      <c r="R807" s="107"/>
    </row>
    <row r="808" spans="1:18" ht="15.75" customHeight="1" x14ac:dyDescent="0.25">
      <c r="A808" s="107"/>
      <c r="B808" s="107"/>
      <c r="C808" s="107"/>
      <c r="D808" s="107"/>
      <c r="E808" s="107"/>
      <c r="F808" s="107"/>
      <c r="G808" s="107"/>
      <c r="H808" s="107"/>
      <c r="I808" s="107"/>
      <c r="J808" s="107"/>
      <c r="K808" s="107"/>
      <c r="L808" s="107"/>
      <c r="M808" s="107"/>
      <c r="N808" s="107"/>
      <c r="O808" s="59"/>
      <c r="P808" s="107"/>
      <c r="Q808" s="107"/>
      <c r="R808" s="107"/>
    </row>
    <row r="809" spans="1:18" ht="15.75" customHeight="1" x14ac:dyDescent="0.25">
      <c r="A809" s="107"/>
      <c r="B809" s="107"/>
      <c r="C809" s="107"/>
      <c r="D809" s="107"/>
      <c r="E809" s="107"/>
      <c r="F809" s="107"/>
      <c r="G809" s="107"/>
      <c r="H809" s="107"/>
      <c r="I809" s="107"/>
      <c r="J809" s="107"/>
      <c r="K809" s="107"/>
      <c r="L809" s="107"/>
      <c r="M809" s="107"/>
      <c r="N809" s="107"/>
      <c r="O809" s="59"/>
      <c r="P809" s="107"/>
      <c r="Q809" s="107"/>
      <c r="R809" s="107"/>
    </row>
    <row r="810" spans="1:18" ht="15.75" customHeight="1" x14ac:dyDescent="0.25">
      <c r="A810" s="107"/>
      <c r="B810" s="107"/>
      <c r="C810" s="107"/>
      <c r="D810" s="107"/>
      <c r="E810" s="107"/>
      <c r="F810" s="107"/>
      <c r="G810" s="107"/>
      <c r="H810" s="107"/>
      <c r="I810" s="107"/>
      <c r="J810" s="107"/>
      <c r="K810" s="107"/>
      <c r="L810" s="107"/>
      <c r="M810" s="107"/>
      <c r="N810" s="107"/>
      <c r="O810" s="59"/>
      <c r="P810" s="107"/>
      <c r="Q810" s="107"/>
      <c r="R810" s="107"/>
    </row>
    <row r="811" spans="1:18" ht="15.75" customHeight="1" x14ac:dyDescent="0.25">
      <c r="A811" s="107"/>
      <c r="B811" s="107"/>
      <c r="C811" s="107"/>
      <c r="D811" s="107"/>
      <c r="E811" s="107"/>
      <c r="F811" s="107"/>
      <c r="G811" s="107"/>
      <c r="H811" s="107"/>
      <c r="I811" s="107"/>
      <c r="J811" s="107"/>
      <c r="K811" s="107"/>
      <c r="L811" s="107"/>
      <c r="M811" s="107"/>
      <c r="N811" s="107"/>
      <c r="O811" s="59"/>
      <c r="P811" s="107"/>
      <c r="Q811" s="107"/>
      <c r="R811" s="107"/>
    </row>
    <row r="812" spans="1:18" ht="15.75" customHeight="1" x14ac:dyDescent="0.25">
      <c r="A812" s="107"/>
      <c r="B812" s="107"/>
      <c r="C812" s="107"/>
      <c r="D812" s="107"/>
      <c r="E812" s="107"/>
      <c r="F812" s="107"/>
      <c r="G812" s="107"/>
      <c r="H812" s="107"/>
      <c r="I812" s="107"/>
      <c r="J812" s="107"/>
      <c r="K812" s="107"/>
      <c r="L812" s="107"/>
      <c r="M812" s="107"/>
      <c r="N812" s="107"/>
      <c r="O812" s="59"/>
      <c r="P812" s="107"/>
      <c r="Q812" s="107"/>
      <c r="R812" s="107"/>
    </row>
    <row r="813" spans="1:18" ht="15.75" customHeight="1" x14ac:dyDescent="0.25">
      <c r="A813" s="107"/>
      <c r="B813" s="107"/>
      <c r="C813" s="107"/>
      <c r="D813" s="107"/>
      <c r="E813" s="107"/>
      <c r="F813" s="107"/>
      <c r="G813" s="107"/>
      <c r="H813" s="107"/>
      <c r="I813" s="107"/>
      <c r="J813" s="107"/>
      <c r="K813" s="107"/>
      <c r="L813" s="107"/>
      <c r="M813" s="107"/>
      <c r="N813" s="107"/>
      <c r="O813" s="59"/>
      <c r="P813" s="107"/>
      <c r="Q813" s="107"/>
      <c r="R813" s="107"/>
    </row>
    <row r="814" spans="1:18" ht="15.75" customHeight="1" x14ac:dyDescent="0.25">
      <c r="A814" s="107"/>
      <c r="B814" s="107"/>
      <c r="C814" s="107"/>
      <c r="D814" s="107"/>
      <c r="E814" s="107"/>
      <c r="F814" s="107"/>
      <c r="G814" s="107"/>
      <c r="H814" s="107"/>
      <c r="I814" s="107"/>
      <c r="J814" s="107"/>
      <c r="K814" s="107"/>
      <c r="L814" s="107"/>
      <c r="M814" s="107"/>
      <c r="N814" s="107"/>
      <c r="O814" s="59"/>
      <c r="P814" s="107"/>
      <c r="Q814" s="107"/>
      <c r="R814" s="107"/>
    </row>
    <row r="815" spans="1:18" ht="15.75" customHeight="1" x14ac:dyDescent="0.25">
      <c r="A815" s="107"/>
      <c r="B815" s="107"/>
      <c r="C815" s="107"/>
      <c r="D815" s="107"/>
      <c r="E815" s="107"/>
      <c r="F815" s="107"/>
      <c r="G815" s="107"/>
      <c r="H815" s="107"/>
      <c r="I815" s="107"/>
      <c r="J815" s="107"/>
      <c r="K815" s="107"/>
      <c r="L815" s="107"/>
      <c r="M815" s="107"/>
      <c r="N815" s="107"/>
      <c r="O815" s="59"/>
      <c r="P815" s="107"/>
      <c r="Q815" s="107"/>
      <c r="R815" s="107"/>
    </row>
    <row r="816" spans="1:18" ht="15.75" customHeight="1" x14ac:dyDescent="0.25">
      <c r="A816" s="107"/>
      <c r="B816" s="107"/>
      <c r="C816" s="107"/>
      <c r="D816" s="107"/>
      <c r="E816" s="107"/>
      <c r="F816" s="107"/>
      <c r="G816" s="107"/>
      <c r="H816" s="107"/>
      <c r="I816" s="107"/>
      <c r="J816" s="107"/>
      <c r="K816" s="107"/>
      <c r="L816" s="107"/>
      <c r="M816" s="107"/>
      <c r="N816" s="107"/>
      <c r="O816" s="59"/>
      <c r="P816" s="107"/>
      <c r="Q816" s="107"/>
      <c r="R816" s="107"/>
    </row>
    <row r="817" spans="1:18" ht="15.75" customHeight="1" x14ac:dyDescent="0.25">
      <c r="A817" s="107"/>
      <c r="B817" s="107"/>
      <c r="C817" s="107"/>
      <c r="D817" s="107"/>
      <c r="E817" s="107"/>
      <c r="F817" s="107"/>
      <c r="G817" s="107"/>
      <c r="H817" s="107"/>
      <c r="I817" s="107"/>
      <c r="J817" s="107"/>
      <c r="K817" s="107"/>
      <c r="L817" s="107"/>
      <c r="M817" s="107"/>
      <c r="N817" s="107"/>
      <c r="O817" s="59"/>
      <c r="P817" s="107"/>
      <c r="Q817" s="107"/>
      <c r="R817" s="107"/>
    </row>
    <row r="818" spans="1:18" ht="15.75" customHeight="1" x14ac:dyDescent="0.25">
      <c r="A818" s="107"/>
      <c r="B818" s="107"/>
      <c r="C818" s="107"/>
      <c r="D818" s="107"/>
      <c r="E818" s="107"/>
      <c r="F818" s="107"/>
      <c r="G818" s="107"/>
      <c r="H818" s="107"/>
      <c r="I818" s="107"/>
      <c r="J818" s="107"/>
      <c r="K818" s="107"/>
      <c r="L818" s="107"/>
      <c r="M818" s="107"/>
      <c r="N818" s="107"/>
      <c r="O818" s="59"/>
      <c r="P818" s="107"/>
      <c r="Q818" s="107"/>
      <c r="R818" s="107"/>
    </row>
    <row r="819" spans="1:18" ht="15.75" customHeight="1" x14ac:dyDescent="0.25">
      <c r="A819" s="107"/>
      <c r="B819" s="107"/>
      <c r="C819" s="107"/>
      <c r="D819" s="107"/>
      <c r="E819" s="107"/>
      <c r="F819" s="107"/>
      <c r="G819" s="107"/>
      <c r="H819" s="107"/>
      <c r="I819" s="107"/>
      <c r="J819" s="107"/>
      <c r="K819" s="107"/>
      <c r="L819" s="107"/>
      <c r="M819" s="107"/>
      <c r="N819" s="107"/>
      <c r="O819" s="59"/>
      <c r="P819" s="107"/>
      <c r="Q819" s="107"/>
      <c r="R819" s="107"/>
    </row>
    <row r="820" spans="1:18" ht="15.75" customHeight="1" x14ac:dyDescent="0.25">
      <c r="A820" s="107"/>
      <c r="B820" s="107"/>
      <c r="C820" s="107"/>
      <c r="D820" s="107"/>
      <c r="E820" s="107"/>
      <c r="F820" s="107"/>
      <c r="G820" s="107"/>
      <c r="H820" s="107"/>
      <c r="I820" s="107"/>
      <c r="J820" s="107"/>
      <c r="K820" s="107"/>
      <c r="L820" s="107"/>
      <c r="M820" s="107"/>
      <c r="N820" s="107"/>
      <c r="O820" s="59"/>
      <c r="P820" s="107"/>
      <c r="Q820" s="107"/>
      <c r="R820" s="107"/>
    </row>
    <row r="821" spans="1:18" ht="15.75" customHeight="1" x14ac:dyDescent="0.25">
      <c r="A821" s="107"/>
      <c r="B821" s="107"/>
      <c r="C821" s="107"/>
      <c r="D821" s="107"/>
      <c r="E821" s="107"/>
      <c r="F821" s="107"/>
      <c r="G821" s="107"/>
      <c r="H821" s="107"/>
      <c r="I821" s="107"/>
      <c r="J821" s="107"/>
      <c r="K821" s="107"/>
      <c r="L821" s="107"/>
      <c r="M821" s="107"/>
      <c r="N821" s="107"/>
      <c r="O821" s="59"/>
      <c r="P821" s="107"/>
      <c r="Q821" s="107"/>
      <c r="R821" s="107"/>
    </row>
    <row r="822" spans="1:18" ht="15.75" customHeight="1" x14ac:dyDescent="0.25">
      <c r="A822" s="107"/>
      <c r="B822" s="107"/>
      <c r="C822" s="107"/>
      <c r="D822" s="107"/>
      <c r="E822" s="107"/>
      <c r="F822" s="107"/>
      <c r="G822" s="107"/>
      <c r="H822" s="107"/>
      <c r="I822" s="107"/>
      <c r="J822" s="107"/>
      <c r="K822" s="107"/>
      <c r="L822" s="107"/>
      <c r="M822" s="107"/>
      <c r="N822" s="107"/>
      <c r="O822" s="59"/>
      <c r="P822" s="107"/>
      <c r="Q822" s="107"/>
      <c r="R822" s="107"/>
    </row>
    <row r="823" spans="1:18" ht="15.75" customHeight="1" x14ac:dyDescent="0.25">
      <c r="A823" s="107"/>
      <c r="B823" s="107"/>
      <c r="C823" s="107"/>
      <c r="D823" s="107"/>
      <c r="E823" s="107"/>
      <c r="F823" s="107"/>
      <c r="G823" s="107"/>
      <c r="H823" s="107"/>
      <c r="I823" s="107"/>
      <c r="J823" s="107"/>
      <c r="K823" s="107"/>
      <c r="L823" s="107"/>
      <c r="M823" s="107"/>
      <c r="N823" s="107"/>
      <c r="O823" s="59"/>
      <c r="P823" s="107"/>
      <c r="Q823" s="107"/>
      <c r="R823" s="107"/>
    </row>
    <row r="824" spans="1:18" ht="15.75" customHeight="1" x14ac:dyDescent="0.25">
      <c r="A824" s="107"/>
      <c r="B824" s="107"/>
      <c r="C824" s="107"/>
      <c r="D824" s="107"/>
      <c r="E824" s="107"/>
      <c r="F824" s="107"/>
      <c r="G824" s="107"/>
      <c r="H824" s="107"/>
      <c r="I824" s="107"/>
      <c r="J824" s="107"/>
      <c r="K824" s="107"/>
      <c r="L824" s="107"/>
      <c r="M824" s="107"/>
      <c r="N824" s="107"/>
      <c r="O824" s="59"/>
      <c r="P824" s="107"/>
      <c r="Q824" s="107"/>
      <c r="R824" s="107"/>
    </row>
    <row r="825" spans="1:18" ht="15.75" customHeight="1" x14ac:dyDescent="0.25">
      <c r="A825" s="107"/>
      <c r="B825" s="107"/>
      <c r="C825" s="107"/>
      <c r="D825" s="107"/>
      <c r="E825" s="107"/>
      <c r="F825" s="107"/>
      <c r="G825" s="107"/>
      <c r="H825" s="107"/>
      <c r="I825" s="107"/>
      <c r="J825" s="107"/>
      <c r="K825" s="107"/>
      <c r="L825" s="107"/>
      <c r="M825" s="107"/>
      <c r="N825" s="107"/>
      <c r="O825" s="59"/>
      <c r="P825" s="107"/>
      <c r="Q825" s="107"/>
      <c r="R825" s="107"/>
    </row>
    <row r="826" spans="1:18" ht="15.75" customHeight="1" x14ac:dyDescent="0.25">
      <c r="A826" s="107"/>
      <c r="B826" s="107"/>
      <c r="C826" s="107"/>
      <c r="D826" s="107"/>
      <c r="E826" s="107"/>
      <c r="F826" s="107"/>
      <c r="G826" s="107"/>
      <c r="H826" s="107"/>
      <c r="I826" s="107"/>
      <c r="J826" s="107"/>
      <c r="K826" s="107"/>
      <c r="L826" s="107"/>
      <c r="M826" s="107"/>
      <c r="N826" s="107"/>
      <c r="O826" s="59"/>
      <c r="P826" s="107"/>
      <c r="Q826" s="107"/>
      <c r="R826" s="107"/>
    </row>
    <row r="827" spans="1:18" ht="15.75" customHeight="1" x14ac:dyDescent="0.25">
      <c r="A827" s="107"/>
      <c r="B827" s="107"/>
      <c r="C827" s="107"/>
      <c r="D827" s="107"/>
      <c r="E827" s="107"/>
      <c r="F827" s="107"/>
      <c r="G827" s="107"/>
      <c r="H827" s="107"/>
      <c r="I827" s="107"/>
      <c r="J827" s="107"/>
      <c r="K827" s="107"/>
      <c r="L827" s="107"/>
      <c r="M827" s="107"/>
      <c r="N827" s="107"/>
      <c r="O827" s="59"/>
      <c r="P827" s="107"/>
      <c r="Q827" s="107"/>
      <c r="R827" s="107"/>
    </row>
    <row r="828" spans="1:18" ht="15.75" customHeight="1" x14ac:dyDescent="0.25">
      <c r="A828" s="107"/>
      <c r="B828" s="107"/>
      <c r="C828" s="107"/>
      <c r="D828" s="107"/>
      <c r="E828" s="107"/>
      <c r="F828" s="107"/>
      <c r="G828" s="107"/>
      <c r="H828" s="107"/>
      <c r="I828" s="107"/>
      <c r="J828" s="107"/>
      <c r="K828" s="107"/>
      <c r="L828" s="107"/>
      <c r="M828" s="107"/>
      <c r="N828" s="107"/>
      <c r="O828" s="59"/>
      <c r="P828" s="107"/>
      <c r="Q828" s="107"/>
      <c r="R828" s="107"/>
    </row>
    <row r="829" spans="1:18" ht="15.75" customHeight="1" x14ac:dyDescent="0.25">
      <c r="A829" s="107"/>
      <c r="B829" s="107"/>
      <c r="C829" s="107"/>
      <c r="D829" s="107"/>
      <c r="E829" s="107"/>
      <c r="F829" s="107"/>
      <c r="G829" s="107"/>
      <c r="H829" s="107"/>
      <c r="I829" s="107"/>
      <c r="J829" s="107"/>
      <c r="K829" s="107"/>
      <c r="L829" s="107"/>
      <c r="M829" s="107"/>
      <c r="N829" s="107"/>
      <c r="O829" s="59"/>
      <c r="P829" s="107"/>
      <c r="Q829" s="107"/>
      <c r="R829" s="107"/>
    </row>
    <row r="830" spans="1:18" ht="15.75" customHeight="1" x14ac:dyDescent="0.25">
      <c r="A830" s="107"/>
      <c r="B830" s="107"/>
      <c r="C830" s="107"/>
      <c r="D830" s="107"/>
      <c r="E830" s="107"/>
      <c r="F830" s="107"/>
      <c r="G830" s="107"/>
      <c r="H830" s="107"/>
      <c r="I830" s="107"/>
      <c r="J830" s="107"/>
      <c r="K830" s="107"/>
      <c r="L830" s="107"/>
      <c r="M830" s="107"/>
      <c r="N830" s="107"/>
      <c r="O830" s="59"/>
      <c r="P830" s="107"/>
      <c r="Q830" s="107"/>
      <c r="R830" s="107"/>
    </row>
    <row r="831" spans="1:18" ht="15.75" customHeight="1" x14ac:dyDescent="0.25">
      <c r="A831" s="107"/>
      <c r="B831" s="107"/>
      <c r="C831" s="107"/>
      <c r="D831" s="107"/>
      <c r="E831" s="107"/>
      <c r="F831" s="107"/>
      <c r="G831" s="107"/>
      <c r="H831" s="107"/>
      <c r="I831" s="107"/>
      <c r="J831" s="107"/>
      <c r="K831" s="107"/>
      <c r="L831" s="107"/>
      <c r="M831" s="107"/>
      <c r="N831" s="107"/>
      <c r="O831" s="59"/>
      <c r="P831" s="107"/>
      <c r="Q831" s="107"/>
      <c r="R831" s="107"/>
    </row>
    <row r="832" spans="1:18" ht="15.75" customHeight="1" x14ac:dyDescent="0.25">
      <c r="A832" s="107"/>
      <c r="B832" s="107"/>
      <c r="C832" s="107"/>
      <c r="D832" s="107"/>
      <c r="E832" s="107"/>
      <c r="F832" s="107"/>
      <c r="G832" s="107"/>
      <c r="H832" s="107"/>
      <c r="I832" s="107"/>
      <c r="J832" s="107"/>
      <c r="K832" s="107"/>
      <c r="L832" s="107"/>
      <c r="M832" s="107"/>
      <c r="N832" s="107"/>
      <c r="O832" s="59"/>
      <c r="P832" s="107"/>
      <c r="Q832" s="107"/>
      <c r="R832" s="107"/>
    </row>
    <row r="833" spans="1:18" ht="15.75" customHeight="1" x14ac:dyDescent="0.25">
      <c r="A833" s="107"/>
      <c r="B833" s="107"/>
      <c r="C833" s="107"/>
      <c r="D833" s="107"/>
      <c r="E833" s="107"/>
      <c r="F833" s="107"/>
      <c r="G833" s="107"/>
      <c r="H833" s="107"/>
      <c r="I833" s="107"/>
      <c r="J833" s="107"/>
      <c r="K833" s="107"/>
      <c r="L833" s="107"/>
      <c r="M833" s="107"/>
      <c r="N833" s="107"/>
      <c r="O833" s="59"/>
      <c r="P833" s="107"/>
      <c r="Q833" s="107"/>
      <c r="R833" s="107"/>
    </row>
    <row r="834" spans="1:18" ht="15.75" customHeight="1" x14ac:dyDescent="0.25">
      <c r="A834" s="107"/>
      <c r="B834" s="107"/>
      <c r="C834" s="107"/>
      <c r="D834" s="107"/>
      <c r="E834" s="107"/>
      <c r="F834" s="107"/>
      <c r="G834" s="107"/>
      <c r="H834" s="107"/>
      <c r="I834" s="107"/>
      <c r="J834" s="107"/>
      <c r="K834" s="107"/>
      <c r="L834" s="107"/>
      <c r="M834" s="107"/>
      <c r="N834" s="107"/>
      <c r="O834" s="59"/>
      <c r="P834" s="107"/>
      <c r="Q834" s="107"/>
      <c r="R834" s="107"/>
    </row>
    <row r="835" spans="1:18" ht="15.75" customHeight="1" x14ac:dyDescent="0.25">
      <c r="A835" s="107"/>
      <c r="B835" s="107"/>
      <c r="C835" s="107"/>
      <c r="D835" s="107"/>
      <c r="E835" s="107"/>
      <c r="F835" s="107"/>
      <c r="G835" s="107"/>
      <c r="H835" s="107"/>
      <c r="I835" s="107"/>
      <c r="J835" s="107"/>
      <c r="K835" s="107"/>
      <c r="L835" s="107"/>
      <c r="M835" s="107"/>
      <c r="N835" s="107"/>
      <c r="O835" s="59"/>
      <c r="P835" s="107"/>
      <c r="Q835" s="107"/>
      <c r="R835" s="107"/>
    </row>
    <row r="836" spans="1:18" ht="15.75" customHeight="1" x14ac:dyDescent="0.25">
      <c r="A836" s="107"/>
      <c r="B836" s="107"/>
      <c r="C836" s="107"/>
      <c r="D836" s="107"/>
      <c r="E836" s="107"/>
      <c r="F836" s="107"/>
      <c r="G836" s="107"/>
      <c r="H836" s="107"/>
      <c r="I836" s="107"/>
      <c r="J836" s="107"/>
      <c r="K836" s="107"/>
      <c r="L836" s="107"/>
      <c r="M836" s="107"/>
      <c r="N836" s="107"/>
      <c r="O836" s="59"/>
      <c r="P836" s="107"/>
      <c r="Q836" s="107"/>
      <c r="R836" s="107"/>
    </row>
    <row r="837" spans="1:18" ht="15.75" customHeight="1" x14ac:dyDescent="0.25">
      <c r="A837" s="107"/>
      <c r="B837" s="107"/>
      <c r="C837" s="107"/>
      <c r="D837" s="107"/>
      <c r="E837" s="107"/>
      <c r="F837" s="107"/>
      <c r="G837" s="107"/>
      <c r="H837" s="107"/>
      <c r="I837" s="107"/>
      <c r="J837" s="107"/>
      <c r="K837" s="107"/>
      <c r="L837" s="107"/>
      <c r="M837" s="107"/>
      <c r="N837" s="107"/>
      <c r="O837" s="59"/>
      <c r="P837" s="107"/>
      <c r="Q837" s="107"/>
      <c r="R837" s="107"/>
    </row>
    <row r="838" spans="1:18" ht="15.75" customHeight="1" x14ac:dyDescent="0.25">
      <c r="A838" s="107"/>
      <c r="B838" s="107"/>
      <c r="C838" s="107"/>
      <c r="D838" s="107"/>
      <c r="E838" s="107"/>
      <c r="F838" s="107"/>
      <c r="G838" s="107"/>
      <c r="H838" s="107"/>
      <c r="I838" s="107"/>
      <c r="J838" s="107"/>
      <c r="K838" s="107"/>
      <c r="L838" s="107"/>
      <c r="M838" s="107"/>
      <c r="N838" s="107"/>
      <c r="O838" s="59"/>
      <c r="P838" s="107"/>
      <c r="Q838" s="107"/>
      <c r="R838" s="107"/>
    </row>
    <row r="839" spans="1:18" ht="15.75" customHeight="1" x14ac:dyDescent="0.25">
      <c r="A839" s="107"/>
      <c r="B839" s="107"/>
      <c r="C839" s="107"/>
      <c r="D839" s="107"/>
      <c r="E839" s="107"/>
      <c r="F839" s="107"/>
      <c r="G839" s="107"/>
      <c r="H839" s="107"/>
      <c r="I839" s="107"/>
      <c r="J839" s="107"/>
      <c r="K839" s="107"/>
      <c r="L839" s="107"/>
      <c r="M839" s="107"/>
      <c r="N839" s="107"/>
      <c r="O839" s="59"/>
      <c r="P839" s="107"/>
      <c r="Q839" s="107"/>
      <c r="R839" s="107"/>
    </row>
    <row r="840" spans="1:18" ht="15.75" customHeight="1" x14ac:dyDescent="0.25">
      <c r="A840" s="107"/>
      <c r="B840" s="107"/>
      <c r="C840" s="107"/>
      <c r="D840" s="107"/>
      <c r="E840" s="107"/>
      <c r="F840" s="107"/>
      <c r="G840" s="107"/>
      <c r="H840" s="107"/>
      <c r="I840" s="107"/>
      <c r="J840" s="107"/>
      <c r="K840" s="107"/>
      <c r="L840" s="107"/>
      <c r="M840" s="107"/>
      <c r="N840" s="107"/>
      <c r="O840" s="59"/>
      <c r="P840" s="107"/>
      <c r="Q840" s="107"/>
      <c r="R840" s="107"/>
    </row>
    <row r="841" spans="1:18" ht="15.75" customHeight="1" x14ac:dyDescent="0.25">
      <c r="A841" s="107"/>
      <c r="B841" s="107"/>
      <c r="C841" s="107"/>
      <c r="D841" s="107"/>
      <c r="E841" s="107"/>
      <c r="F841" s="107"/>
      <c r="G841" s="107"/>
      <c r="H841" s="107"/>
      <c r="I841" s="107"/>
      <c r="J841" s="107"/>
      <c r="K841" s="107"/>
      <c r="L841" s="107"/>
      <c r="M841" s="107"/>
      <c r="N841" s="107"/>
      <c r="O841" s="59"/>
      <c r="P841" s="107"/>
      <c r="Q841" s="107"/>
      <c r="R841" s="107"/>
    </row>
    <row r="842" spans="1:18" ht="15.75" customHeight="1" x14ac:dyDescent="0.25">
      <c r="A842" s="107"/>
      <c r="B842" s="107"/>
      <c r="C842" s="107"/>
      <c r="D842" s="107"/>
      <c r="E842" s="107"/>
      <c r="F842" s="107"/>
      <c r="G842" s="107"/>
      <c r="H842" s="107"/>
      <c r="I842" s="107"/>
      <c r="J842" s="107"/>
      <c r="K842" s="107"/>
      <c r="L842" s="107"/>
      <c r="M842" s="107"/>
      <c r="N842" s="107"/>
      <c r="O842" s="59"/>
      <c r="P842" s="107"/>
      <c r="Q842" s="107"/>
      <c r="R842" s="107"/>
    </row>
    <row r="843" spans="1:18" ht="15.75" customHeight="1" x14ac:dyDescent="0.25">
      <c r="A843" s="107"/>
      <c r="B843" s="107"/>
      <c r="C843" s="107"/>
      <c r="D843" s="107"/>
      <c r="E843" s="107"/>
      <c r="F843" s="107"/>
      <c r="G843" s="107"/>
      <c r="H843" s="107"/>
      <c r="I843" s="107"/>
      <c r="J843" s="107"/>
      <c r="K843" s="107"/>
      <c r="L843" s="107"/>
      <c r="M843" s="107"/>
      <c r="N843" s="107"/>
      <c r="O843" s="59"/>
      <c r="P843" s="107"/>
      <c r="Q843" s="107"/>
      <c r="R843" s="107"/>
    </row>
    <row r="844" spans="1:18" ht="15.75" customHeight="1" x14ac:dyDescent="0.25">
      <c r="A844" s="107"/>
      <c r="B844" s="107"/>
      <c r="C844" s="107"/>
      <c r="D844" s="107"/>
      <c r="E844" s="107"/>
      <c r="F844" s="107"/>
      <c r="G844" s="107"/>
      <c r="H844" s="107"/>
      <c r="I844" s="107"/>
      <c r="J844" s="107"/>
      <c r="K844" s="107"/>
      <c r="L844" s="107"/>
      <c r="M844" s="107"/>
      <c r="N844" s="107"/>
      <c r="O844" s="59"/>
      <c r="P844" s="107"/>
      <c r="Q844" s="107"/>
      <c r="R844" s="107"/>
    </row>
    <row r="845" spans="1:18" ht="15.75" customHeight="1" x14ac:dyDescent="0.25">
      <c r="A845" s="107"/>
      <c r="B845" s="107"/>
      <c r="C845" s="107"/>
      <c r="D845" s="107"/>
      <c r="E845" s="107"/>
      <c r="F845" s="107"/>
      <c r="G845" s="107"/>
      <c r="H845" s="107"/>
      <c r="I845" s="107"/>
      <c r="J845" s="107"/>
      <c r="K845" s="107"/>
      <c r="L845" s="107"/>
      <c r="M845" s="107"/>
      <c r="N845" s="107"/>
      <c r="O845" s="59"/>
      <c r="P845" s="107"/>
      <c r="Q845" s="107"/>
      <c r="R845" s="107"/>
    </row>
    <row r="846" spans="1:18" ht="15.75" customHeight="1" x14ac:dyDescent="0.25">
      <c r="A846" s="107"/>
      <c r="B846" s="107"/>
      <c r="C846" s="107"/>
      <c r="D846" s="107"/>
      <c r="E846" s="107"/>
      <c r="F846" s="107"/>
      <c r="G846" s="107"/>
      <c r="H846" s="107"/>
      <c r="I846" s="107"/>
      <c r="J846" s="107"/>
      <c r="K846" s="107"/>
      <c r="L846" s="107"/>
      <c r="M846" s="107"/>
      <c r="N846" s="107"/>
      <c r="O846" s="59"/>
      <c r="P846" s="107"/>
      <c r="Q846" s="107"/>
      <c r="R846" s="107"/>
    </row>
    <row r="847" spans="1:18" ht="15.75" customHeight="1" x14ac:dyDescent="0.25">
      <c r="A847" s="107"/>
      <c r="B847" s="107"/>
      <c r="C847" s="107"/>
      <c r="D847" s="107"/>
      <c r="E847" s="107"/>
      <c r="F847" s="107"/>
      <c r="G847" s="107"/>
      <c r="H847" s="107"/>
      <c r="I847" s="107"/>
      <c r="J847" s="107"/>
      <c r="K847" s="107"/>
      <c r="L847" s="107"/>
      <c r="M847" s="107"/>
      <c r="N847" s="107"/>
      <c r="O847" s="59"/>
      <c r="P847" s="107"/>
      <c r="Q847" s="107"/>
      <c r="R847" s="107"/>
    </row>
    <row r="848" spans="1:18" ht="15.75" customHeight="1" x14ac:dyDescent="0.25">
      <c r="A848" s="107"/>
      <c r="B848" s="107"/>
      <c r="C848" s="107"/>
      <c r="D848" s="107"/>
      <c r="E848" s="107"/>
      <c r="F848" s="107"/>
      <c r="G848" s="107"/>
      <c r="H848" s="107"/>
      <c r="I848" s="107"/>
      <c r="J848" s="107"/>
      <c r="K848" s="107"/>
      <c r="L848" s="107"/>
      <c r="M848" s="107"/>
      <c r="N848" s="107"/>
      <c r="O848" s="59"/>
      <c r="P848" s="107"/>
      <c r="Q848" s="107"/>
      <c r="R848" s="107"/>
    </row>
    <row r="849" spans="1:18" ht="15.75" customHeight="1" x14ac:dyDescent="0.25">
      <c r="A849" s="107"/>
      <c r="B849" s="107"/>
      <c r="C849" s="107"/>
      <c r="D849" s="107"/>
      <c r="E849" s="107"/>
      <c r="F849" s="107"/>
      <c r="G849" s="107"/>
      <c r="H849" s="107"/>
      <c r="I849" s="107"/>
      <c r="J849" s="107"/>
      <c r="K849" s="107"/>
      <c r="L849" s="107"/>
      <c r="M849" s="107"/>
      <c r="N849" s="107"/>
      <c r="O849" s="59"/>
      <c r="P849" s="107"/>
      <c r="Q849" s="107"/>
      <c r="R849" s="107"/>
    </row>
    <row r="850" spans="1:18" ht="15.75" customHeight="1" x14ac:dyDescent="0.25">
      <c r="A850" s="107"/>
      <c r="B850" s="107"/>
      <c r="C850" s="107"/>
      <c r="D850" s="107"/>
      <c r="E850" s="107"/>
      <c r="F850" s="107"/>
      <c r="G850" s="107"/>
      <c r="H850" s="107"/>
      <c r="I850" s="107"/>
      <c r="J850" s="107"/>
      <c r="K850" s="107"/>
      <c r="L850" s="107"/>
      <c r="M850" s="107"/>
      <c r="N850" s="107"/>
      <c r="O850" s="59"/>
      <c r="P850" s="107"/>
      <c r="Q850" s="107"/>
      <c r="R850" s="107"/>
    </row>
    <row r="851" spans="1:18" ht="15.75" customHeight="1" x14ac:dyDescent="0.25">
      <c r="A851" s="107"/>
      <c r="B851" s="107"/>
      <c r="C851" s="107"/>
      <c r="D851" s="107"/>
      <c r="E851" s="107"/>
      <c r="F851" s="107"/>
      <c r="G851" s="107"/>
      <c r="H851" s="107"/>
      <c r="I851" s="107"/>
      <c r="J851" s="107"/>
      <c r="K851" s="107"/>
      <c r="L851" s="107"/>
      <c r="M851" s="107"/>
      <c r="N851" s="107"/>
      <c r="O851" s="59"/>
      <c r="P851" s="107"/>
      <c r="Q851" s="107"/>
      <c r="R851" s="107"/>
    </row>
    <row r="852" spans="1:18" ht="15.75" customHeight="1" x14ac:dyDescent="0.25">
      <c r="A852" s="107"/>
      <c r="B852" s="107"/>
      <c r="C852" s="107"/>
      <c r="D852" s="107"/>
      <c r="E852" s="107"/>
      <c r="F852" s="107"/>
      <c r="G852" s="107"/>
      <c r="H852" s="107"/>
      <c r="I852" s="107"/>
      <c r="J852" s="107"/>
      <c r="K852" s="107"/>
      <c r="L852" s="107"/>
      <c r="M852" s="107"/>
      <c r="N852" s="107"/>
      <c r="O852" s="59"/>
      <c r="P852" s="107"/>
      <c r="Q852" s="107"/>
      <c r="R852" s="107"/>
    </row>
    <row r="853" spans="1:18" ht="15.75" customHeight="1" x14ac:dyDescent="0.25">
      <c r="A853" s="107"/>
      <c r="B853" s="107"/>
      <c r="C853" s="107"/>
      <c r="D853" s="107"/>
      <c r="E853" s="107"/>
      <c r="F853" s="107"/>
      <c r="G853" s="107"/>
      <c r="H853" s="107"/>
      <c r="I853" s="107"/>
      <c r="J853" s="107"/>
      <c r="K853" s="107"/>
      <c r="L853" s="107"/>
      <c r="M853" s="107"/>
      <c r="N853" s="107"/>
      <c r="O853" s="59"/>
      <c r="P853" s="107"/>
      <c r="Q853" s="107"/>
      <c r="R853" s="107"/>
    </row>
    <row r="854" spans="1:18" ht="15.75" customHeight="1" x14ac:dyDescent="0.25">
      <c r="A854" s="107"/>
      <c r="B854" s="107"/>
      <c r="C854" s="107"/>
      <c r="D854" s="107"/>
      <c r="E854" s="107"/>
      <c r="F854" s="107"/>
      <c r="G854" s="107"/>
      <c r="H854" s="107"/>
      <c r="I854" s="107"/>
      <c r="J854" s="107"/>
      <c r="K854" s="107"/>
      <c r="L854" s="107"/>
      <c r="M854" s="107"/>
      <c r="N854" s="107"/>
      <c r="O854" s="59"/>
      <c r="P854" s="107"/>
      <c r="Q854" s="107"/>
      <c r="R854" s="107"/>
    </row>
    <row r="855" spans="1:18" ht="15.75" customHeight="1" x14ac:dyDescent="0.25">
      <c r="A855" s="107"/>
      <c r="B855" s="107"/>
      <c r="C855" s="107"/>
      <c r="D855" s="107"/>
      <c r="E855" s="107"/>
      <c r="F855" s="107"/>
      <c r="G855" s="107"/>
      <c r="H855" s="107"/>
      <c r="I855" s="107"/>
      <c r="J855" s="107"/>
      <c r="K855" s="107"/>
      <c r="L855" s="107"/>
      <c r="M855" s="107"/>
      <c r="N855" s="107"/>
      <c r="O855" s="59"/>
      <c r="P855" s="107"/>
      <c r="Q855" s="107"/>
      <c r="R855" s="107"/>
    </row>
    <row r="856" spans="1:18" ht="15.75" customHeight="1" x14ac:dyDescent="0.25">
      <c r="A856" s="107"/>
      <c r="B856" s="107"/>
      <c r="C856" s="107"/>
      <c r="D856" s="107"/>
      <c r="E856" s="107"/>
      <c r="F856" s="107"/>
      <c r="G856" s="107"/>
      <c r="H856" s="107"/>
      <c r="I856" s="107"/>
      <c r="J856" s="107"/>
      <c r="K856" s="107"/>
      <c r="L856" s="107"/>
      <c r="M856" s="107"/>
      <c r="N856" s="107"/>
      <c r="O856" s="59"/>
      <c r="P856" s="107"/>
      <c r="Q856" s="107"/>
      <c r="R856" s="107"/>
    </row>
    <row r="857" spans="1:18" ht="15.75" customHeight="1" x14ac:dyDescent="0.25">
      <c r="A857" s="107"/>
      <c r="B857" s="107"/>
      <c r="C857" s="107"/>
      <c r="D857" s="107"/>
      <c r="E857" s="107"/>
      <c r="F857" s="107"/>
      <c r="G857" s="107"/>
      <c r="H857" s="107"/>
      <c r="I857" s="107"/>
      <c r="J857" s="107"/>
      <c r="K857" s="107"/>
      <c r="L857" s="107"/>
      <c r="M857" s="107"/>
      <c r="N857" s="107"/>
      <c r="O857" s="59"/>
      <c r="P857" s="107"/>
      <c r="Q857" s="107"/>
      <c r="R857" s="107"/>
    </row>
    <row r="858" spans="1:18" ht="15.75" customHeight="1" x14ac:dyDescent="0.25">
      <c r="A858" s="107"/>
      <c r="B858" s="107"/>
      <c r="C858" s="107"/>
      <c r="D858" s="107"/>
      <c r="E858" s="107"/>
      <c r="F858" s="107"/>
      <c r="G858" s="107"/>
      <c r="H858" s="107"/>
      <c r="I858" s="107"/>
      <c r="J858" s="107"/>
      <c r="K858" s="107"/>
      <c r="L858" s="107"/>
      <c r="M858" s="107"/>
      <c r="N858" s="107"/>
      <c r="O858" s="59"/>
      <c r="P858" s="107"/>
      <c r="Q858" s="107"/>
      <c r="R858" s="107"/>
    </row>
    <row r="859" spans="1:18" ht="15.75" customHeight="1" x14ac:dyDescent="0.25">
      <c r="A859" s="107"/>
      <c r="B859" s="107"/>
      <c r="C859" s="107"/>
      <c r="D859" s="107"/>
      <c r="E859" s="107"/>
      <c r="F859" s="107"/>
      <c r="G859" s="107"/>
      <c r="H859" s="107"/>
      <c r="I859" s="107"/>
      <c r="J859" s="107"/>
      <c r="K859" s="107"/>
      <c r="L859" s="107"/>
      <c r="M859" s="107"/>
      <c r="N859" s="107"/>
      <c r="O859" s="59"/>
      <c r="P859" s="107"/>
      <c r="Q859" s="107"/>
      <c r="R859" s="107"/>
    </row>
    <row r="860" spans="1:18" ht="15.75" customHeight="1" x14ac:dyDescent="0.25">
      <c r="A860" s="107"/>
      <c r="B860" s="107"/>
      <c r="C860" s="107"/>
      <c r="D860" s="107"/>
      <c r="E860" s="107"/>
      <c r="F860" s="107"/>
      <c r="G860" s="107"/>
      <c r="H860" s="107"/>
      <c r="I860" s="107"/>
      <c r="J860" s="107"/>
      <c r="K860" s="107"/>
      <c r="L860" s="107"/>
      <c r="M860" s="107"/>
      <c r="N860" s="107"/>
      <c r="O860" s="59"/>
      <c r="P860" s="107"/>
      <c r="Q860" s="107"/>
      <c r="R860" s="107"/>
    </row>
    <row r="861" spans="1:18" ht="15.75" customHeight="1" x14ac:dyDescent="0.25">
      <c r="A861" s="107"/>
      <c r="B861" s="107"/>
      <c r="C861" s="107"/>
      <c r="D861" s="107"/>
      <c r="E861" s="107"/>
      <c r="F861" s="107"/>
      <c r="G861" s="107"/>
      <c r="H861" s="107"/>
      <c r="I861" s="107"/>
      <c r="J861" s="107"/>
      <c r="K861" s="107"/>
      <c r="L861" s="107"/>
      <c r="M861" s="107"/>
      <c r="N861" s="107"/>
      <c r="O861" s="59"/>
      <c r="P861" s="107"/>
      <c r="Q861" s="107"/>
      <c r="R861" s="107"/>
    </row>
    <row r="862" spans="1:18" ht="15.75" customHeight="1" x14ac:dyDescent="0.25">
      <c r="A862" s="107"/>
      <c r="B862" s="107"/>
      <c r="C862" s="107"/>
      <c r="D862" s="107"/>
      <c r="E862" s="107"/>
      <c r="F862" s="107"/>
      <c r="G862" s="107"/>
      <c r="H862" s="107"/>
      <c r="I862" s="107"/>
      <c r="J862" s="107"/>
      <c r="K862" s="107"/>
      <c r="L862" s="107"/>
      <c r="M862" s="107"/>
      <c r="N862" s="107"/>
      <c r="O862" s="59"/>
      <c r="P862" s="107"/>
      <c r="Q862" s="107"/>
      <c r="R862" s="107"/>
    </row>
    <row r="863" spans="1:18" ht="15.75" customHeight="1" x14ac:dyDescent="0.25">
      <c r="A863" s="107"/>
      <c r="B863" s="107"/>
      <c r="C863" s="107"/>
      <c r="D863" s="107"/>
      <c r="E863" s="107"/>
      <c r="F863" s="107"/>
      <c r="G863" s="107"/>
      <c r="H863" s="107"/>
      <c r="I863" s="107"/>
      <c r="J863" s="107"/>
      <c r="K863" s="107"/>
      <c r="L863" s="107"/>
      <c r="M863" s="107"/>
      <c r="N863" s="107"/>
      <c r="O863" s="59"/>
      <c r="P863" s="107"/>
      <c r="Q863" s="107"/>
      <c r="R863" s="107"/>
    </row>
    <row r="864" spans="1:18" ht="15.75" customHeight="1" x14ac:dyDescent="0.25">
      <c r="A864" s="107"/>
      <c r="B864" s="107"/>
      <c r="C864" s="107"/>
      <c r="D864" s="107"/>
      <c r="E864" s="107"/>
      <c r="F864" s="107"/>
      <c r="G864" s="107"/>
      <c r="H864" s="107"/>
      <c r="I864" s="107"/>
      <c r="J864" s="107"/>
      <c r="K864" s="107"/>
      <c r="L864" s="107"/>
      <c r="M864" s="107"/>
      <c r="N864" s="107"/>
      <c r="O864" s="59"/>
      <c r="P864" s="107"/>
      <c r="Q864" s="107"/>
      <c r="R864" s="107"/>
    </row>
    <row r="865" spans="1:18" ht="15.75" customHeight="1" x14ac:dyDescent="0.25">
      <c r="A865" s="107"/>
      <c r="B865" s="107"/>
      <c r="C865" s="107"/>
      <c r="D865" s="107"/>
      <c r="E865" s="107"/>
      <c r="F865" s="107"/>
      <c r="G865" s="107"/>
      <c r="H865" s="107"/>
      <c r="I865" s="107"/>
      <c r="J865" s="107"/>
      <c r="K865" s="107"/>
      <c r="L865" s="107"/>
      <c r="M865" s="107"/>
      <c r="N865" s="107"/>
      <c r="O865" s="59"/>
      <c r="P865" s="107"/>
      <c r="Q865" s="107"/>
      <c r="R865" s="107"/>
    </row>
    <row r="866" spans="1:18" ht="15.75" customHeight="1" x14ac:dyDescent="0.25">
      <c r="A866" s="107"/>
      <c r="B866" s="107"/>
      <c r="C866" s="107"/>
      <c r="D866" s="107"/>
      <c r="E866" s="107"/>
      <c r="F866" s="107"/>
      <c r="G866" s="107"/>
      <c r="H866" s="107"/>
      <c r="I866" s="107"/>
      <c r="J866" s="107"/>
      <c r="K866" s="107"/>
      <c r="L866" s="107"/>
      <c r="M866" s="107"/>
      <c r="N866" s="107"/>
      <c r="O866" s="59"/>
      <c r="P866" s="107"/>
      <c r="Q866" s="107"/>
      <c r="R866" s="107"/>
    </row>
    <row r="867" spans="1:18" ht="15.75" customHeight="1" x14ac:dyDescent="0.25">
      <c r="A867" s="107"/>
      <c r="B867" s="107"/>
      <c r="C867" s="107"/>
      <c r="D867" s="107"/>
      <c r="E867" s="107"/>
      <c r="F867" s="107"/>
      <c r="G867" s="107"/>
      <c r="H867" s="107"/>
      <c r="I867" s="107"/>
      <c r="J867" s="107"/>
      <c r="K867" s="107"/>
      <c r="L867" s="107"/>
      <c r="M867" s="107"/>
      <c r="N867" s="107"/>
      <c r="O867" s="59"/>
      <c r="P867" s="107"/>
      <c r="Q867" s="107"/>
      <c r="R867" s="107"/>
    </row>
    <row r="868" spans="1:18" ht="15.75" customHeight="1" x14ac:dyDescent="0.25">
      <c r="A868" s="107"/>
      <c r="B868" s="107"/>
      <c r="C868" s="107"/>
      <c r="D868" s="107"/>
      <c r="E868" s="107"/>
      <c r="F868" s="107"/>
      <c r="G868" s="107"/>
      <c r="H868" s="107"/>
      <c r="I868" s="107"/>
      <c r="J868" s="107"/>
      <c r="K868" s="107"/>
      <c r="L868" s="107"/>
      <c r="M868" s="107"/>
      <c r="N868" s="107"/>
      <c r="O868" s="59"/>
      <c r="P868" s="107"/>
      <c r="Q868" s="107"/>
      <c r="R868" s="107"/>
    </row>
    <row r="869" spans="1:18" ht="15.75" customHeight="1" x14ac:dyDescent="0.25">
      <c r="A869" s="107"/>
      <c r="B869" s="107"/>
      <c r="C869" s="107"/>
      <c r="D869" s="107"/>
      <c r="E869" s="107"/>
      <c r="F869" s="107"/>
      <c r="G869" s="107"/>
      <c r="H869" s="107"/>
      <c r="I869" s="107"/>
      <c r="J869" s="107"/>
      <c r="K869" s="107"/>
      <c r="L869" s="107"/>
      <c r="M869" s="107"/>
      <c r="N869" s="107"/>
      <c r="O869" s="59"/>
      <c r="P869" s="107"/>
      <c r="Q869" s="107"/>
      <c r="R869" s="107"/>
    </row>
    <row r="870" spans="1:18" ht="15.75" customHeight="1" x14ac:dyDescent="0.25">
      <c r="A870" s="107"/>
      <c r="B870" s="107"/>
      <c r="C870" s="107"/>
      <c r="D870" s="107"/>
      <c r="E870" s="107"/>
      <c r="F870" s="107"/>
      <c r="G870" s="107"/>
      <c r="H870" s="107"/>
      <c r="I870" s="107"/>
      <c r="J870" s="107"/>
      <c r="K870" s="107"/>
      <c r="L870" s="107"/>
      <c r="M870" s="107"/>
      <c r="N870" s="107"/>
      <c r="O870" s="59"/>
      <c r="P870" s="107"/>
      <c r="Q870" s="107"/>
      <c r="R870" s="107"/>
    </row>
    <row r="871" spans="1:18" ht="15.75" customHeight="1" x14ac:dyDescent="0.25">
      <c r="A871" s="107"/>
      <c r="B871" s="107"/>
      <c r="C871" s="107"/>
      <c r="D871" s="107"/>
      <c r="E871" s="107"/>
      <c r="F871" s="107"/>
      <c r="G871" s="107"/>
      <c r="H871" s="107"/>
      <c r="I871" s="107"/>
      <c r="J871" s="107"/>
      <c r="K871" s="107"/>
      <c r="L871" s="107"/>
      <c r="M871" s="107"/>
      <c r="N871" s="107"/>
      <c r="O871" s="59"/>
      <c r="P871" s="107"/>
      <c r="Q871" s="107"/>
      <c r="R871" s="107"/>
    </row>
    <row r="872" spans="1:18" ht="15.75" customHeight="1" x14ac:dyDescent="0.25">
      <c r="A872" s="107"/>
      <c r="B872" s="107"/>
      <c r="C872" s="107"/>
      <c r="D872" s="107"/>
      <c r="E872" s="107"/>
      <c r="F872" s="107"/>
      <c r="G872" s="107"/>
      <c r="H872" s="107"/>
      <c r="I872" s="107"/>
      <c r="J872" s="107"/>
      <c r="K872" s="107"/>
      <c r="L872" s="107"/>
      <c r="M872" s="107"/>
      <c r="N872" s="107"/>
      <c r="O872" s="59"/>
      <c r="P872" s="107"/>
      <c r="Q872" s="107"/>
      <c r="R872" s="107"/>
    </row>
    <row r="873" spans="1:18" ht="15.75" customHeight="1" x14ac:dyDescent="0.25">
      <c r="A873" s="107"/>
      <c r="B873" s="107"/>
      <c r="C873" s="107"/>
      <c r="D873" s="107"/>
      <c r="E873" s="107"/>
      <c r="F873" s="107"/>
      <c r="G873" s="107"/>
      <c r="H873" s="107"/>
      <c r="I873" s="107"/>
      <c r="J873" s="107"/>
      <c r="K873" s="107"/>
      <c r="L873" s="107"/>
      <c r="M873" s="107"/>
      <c r="N873" s="107"/>
      <c r="O873" s="59"/>
      <c r="P873" s="107"/>
      <c r="Q873" s="107"/>
      <c r="R873" s="107"/>
    </row>
    <row r="874" spans="1:18" ht="15.75" customHeight="1" x14ac:dyDescent="0.25">
      <c r="A874" s="107"/>
      <c r="B874" s="107"/>
      <c r="C874" s="107"/>
      <c r="D874" s="107"/>
      <c r="E874" s="107"/>
      <c r="F874" s="107"/>
      <c r="G874" s="107"/>
      <c r="H874" s="107"/>
      <c r="I874" s="107"/>
      <c r="J874" s="107"/>
      <c r="K874" s="107"/>
      <c r="L874" s="107"/>
      <c r="M874" s="107"/>
      <c r="N874" s="107"/>
      <c r="O874" s="59"/>
      <c r="P874" s="107"/>
      <c r="Q874" s="107"/>
      <c r="R874" s="107"/>
    </row>
    <row r="875" spans="1:18" ht="15.75" customHeight="1" x14ac:dyDescent="0.25">
      <c r="A875" s="107"/>
      <c r="B875" s="107"/>
      <c r="C875" s="107"/>
      <c r="D875" s="107"/>
      <c r="E875" s="107"/>
      <c r="F875" s="107"/>
      <c r="G875" s="107"/>
      <c r="H875" s="107"/>
      <c r="I875" s="107"/>
      <c r="J875" s="107"/>
      <c r="K875" s="107"/>
      <c r="L875" s="107"/>
      <c r="M875" s="107"/>
      <c r="N875" s="107"/>
      <c r="O875" s="59"/>
      <c r="P875" s="107"/>
      <c r="Q875" s="107"/>
      <c r="R875" s="107"/>
    </row>
    <row r="876" spans="1:18" ht="15.75" customHeight="1" x14ac:dyDescent="0.25">
      <c r="A876" s="107"/>
      <c r="B876" s="107"/>
      <c r="C876" s="107"/>
      <c r="D876" s="107"/>
      <c r="E876" s="107"/>
      <c r="F876" s="107"/>
      <c r="G876" s="107"/>
      <c r="H876" s="107"/>
      <c r="I876" s="107"/>
      <c r="J876" s="107"/>
      <c r="K876" s="107"/>
      <c r="L876" s="107"/>
      <c r="M876" s="107"/>
      <c r="N876" s="107"/>
      <c r="O876" s="59"/>
      <c r="P876" s="107"/>
      <c r="Q876" s="107"/>
      <c r="R876" s="107"/>
    </row>
    <row r="877" spans="1:18" ht="15.75" customHeight="1" x14ac:dyDescent="0.25">
      <c r="A877" s="107"/>
      <c r="B877" s="107"/>
      <c r="C877" s="107"/>
      <c r="D877" s="107"/>
      <c r="E877" s="107"/>
      <c r="F877" s="107"/>
      <c r="G877" s="107"/>
      <c r="H877" s="107"/>
      <c r="I877" s="107"/>
      <c r="J877" s="107"/>
      <c r="K877" s="107"/>
      <c r="L877" s="107"/>
      <c r="M877" s="107"/>
      <c r="N877" s="107"/>
      <c r="O877" s="59"/>
      <c r="P877" s="107"/>
      <c r="Q877" s="107"/>
      <c r="R877" s="107"/>
    </row>
    <row r="878" spans="1:18" ht="15.75" customHeight="1" x14ac:dyDescent="0.25">
      <c r="A878" s="107"/>
      <c r="B878" s="107"/>
      <c r="C878" s="107"/>
      <c r="D878" s="107"/>
      <c r="E878" s="107"/>
      <c r="F878" s="107"/>
      <c r="G878" s="107"/>
      <c r="H878" s="107"/>
      <c r="I878" s="107"/>
      <c r="J878" s="107"/>
      <c r="K878" s="107"/>
      <c r="L878" s="107"/>
      <c r="M878" s="107"/>
      <c r="N878" s="107"/>
      <c r="O878" s="59"/>
      <c r="P878" s="107"/>
      <c r="Q878" s="107"/>
      <c r="R878" s="107"/>
    </row>
    <row r="879" spans="1:18" ht="15.75" customHeight="1" x14ac:dyDescent="0.25">
      <c r="A879" s="107"/>
      <c r="B879" s="107"/>
      <c r="C879" s="107"/>
      <c r="D879" s="107"/>
      <c r="E879" s="107"/>
      <c r="F879" s="107"/>
      <c r="G879" s="107"/>
      <c r="H879" s="107"/>
      <c r="I879" s="107"/>
      <c r="J879" s="107"/>
      <c r="K879" s="107"/>
      <c r="L879" s="107"/>
      <c r="M879" s="107"/>
      <c r="N879" s="107"/>
      <c r="O879" s="59"/>
      <c r="P879" s="107"/>
      <c r="Q879" s="107"/>
      <c r="R879" s="107"/>
    </row>
    <row r="880" spans="1:18" ht="15.75" customHeight="1" x14ac:dyDescent="0.25">
      <c r="A880" s="107"/>
      <c r="B880" s="107"/>
      <c r="C880" s="107"/>
      <c r="D880" s="107"/>
      <c r="E880" s="107"/>
      <c r="F880" s="107"/>
      <c r="G880" s="107"/>
      <c r="H880" s="107"/>
      <c r="I880" s="107"/>
      <c r="J880" s="107"/>
      <c r="K880" s="107"/>
      <c r="L880" s="107"/>
      <c r="M880" s="107"/>
      <c r="N880" s="107"/>
      <c r="O880" s="59"/>
      <c r="P880" s="107"/>
      <c r="Q880" s="107"/>
      <c r="R880" s="107"/>
    </row>
    <row r="881" spans="1:18" ht="15.75" customHeight="1" x14ac:dyDescent="0.25">
      <c r="A881" s="107"/>
      <c r="B881" s="107"/>
      <c r="C881" s="107"/>
      <c r="D881" s="107"/>
      <c r="E881" s="107"/>
      <c r="F881" s="107"/>
      <c r="G881" s="107"/>
      <c r="H881" s="107"/>
      <c r="I881" s="107"/>
      <c r="J881" s="107"/>
      <c r="K881" s="107"/>
      <c r="L881" s="107"/>
      <c r="M881" s="107"/>
      <c r="N881" s="107"/>
      <c r="O881" s="59"/>
      <c r="P881" s="107"/>
      <c r="Q881" s="107"/>
      <c r="R881" s="107"/>
    </row>
    <row r="882" spans="1:18" ht="15.75" customHeight="1" x14ac:dyDescent="0.25">
      <c r="A882" s="107"/>
      <c r="B882" s="107"/>
      <c r="C882" s="107"/>
      <c r="D882" s="107"/>
      <c r="E882" s="107"/>
      <c r="F882" s="107"/>
      <c r="G882" s="107"/>
      <c r="H882" s="107"/>
      <c r="I882" s="107"/>
      <c r="J882" s="107"/>
      <c r="K882" s="107"/>
      <c r="L882" s="107"/>
      <c r="M882" s="107"/>
      <c r="N882" s="107"/>
      <c r="O882" s="59"/>
      <c r="P882" s="107"/>
      <c r="Q882" s="107"/>
      <c r="R882" s="107"/>
    </row>
    <row r="883" spans="1:18" ht="15.75" customHeight="1" x14ac:dyDescent="0.25">
      <c r="A883" s="107"/>
      <c r="B883" s="107"/>
      <c r="C883" s="107"/>
      <c r="D883" s="107"/>
      <c r="E883" s="107"/>
      <c r="F883" s="107"/>
      <c r="G883" s="107"/>
      <c r="H883" s="107"/>
      <c r="I883" s="107"/>
      <c r="J883" s="107"/>
      <c r="K883" s="107"/>
      <c r="L883" s="107"/>
      <c r="M883" s="107"/>
      <c r="N883" s="107"/>
      <c r="O883" s="59"/>
      <c r="P883" s="107"/>
      <c r="Q883" s="107"/>
      <c r="R883" s="107"/>
    </row>
    <row r="884" spans="1:18" ht="15.75" customHeight="1" x14ac:dyDescent="0.25">
      <c r="A884" s="107"/>
      <c r="B884" s="107"/>
      <c r="C884" s="107"/>
      <c r="D884" s="107"/>
      <c r="E884" s="107"/>
      <c r="F884" s="107"/>
      <c r="G884" s="107"/>
      <c r="H884" s="107"/>
      <c r="I884" s="107"/>
      <c r="J884" s="107"/>
      <c r="K884" s="107"/>
      <c r="L884" s="107"/>
      <c r="M884" s="107"/>
      <c r="N884" s="107"/>
      <c r="O884" s="59"/>
      <c r="P884" s="107"/>
      <c r="Q884" s="107"/>
      <c r="R884" s="107"/>
    </row>
    <row r="885" spans="1:18" ht="15.75" customHeight="1" x14ac:dyDescent="0.25">
      <c r="A885" s="107"/>
      <c r="B885" s="107"/>
      <c r="C885" s="107"/>
      <c r="D885" s="107"/>
      <c r="E885" s="107"/>
      <c r="F885" s="107"/>
      <c r="G885" s="107"/>
      <c r="H885" s="107"/>
      <c r="I885" s="107"/>
      <c r="J885" s="107"/>
      <c r="K885" s="107"/>
      <c r="L885" s="107"/>
      <c r="M885" s="107"/>
      <c r="N885" s="107"/>
      <c r="O885" s="59"/>
      <c r="P885" s="107"/>
      <c r="Q885" s="107"/>
      <c r="R885" s="107"/>
    </row>
    <row r="886" spans="1:18" ht="15.75" customHeight="1" x14ac:dyDescent="0.25">
      <c r="A886" s="107"/>
      <c r="B886" s="107"/>
      <c r="C886" s="107"/>
      <c r="D886" s="107"/>
      <c r="E886" s="107"/>
      <c r="F886" s="107"/>
      <c r="G886" s="107"/>
      <c r="H886" s="107"/>
      <c r="I886" s="107"/>
      <c r="J886" s="107"/>
      <c r="K886" s="107"/>
      <c r="L886" s="107"/>
      <c r="M886" s="107"/>
      <c r="N886" s="107"/>
      <c r="O886" s="59"/>
      <c r="P886" s="107"/>
      <c r="Q886" s="107"/>
      <c r="R886" s="107"/>
    </row>
    <row r="887" spans="1:18" ht="15.75" customHeight="1" x14ac:dyDescent="0.25">
      <c r="A887" s="107"/>
      <c r="B887" s="107"/>
      <c r="C887" s="107"/>
      <c r="D887" s="107"/>
      <c r="E887" s="107"/>
      <c r="F887" s="107"/>
      <c r="G887" s="107"/>
      <c r="H887" s="107"/>
      <c r="I887" s="107"/>
      <c r="J887" s="107"/>
      <c r="K887" s="107"/>
      <c r="L887" s="107"/>
      <c r="M887" s="107"/>
      <c r="N887" s="107"/>
      <c r="O887" s="59"/>
      <c r="P887" s="107"/>
      <c r="Q887" s="107"/>
      <c r="R887" s="107"/>
    </row>
    <row r="888" spans="1:18" ht="15.75" customHeight="1" x14ac:dyDescent="0.25">
      <c r="A888" s="107"/>
      <c r="B888" s="107"/>
      <c r="C888" s="107"/>
      <c r="D888" s="107"/>
      <c r="E888" s="107"/>
      <c r="F888" s="107"/>
      <c r="G888" s="107"/>
      <c r="H888" s="107"/>
      <c r="I888" s="107"/>
      <c r="J888" s="107"/>
      <c r="K888" s="107"/>
      <c r="L888" s="107"/>
      <c r="M888" s="107"/>
      <c r="N888" s="107"/>
      <c r="O888" s="59"/>
      <c r="P888" s="107"/>
      <c r="Q888" s="107"/>
      <c r="R888" s="107"/>
    </row>
    <row r="889" spans="1:18" ht="15.75" customHeight="1" x14ac:dyDescent="0.25">
      <c r="A889" s="107"/>
      <c r="B889" s="107"/>
      <c r="C889" s="107"/>
      <c r="D889" s="107"/>
      <c r="E889" s="107"/>
      <c r="F889" s="107"/>
      <c r="G889" s="107"/>
      <c r="H889" s="107"/>
      <c r="I889" s="107"/>
      <c r="J889" s="107"/>
      <c r="K889" s="107"/>
      <c r="L889" s="107"/>
      <c r="M889" s="107"/>
      <c r="N889" s="107"/>
      <c r="O889" s="59"/>
      <c r="P889" s="107"/>
      <c r="Q889" s="107"/>
      <c r="R889" s="107"/>
    </row>
    <row r="890" spans="1:18" ht="15.75" customHeight="1" x14ac:dyDescent="0.25">
      <c r="A890" s="107"/>
      <c r="B890" s="107"/>
      <c r="C890" s="107"/>
      <c r="D890" s="107"/>
      <c r="E890" s="107"/>
      <c r="F890" s="107"/>
      <c r="G890" s="107"/>
      <c r="H890" s="107"/>
      <c r="I890" s="107"/>
      <c r="J890" s="107"/>
      <c r="K890" s="107"/>
      <c r="L890" s="107"/>
      <c r="M890" s="107"/>
      <c r="N890" s="107"/>
      <c r="O890" s="59"/>
      <c r="P890" s="107"/>
      <c r="Q890" s="107"/>
      <c r="R890" s="107"/>
    </row>
    <row r="891" spans="1:18" ht="15.75" customHeight="1" x14ac:dyDescent="0.25">
      <c r="A891" s="107"/>
      <c r="B891" s="107"/>
      <c r="C891" s="107"/>
      <c r="D891" s="107"/>
      <c r="E891" s="107"/>
      <c r="F891" s="107"/>
      <c r="G891" s="107"/>
      <c r="H891" s="107"/>
      <c r="I891" s="107"/>
      <c r="J891" s="107"/>
      <c r="K891" s="107"/>
      <c r="L891" s="107"/>
      <c r="M891" s="107"/>
      <c r="N891" s="107"/>
      <c r="O891" s="59"/>
      <c r="P891" s="107"/>
      <c r="Q891" s="107"/>
      <c r="R891" s="107"/>
    </row>
    <row r="892" spans="1:18" ht="15.75" customHeight="1" x14ac:dyDescent="0.25">
      <c r="A892" s="107"/>
      <c r="B892" s="107"/>
      <c r="C892" s="107"/>
      <c r="D892" s="107"/>
      <c r="E892" s="107"/>
      <c r="F892" s="107"/>
      <c r="G892" s="107"/>
      <c r="H892" s="107"/>
      <c r="I892" s="107"/>
      <c r="J892" s="107"/>
      <c r="K892" s="107"/>
      <c r="L892" s="107"/>
      <c r="M892" s="107"/>
      <c r="N892" s="107"/>
      <c r="O892" s="59"/>
      <c r="P892" s="107"/>
      <c r="Q892" s="107"/>
      <c r="R892" s="107"/>
    </row>
    <row r="893" spans="1:18" ht="15.75" customHeight="1" x14ac:dyDescent="0.25">
      <c r="A893" s="107"/>
      <c r="B893" s="107"/>
      <c r="C893" s="107"/>
      <c r="D893" s="107"/>
      <c r="E893" s="107"/>
      <c r="F893" s="107"/>
      <c r="G893" s="107"/>
      <c r="H893" s="107"/>
      <c r="I893" s="107"/>
      <c r="J893" s="107"/>
      <c r="K893" s="107"/>
      <c r="L893" s="107"/>
      <c r="M893" s="107"/>
      <c r="N893" s="107"/>
      <c r="O893" s="59"/>
      <c r="P893" s="107"/>
      <c r="Q893" s="107"/>
      <c r="R893" s="107"/>
    </row>
    <row r="894" spans="1:18" ht="15.75" customHeight="1" x14ac:dyDescent="0.25">
      <c r="A894" s="107"/>
      <c r="B894" s="107"/>
      <c r="C894" s="107"/>
      <c r="D894" s="107"/>
      <c r="E894" s="107"/>
      <c r="F894" s="107"/>
      <c r="G894" s="107"/>
      <c r="H894" s="107"/>
      <c r="I894" s="107"/>
      <c r="J894" s="107"/>
      <c r="K894" s="107"/>
      <c r="L894" s="107"/>
      <c r="M894" s="107"/>
      <c r="N894" s="107"/>
      <c r="O894" s="59"/>
      <c r="P894" s="107"/>
      <c r="Q894" s="107"/>
      <c r="R894" s="107"/>
    </row>
    <row r="895" spans="1:18" ht="15.75" customHeight="1" x14ac:dyDescent="0.25">
      <c r="A895" s="107"/>
      <c r="B895" s="107"/>
      <c r="C895" s="107"/>
      <c r="D895" s="107"/>
      <c r="E895" s="107"/>
      <c r="F895" s="107"/>
      <c r="G895" s="107"/>
      <c r="H895" s="107"/>
      <c r="I895" s="107"/>
      <c r="J895" s="107"/>
      <c r="K895" s="107"/>
      <c r="L895" s="107"/>
      <c r="M895" s="107"/>
      <c r="N895" s="107"/>
      <c r="O895" s="59"/>
      <c r="P895" s="107"/>
      <c r="Q895" s="107"/>
      <c r="R895" s="107"/>
    </row>
    <row r="896" spans="1:18" ht="15.75" customHeight="1" x14ac:dyDescent="0.25">
      <c r="A896" s="107"/>
      <c r="B896" s="107"/>
      <c r="C896" s="107"/>
      <c r="D896" s="107"/>
      <c r="E896" s="107"/>
      <c r="F896" s="107"/>
      <c r="G896" s="107"/>
      <c r="H896" s="107"/>
      <c r="I896" s="107"/>
      <c r="J896" s="107"/>
      <c r="K896" s="107"/>
      <c r="L896" s="107"/>
      <c r="M896" s="107"/>
      <c r="N896" s="107"/>
      <c r="O896" s="59"/>
      <c r="P896" s="107"/>
      <c r="Q896" s="107"/>
      <c r="R896" s="107"/>
    </row>
    <row r="897" spans="1:18" ht="15.75" customHeight="1" x14ac:dyDescent="0.25">
      <c r="A897" s="107"/>
      <c r="B897" s="107"/>
      <c r="C897" s="107"/>
      <c r="D897" s="107"/>
      <c r="E897" s="107"/>
      <c r="F897" s="107"/>
      <c r="G897" s="107"/>
      <c r="H897" s="107"/>
      <c r="I897" s="107"/>
      <c r="J897" s="107"/>
      <c r="K897" s="107"/>
      <c r="L897" s="107"/>
      <c r="M897" s="107"/>
      <c r="N897" s="107"/>
      <c r="O897" s="59"/>
      <c r="P897" s="107"/>
      <c r="Q897" s="107"/>
      <c r="R897" s="107"/>
    </row>
    <row r="898" spans="1:18" ht="15.75" customHeight="1" x14ac:dyDescent="0.25">
      <c r="A898" s="107"/>
      <c r="B898" s="107"/>
      <c r="C898" s="107"/>
      <c r="D898" s="107"/>
      <c r="E898" s="107"/>
      <c r="F898" s="107"/>
      <c r="G898" s="107"/>
      <c r="H898" s="107"/>
      <c r="I898" s="107"/>
      <c r="J898" s="107"/>
      <c r="K898" s="107"/>
      <c r="L898" s="107"/>
      <c r="M898" s="107"/>
      <c r="N898" s="107"/>
      <c r="O898" s="59"/>
      <c r="P898" s="107"/>
      <c r="Q898" s="107"/>
      <c r="R898" s="107"/>
    </row>
    <row r="899" spans="1:18" ht="15.75" customHeight="1" x14ac:dyDescent="0.25">
      <c r="A899" s="107"/>
      <c r="B899" s="107"/>
      <c r="C899" s="107"/>
      <c r="D899" s="107"/>
      <c r="E899" s="107"/>
      <c r="F899" s="107"/>
      <c r="G899" s="107"/>
      <c r="H899" s="107"/>
      <c r="I899" s="107"/>
      <c r="J899" s="107"/>
      <c r="K899" s="107"/>
      <c r="L899" s="107"/>
      <c r="M899" s="107"/>
      <c r="N899" s="107"/>
      <c r="O899" s="59"/>
      <c r="P899" s="107"/>
      <c r="Q899" s="107"/>
      <c r="R899" s="107"/>
    </row>
    <row r="900" spans="1:18" ht="15.75" customHeight="1" x14ac:dyDescent="0.25">
      <c r="A900" s="107"/>
      <c r="B900" s="107"/>
      <c r="C900" s="107"/>
      <c r="D900" s="107"/>
      <c r="E900" s="107"/>
      <c r="F900" s="107"/>
      <c r="G900" s="107"/>
      <c r="H900" s="107"/>
      <c r="I900" s="107"/>
      <c r="J900" s="107"/>
      <c r="K900" s="107"/>
      <c r="L900" s="107"/>
      <c r="M900" s="107"/>
      <c r="N900" s="107"/>
      <c r="O900" s="59"/>
      <c r="P900" s="107"/>
      <c r="Q900" s="107"/>
      <c r="R900" s="107"/>
    </row>
    <row r="901" spans="1:18" ht="15.75" customHeight="1" x14ac:dyDescent="0.25">
      <c r="A901" s="107"/>
      <c r="B901" s="107"/>
      <c r="C901" s="107"/>
      <c r="D901" s="107"/>
      <c r="E901" s="107"/>
      <c r="F901" s="107"/>
      <c r="G901" s="107"/>
      <c r="H901" s="107"/>
      <c r="I901" s="107"/>
      <c r="J901" s="107"/>
      <c r="K901" s="107"/>
      <c r="L901" s="107"/>
      <c r="M901" s="107"/>
      <c r="N901" s="107"/>
      <c r="O901" s="59"/>
      <c r="P901" s="107"/>
      <c r="Q901" s="107"/>
      <c r="R901" s="107"/>
    </row>
    <row r="902" spans="1:18" ht="15.75" customHeight="1" x14ac:dyDescent="0.25">
      <c r="A902" s="107"/>
      <c r="B902" s="107"/>
      <c r="C902" s="107"/>
      <c r="D902" s="107"/>
      <c r="E902" s="107"/>
      <c r="F902" s="107"/>
      <c r="G902" s="107"/>
      <c r="H902" s="107"/>
      <c r="I902" s="107"/>
      <c r="J902" s="107"/>
      <c r="K902" s="107"/>
      <c r="L902" s="107"/>
      <c r="M902" s="107"/>
      <c r="N902" s="107"/>
      <c r="O902" s="59"/>
      <c r="P902" s="107"/>
      <c r="Q902" s="107"/>
      <c r="R902" s="107"/>
    </row>
    <row r="903" spans="1:18" ht="15.75" customHeight="1" x14ac:dyDescent="0.25">
      <c r="A903" s="107"/>
      <c r="B903" s="107"/>
      <c r="C903" s="107"/>
      <c r="D903" s="107"/>
      <c r="E903" s="107"/>
      <c r="F903" s="107"/>
      <c r="G903" s="107"/>
      <c r="H903" s="107"/>
      <c r="I903" s="107"/>
      <c r="J903" s="107"/>
      <c r="K903" s="107"/>
      <c r="L903" s="107"/>
      <c r="M903" s="107"/>
      <c r="N903" s="107"/>
      <c r="O903" s="59"/>
      <c r="P903" s="107"/>
      <c r="Q903" s="107"/>
      <c r="R903" s="107"/>
    </row>
    <row r="904" spans="1:18" ht="15.75" customHeight="1" x14ac:dyDescent="0.25">
      <c r="A904" s="107"/>
      <c r="B904" s="107"/>
      <c r="C904" s="107"/>
      <c r="D904" s="107"/>
      <c r="E904" s="107"/>
      <c r="F904" s="107"/>
      <c r="G904" s="107"/>
      <c r="H904" s="107"/>
      <c r="I904" s="107"/>
      <c r="J904" s="107"/>
      <c r="K904" s="107"/>
      <c r="L904" s="107"/>
      <c r="M904" s="107"/>
      <c r="N904" s="107"/>
      <c r="O904" s="59"/>
      <c r="P904" s="107"/>
      <c r="Q904" s="107"/>
      <c r="R904" s="107"/>
    </row>
    <row r="905" spans="1:18" ht="15.75" customHeight="1" x14ac:dyDescent="0.25">
      <c r="A905" s="107"/>
      <c r="B905" s="107"/>
      <c r="C905" s="107"/>
      <c r="D905" s="107"/>
      <c r="E905" s="107"/>
      <c r="F905" s="107"/>
      <c r="G905" s="107"/>
      <c r="H905" s="107"/>
      <c r="I905" s="107"/>
      <c r="J905" s="107"/>
      <c r="K905" s="107"/>
      <c r="L905" s="107"/>
      <c r="M905" s="107"/>
      <c r="N905" s="107"/>
      <c r="O905" s="59"/>
      <c r="P905" s="107"/>
      <c r="Q905" s="107"/>
      <c r="R905" s="107"/>
    </row>
    <row r="906" spans="1:18" ht="15.75" customHeight="1" x14ac:dyDescent="0.25">
      <c r="A906" s="107"/>
      <c r="B906" s="107"/>
      <c r="C906" s="107"/>
      <c r="D906" s="107"/>
      <c r="E906" s="107"/>
      <c r="F906" s="107"/>
      <c r="G906" s="107"/>
      <c r="H906" s="107"/>
      <c r="I906" s="107"/>
      <c r="J906" s="107"/>
      <c r="K906" s="107"/>
      <c r="L906" s="107"/>
      <c r="M906" s="107"/>
      <c r="N906" s="107"/>
      <c r="O906" s="59"/>
      <c r="P906" s="107"/>
      <c r="Q906" s="107"/>
      <c r="R906" s="107"/>
    </row>
    <row r="907" spans="1:18" ht="15.75" customHeight="1" x14ac:dyDescent="0.25">
      <c r="A907" s="107"/>
      <c r="B907" s="107"/>
      <c r="C907" s="107"/>
      <c r="D907" s="107"/>
      <c r="E907" s="107"/>
      <c r="F907" s="107"/>
      <c r="G907" s="107"/>
      <c r="H907" s="107"/>
      <c r="I907" s="107"/>
      <c r="J907" s="107"/>
      <c r="K907" s="107"/>
      <c r="L907" s="107"/>
      <c r="M907" s="107"/>
      <c r="N907" s="107"/>
      <c r="O907" s="59"/>
      <c r="P907" s="107"/>
      <c r="Q907" s="107"/>
      <c r="R907" s="107"/>
    </row>
    <row r="908" spans="1:18" ht="15.75" customHeight="1" x14ac:dyDescent="0.25">
      <c r="A908" s="107"/>
      <c r="B908" s="107"/>
      <c r="C908" s="107"/>
      <c r="D908" s="107"/>
      <c r="E908" s="107"/>
      <c r="F908" s="107"/>
      <c r="G908" s="107"/>
      <c r="H908" s="107"/>
      <c r="I908" s="107"/>
      <c r="J908" s="107"/>
      <c r="K908" s="107"/>
      <c r="L908" s="107"/>
      <c r="M908" s="107"/>
      <c r="N908" s="107"/>
      <c r="O908" s="59"/>
      <c r="P908" s="107"/>
      <c r="Q908" s="107"/>
      <c r="R908" s="107"/>
    </row>
    <row r="909" spans="1:18" ht="15.75" customHeight="1" x14ac:dyDescent="0.25">
      <c r="A909" s="107"/>
      <c r="B909" s="107"/>
      <c r="C909" s="107"/>
      <c r="D909" s="107"/>
      <c r="E909" s="107"/>
      <c r="F909" s="107"/>
      <c r="G909" s="107"/>
      <c r="H909" s="107"/>
      <c r="I909" s="107"/>
      <c r="J909" s="107"/>
      <c r="K909" s="107"/>
      <c r="L909" s="107"/>
      <c r="M909" s="107"/>
      <c r="N909" s="107"/>
      <c r="O909" s="59"/>
      <c r="P909" s="107"/>
      <c r="Q909" s="107"/>
      <c r="R909" s="107"/>
    </row>
    <row r="910" spans="1:18" ht="15.75" customHeight="1" x14ac:dyDescent="0.25">
      <c r="A910" s="107"/>
      <c r="B910" s="107"/>
      <c r="C910" s="107"/>
      <c r="D910" s="107"/>
      <c r="E910" s="107"/>
      <c r="F910" s="107"/>
      <c r="G910" s="107"/>
      <c r="H910" s="107"/>
      <c r="I910" s="107"/>
      <c r="J910" s="107"/>
      <c r="K910" s="107"/>
      <c r="L910" s="107"/>
      <c r="M910" s="107"/>
      <c r="N910" s="107"/>
      <c r="O910" s="59"/>
      <c r="P910" s="107"/>
      <c r="Q910" s="107"/>
      <c r="R910" s="107"/>
    </row>
    <row r="911" spans="1:18" ht="15.75" customHeight="1" x14ac:dyDescent="0.25">
      <c r="A911" s="107"/>
      <c r="B911" s="107"/>
      <c r="C911" s="107"/>
      <c r="D911" s="107"/>
      <c r="E911" s="107"/>
      <c r="F911" s="107"/>
      <c r="G911" s="107"/>
      <c r="H911" s="107"/>
      <c r="I911" s="107"/>
      <c r="J911" s="107"/>
      <c r="K911" s="107"/>
      <c r="L911" s="107"/>
      <c r="M911" s="107"/>
      <c r="N911" s="107"/>
      <c r="O911" s="59"/>
      <c r="P911" s="107"/>
      <c r="Q911" s="107"/>
      <c r="R911" s="107"/>
    </row>
    <row r="912" spans="1:18" ht="15.75" customHeight="1" x14ac:dyDescent="0.25">
      <c r="A912" s="107"/>
      <c r="B912" s="107"/>
      <c r="C912" s="107"/>
      <c r="D912" s="107"/>
      <c r="E912" s="107"/>
      <c r="F912" s="107"/>
      <c r="G912" s="107"/>
      <c r="H912" s="107"/>
      <c r="I912" s="107"/>
      <c r="J912" s="107"/>
      <c r="K912" s="107"/>
      <c r="L912" s="107"/>
      <c r="M912" s="107"/>
      <c r="N912" s="107"/>
      <c r="O912" s="59"/>
      <c r="P912" s="107"/>
      <c r="Q912" s="107"/>
      <c r="R912" s="107"/>
    </row>
    <row r="913" spans="1:18" ht="15.75" customHeight="1" x14ac:dyDescent="0.25">
      <c r="A913" s="107"/>
      <c r="B913" s="107"/>
      <c r="C913" s="107"/>
      <c r="D913" s="107"/>
      <c r="E913" s="107"/>
      <c r="F913" s="107"/>
      <c r="G913" s="107"/>
      <c r="H913" s="107"/>
      <c r="I913" s="107"/>
      <c r="J913" s="107"/>
      <c r="K913" s="107"/>
      <c r="L913" s="107"/>
      <c r="M913" s="107"/>
      <c r="N913" s="107"/>
      <c r="O913" s="59"/>
      <c r="P913" s="107"/>
      <c r="Q913" s="107"/>
      <c r="R913" s="107"/>
    </row>
    <row r="914" spans="1:18" ht="15.75" customHeight="1" x14ac:dyDescent="0.25">
      <c r="A914" s="107"/>
      <c r="B914" s="107"/>
      <c r="C914" s="107"/>
      <c r="D914" s="107"/>
      <c r="E914" s="107"/>
      <c r="F914" s="107"/>
      <c r="G914" s="107"/>
      <c r="H914" s="107"/>
      <c r="I914" s="107"/>
      <c r="J914" s="107"/>
      <c r="K914" s="107"/>
      <c r="L914" s="107"/>
      <c r="M914" s="107"/>
      <c r="N914" s="107"/>
      <c r="O914" s="59"/>
      <c r="P914" s="107"/>
      <c r="Q914" s="107"/>
      <c r="R914" s="107"/>
    </row>
    <row r="915" spans="1:18" ht="15.75" customHeight="1" x14ac:dyDescent="0.25">
      <c r="A915" s="107"/>
      <c r="B915" s="107"/>
      <c r="C915" s="107"/>
      <c r="D915" s="107"/>
      <c r="E915" s="107"/>
      <c r="F915" s="107"/>
      <c r="G915" s="107"/>
      <c r="H915" s="107"/>
      <c r="I915" s="107"/>
      <c r="J915" s="107"/>
      <c r="K915" s="107"/>
      <c r="L915" s="107"/>
      <c r="M915" s="107"/>
      <c r="N915" s="107"/>
      <c r="O915" s="59"/>
      <c r="P915" s="107"/>
      <c r="Q915" s="107"/>
      <c r="R915" s="107"/>
    </row>
    <row r="916" spans="1:18" ht="15.75" customHeight="1" x14ac:dyDescent="0.25">
      <c r="A916" s="107"/>
      <c r="B916" s="107"/>
      <c r="C916" s="107"/>
      <c r="D916" s="107"/>
      <c r="E916" s="107"/>
      <c r="F916" s="107"/>
      <c r="G916" s="107"/>
      <c r="H916" s="107"/>
      <c r="I916" s="107"/>
      <c r="J916" s="107"/>
      <c r="K916" s="107"/>
      <c r="L916" s="107"/>
      <c r="M916" s="107"/>
      <c r="N916" s="107"/>
      <c r="O916" s="59"/>
      <c r="P916" s="107"/>
      <c r="Q916" s="107"/>
      <c r="R916" s="107"/>
    </row>
    <row r="917" spans="1:18" ht="15.75" customHeight="1" x14ac:dyDescent="0.25">
      <c r="A917" s="107"/>
      <c r="B917" s="107"/>
      <c r="C917" s="107"/>
      <c r="D917" s="107"/>
      <c r="E917" s="107"/>
      <c r="F917" s="107"/>
      <c r="G917" s="107"/>
      <c r="H917" s="107"/>
      <c r="I917" s="107"/>
      <c r="J917" s="107"/>
      <c r="K917" s="107"/>
      <c r="L917" s="107"/>
      <c r="M917" s="107"/>
      <c r="N917" s="107"/>
      <c r="O917" s="59"/>
      <c r="P917" s="107"/>
      <c r="Q917" s="107"/>
      <c r="R917" s="107"/>
    </row>
    <row r="918" spans="1:18" ht="15.75" customHeight="1" x14ac:dyDescent="0.25">
      <c r="A918" s="107"/>
      <c r="B918" s="107"/>
      <c r="C918" s="107"/>
      <c r="D918" s="107"/>
      <c r="E918" s="107"/>
      <c r="F918" s="107"/>
      <c r="G918" s="107"/>
      <c r="H918" s="107"/>
      <c r="I918" s="107"/>
      <c r="J918" s="107"/>
      <c r="K918" s="107"/>
      <c r="L918" s="107"/>
      <c r="M918" s="107"/>
      <c r="N918" s="107"/>
      <c r="O918" s="59"/>
      <c r="P918" s="107"/>
      <c r="Q918" s="107"/>
      <c r="R918" s="107"/>
    </row>
    <row r="919" spans="1:18" ht="15.75" customHeight="1" x14ac:dyDescent="0.25">
      <c r="A919" s="107"/>
      <c r="B919" s="107"/>
      <c r="C919" s="107"/>
      <c r="D919" s="107"/>
      <c r="E919" s="107"/>
      <c r="F919" s="107"/>
      <c r="G919" s="107"/>
      <c r="H919" s="107"/>
      <c r="I919" s="107"/>
      <c r="J919" s="107"/>
      <c r="K919" s="107"/>
      <c r="L919" s="107"/>
      <c r="M919" s="107"/>
      <c r="N919" s="107"/>
      <c r="O919" s="59"/>
      <c r="P919" s="107"/>
      <c r="Q919" s="107"/>
      <c r="R919" s="107"/>
    </row>
    <row r="920" spans="1:18" ht="15.75" customHeight="1" x14ac:dyDescent="0.25">
      <c r="A920" s="107"/>
      <c r="B920" s="107"/>
      <c r="C920" s="107"/>
      <c r="D920" s="107"/>
      <c r="E920" s="107"/>
      <c r="F920" s="107"/>
      <c r="G920" s="107"/>
      <c r="H920" s="107"/>
      <c r="I920" s="107"/>
      <c r="J920" s="107"/>
      <c r="K920" s="107"/>
      <c r="L920" s="107"/>
      <c r="M920" s="107"/>
      <c r="N920" s="107"/>
      <c r="O920" s="59"/>
      <c r="P920" s="107"/>
      <c r="Q920" s="107"/>
      <c r="R920" s="107"/>
    </row>
    <row r="921" spans="1:18" ht="15.75" customHeight="1" x14ac:dyDescent="0.25">
      <c r="A921" s="107"/>
      <c r="B921" s="107"/>
      <c r="C921" s="107"/>
      <c r="D921" s="107"/>
      <c r="E921" s="107"/>
      <c r="F921" s="107"/>
      <c r="G921" s="107"/>
      <c r="H921" s="107"/>
      <c r="I921" s="107"/>
      <c r="J921" s="107"/>
      <c r="K921" s="107"/>
      <c r="L921" s="107"/>
      <c r="M921" s="107"/>
      <c r="N921" s="107"/>
      <c r="O921" s="59"/>
      <c r="P921" s="107"/>
      <c r="Q921" s="107"/>
      <c r="R921" s="107"/>
    </row>
    <row r="922" spans="1:18" ht="15.75" customHeight="1" x14ac:dyDescent="0.25">
      <c r="A922" s="107"/>
      <c r="B922" s="107"/>
      <c r="C922" s="107"/>
      <c r="D922" s="107"/>
      <c r="E922" s="107"/>
      <c r="F922" s="107"/>
      <c r="G922" s="107"/>
      <c r="H922" s="107"/>
      <c r="I922" s="107"/>
      <c r="J922" s="107"/>
      <c r="K922" s="107"/>
      <c r="L922" s="107"/>
      <c r="M922" s="107"/>
      <c r="N922" s="107"/>
      <c r="O922" s="59"/>
      <c r="P922" s="107"/>
      <c r="Q922" s="107"/>
      <c r="R922" s="107"/>
    </row>
    <row r="923" spans="1:18" ht="15.75" customHeight="1" x14ac:dyDescent="0.25">
      <c r="A923" s="107"/>
      <c r="B923" s="107"/>
      <c r="C923" s="107"/>
      <c r="D923" s="107"/>
      <c r="E923" s="107"/>
      <c r="F923" s="107"/>
      <c r="G923" s="107"/>
      <c r="H923" s="107"/>
      <c r="I923" s="107"/>
      <c r="J923" s="107"/>
      <c r="K923" s="107"/>
      <c r="L923" s="107"/>
      <c r="M923" s="107"/>
      <c r="N923" s="107"/>
      <c r="O923" s="59"/>
      <c r="P923" s="107"/>
      <c r="Q923" s="107"/>
      <c r="R923" s="107"/>
    </row>
    <row r="924" spans="1:18" ht="15.75" customHeight="1" x14ac:dyDescent="0.25">
      <c r="A924" s="107"/>
      <c r="B924" s="107"/>
      <c r="C924" s="107"/>
      <c r="D924" s="107"/>
      <c r="E924" s="107"/>
      <c r="F924" s="107"/>
      <c r="G924" s="107"/>
      <c r="H924" s="107"/>
      <c r="I924" s="107"/>
      <c r="J924" s="107"/>
      <c r="K924" s="107"/>
      <c r="L924" s="107"/>
      <c r="M924" s="107"/>
      <c r="N924" s="107"/>
      <c r="O924" s="59"/>
      <c r="P924" s="107"/>
      <c r="Q924" s="107"/>
      <c r="R924" s="107"/>
    </row>
    <row r="925" spans="1:18" ht="15.75" customHeight="1" x14ac:dyDescent="0.25">
      <c r="A925" s="107"/>
      <c r="B925" s="107"/>
      <c r="C925" s="107"/>
      <c r="D925" s="107"/>
      <c r="E925" s="107"/>
      <c r="F925" s="107"/>
      <c r="G925" s="107"/>
      <c r="H925" s="107"/>
      <c r="I925" s="107"/>
      <c r="J925" s="107"/>
      <c r="K925" s="107"/>
      <c r="L925" s="107"/>
      <c r="M925" s="107"/>
      <c r="N925" s="107"/>
      <c r="O925" s="59"/>
      <c r="P925" s="107"/>
      <c r="Q925" s="107"/>
      <c r="R925" s="107"/>
    </row>
    <row r="926" spans="1:18" ht="15.75" customHeight="1" x14ac:dyDescent="0.25">
      <c r="A926" s="107"/>
      <c r="B926" s="107"/>
      <c r="C926" s="107"/>
      <c r="D926" s="107"/>
      <c r="E926" s="107"/>
      <c r="F926" s="107"/>
      <c r="G926" s="107"/>
      <c r="H926" s="107"/>
      <c r="I926" s="107"/>
      <c r="J926" s="107"/>
      <c r="K926" s="107"/>
      <c r="L926" s="107"/>
      <c r="M926" s="107"/>
      <c r="N926" s="107"/>
      <c r="O926" s="59"/>
      <c r="P926" s="107"/>
      <c r="Q926" s="107"/>
      <c r="R926" s="107"/>
    </row>
    <row r="927" spans="1:18" ht="15.75" customHeight="1" x14ac:dyDescent="0.25">
      <c r="A927" s="107"/>
      <c r="B927" s="107"/>
      <c r="C927" s="107"/>
      <c r="D927" s="107"/>
      <c r="E927" s="107"/>
      <c r="F927" s="107"/>
      <c r="G927" s="107"/>
      <c r="H927" s="107"/>
      <c r="I927" s="107"/>
      <c r="J927" s="107"/>
      <c r="K927" s="107"/>
      <c r="L927" s="107"/>
      <c r="M927" s="107"/>
      <c r="N927" s="107"/>
      <c r="O927" s="59"/>
      <c r="P927" s="107"/>
      <c r="Q927" s="107"/>
      <c r="R927" s="107"/>
    </row>
    <row r="928" spans="1:18" ht="15.75" customHeight="1" x14ac:dyDescent="0.25">
      <c r="A928" s="107"/>
      <c r="B928" s="107"/>
      <c r="C928" s="107"/>
      <c r="D928" s="107"/>
      <c r="E928" s="107"/>
      <c r="F928" s="107"/>
      <c r="G928" s="107"/>
      <c r="H928" s="107"/>
      <c r="I928" s="107"/>
      <c r="J928" s="107"/>
      <c r="K928" s="107"/>
      <c r="L928" s="107"/>
      <c r="M928" s="107"/>
      <c r="N928" s="107"/>
      <c r="O928" s="59"/>
      <c r="P928" s="107"/>
      <c r="Q928" s="107"/>
      <c r="R928" s="107"/>
    </row>
    <row r="929" spans="1:18" ht="15.75" customHeight="1" x14ac:dyDescent="0.25">
      <c r="A929" s="107"/>
      <c r="B929" s="107"/>
      <c r="C929" s="107"/>
      <c r="D929" s="107"/>
      <c r="E929" s="107"/>
      <c r="F929" s="107"/>
      <c r="G929" s="107"/>
      <c r="H929" s="107"/>
      <c r="I929" s="107"/>
      <c r="J929" s="107"/>
      <c r="K929" s="107"/>
      <c r="L929" s="107"/>
      <c r="M929" s="107"/>
      <c r="N929" s="107"/>
      <c r="O929" s="59"/>
      <c r="P929" s="107"/>
      <c r="Q929" s="107"/>
      <c r="R929" s="107"/>
    </row>
    <row r="930" spans="1:18" ht="15.75" customHeight="1" x14ac:dyDescent="0.25">
      <c r="A930" s="107"/>
      <c r="B930" s="107"/>
      <c r="C930" s="107"/>
      <c r="D930" s="107"/>
      <c r="E930" s="107"/>
      <c r="F930" s="107"/>
      <c r="G930" s="107"/>
      <c r="H930" s="107"/>
      <c r="I930" s="107"/>
      <c r="J930" s="107"/>
      <c r="K930" s="107"/>
      <c r="L930" s="107"/>
      <c r="M930" s="107"/>
      <c r="N930" s="107"/>
      <c r="O930" s="59"/>
      <c r="P930" s="107"/>
      <c r="Q930" s="107"/>
      <c r="R930" s="107"/>
    </row>
    <row r="931" spans="1:18" ht="15.75" customHeight="1" x14ac:dyDescent="0.25">
      <c r="A931" s="107"/>
      <c r="B931" s="107"/>
      <c r="C931" s="107"/>
      <c r="D931" s="107"/>
      <c r="E931" s="107"/>
      <c r="F931" s="107"/>
      <c r="G931" s="107"/>
      <c r="H931" s="107"/>
      <c r="I931" s="107"/>
      <c r="J931" s="107"/>
      <c r="K931" s="107"/>
      <c r="L931" s="107"/>
      <c r="M931" s="107"/>
      <c r="N931" s="107"/>
      <c r="O931" s="59"/>
      <c r="P931" s="107"/>
      <c r="Q931" s="107"/>
      <c r="R931" s="107"/>
    </row>
    <row r="932" spans="1:18" ht="15.75" customHeight="1" x14ac:dyDescent="0.25">
      <c r="A932" s="107"/>
      <c r="B932" s="107"/>
      <c r="C932" s="107"/>
      <c r="D932" s="107"/>
      <c r="E932" s="107"/>
      <c r="F932" s="107"/>
      <c r="G932" s="107"/>
      <c r="H932" s="107"/>
      <c r="I932" s="107"/>
      <c r="J932" s="107"/>
      <c r="K932" s="107"/>
      <c r="L932" s="107"/>
      <c r="M932" s="107"/>
      <c r="N932" s="107"/>
      <c r="O932" s="59"/>
      <c r="P932" s="107"/>
      <c r="Q932" s="107"/>
      <c r="R932" s="107"/>
    </row>
    <row r="933" spans="1:18" ht="15.75" customHeight="1" x14ac:dyDescent="0.25">
      <c r="A933" s="107"/>
      <c r="B933" s="107"/>
      <c r="C933" s="107"/>
      <c r="D933" s="107"/>
      <c r="E933" s="107"/>
      <c r="F933" s="107"/>
      <c r="G933" s="107"/>
      <c r="H933" s="107"/>
      <c r="I933" s="107"/>
      <c r="J933" s="107"/>
      <c r="K933" s="107"/>
      <c r="L933" s="107"/>
      <c r="M933" s="107"/>
      <c r="N933" s="107"/>
      <c r="O933" s="59"/>
      <c r="P933" s="107"/>
      <c r="Q933" s="107"/>
      <c r="R933" s="107"/>
    </row>
    <row r="934" spans="1:18" ht="15.75" customHeight="1" x14ac:dyDescent="0.25">
      <c r="A934" s="107"/>
      <c r="B934" s="107"/>
      <c r="C934" s="107"/>
      <c r="D934" s="107"/>
      <c r="E934" s="107"/>
      <c r="F934" s="107"/>
      <c r="G934" s="107"/>
      <c r="H934" s="107"/>
      <c r="I934" s="107"/>
      <c r="J934" s="107"/>
      <c r="K934" s="107"/>
      <c r="L934" s="107"/>
      <c r="M934" s="107"/>
      <c r="N934" s="107"/>
      <c r="O934" s="59"/>
      <c r="P934" s="107"/>
      <c r="Q934" s="107"/>
      <c r="R934" s="107"/>
    </row>
    <row r="935" spans="1:18" ht="15.75" customHeight="1" x14ac:dyDescent="0.25">
      <c r="A935" s="107"/>
      <c r="B935" s="107"/>
      <c r="C935" s="107"/>
      <c r="D935" s="107"/>
      <c r="E935" s="107"/>
      <c r="F935" s="107"/>
      <c r="G935" s="107"/>
      <c r="H935" s="107"/>
      <c r="I935" s="107"/>
      <c r="J935" s="107"/>
      <c r="K935" s="107"/>
      <c r="L935" s="107"/>
      <c r="M935" s="107"/>
      <c r="N935" s="107"/>
      <c r="O935" s="59"/>
      <c r="P935" s="107"/>
      <c r="Q935" s="107"/>
      <c r="R935" s="107"/>
    </row>
    <row r="936" spans="1:18" ht="15.75" customHeight="1" x14ac:dyDescent="0.25">
      <c r="A936" s="107"/>
      <c r="B936" s="107"/>
      <c r="C936" s="107"/>
      <c r="D936" s="107"/>
      <c r="E936" s="107"/>
      <c r="F936" s="107"/>
      <c r="G936" s="107"/>
      <c r="H936" s="107"/>
      <c r="I936" s="107"/>
      <c r="J936" s="107"/>
      <c r="K936" s="107"/>
      <c r="L936" s="107"/>
      <c r="M936" s="107"/>
      <c r="N936" s="107"/>
      <c r="O936" s="59"/>
      <c r="P936" s="107"/>
      <c r="Q936" s="107"/>
      <c r="R936" s="107"/>
    </row>
    <row r="937" spans="1:18" ht="15.75" customHeight="1" x14ac:dyDescent="0.25">
      <c r="A937" s="107"/>
      <c r="B937" s="107"/>
      <c r="C937" s="107"/>
      <c r="D937" s="107"/>
      <c r="E937" s="107"/>
      <c r="F937" s="107"/>
      <c r="G937" s="107"/>
      <c r="H937" s="107"/>
      <c r="I937" s="107"/>
      <c r="J937" s="107"/>
      <c r="K937" s="107"/>
      <c r="L937" s="107"/>
      <c r="M937" s="107"/>
      <c r="N937" s="107"/>
      <c r="O937" s="59"/>
      <c r="P937" s="107"/>
      <c r="Q937" s="107"/>
      <c r="R937" s="107"/>
    </row>
    <row r="938" spans="1:18" ht="15.75" customHeight="1" x14ac:dyDescent="0.25">
      <c r="A938" s="107"/>
      <c r="B938" s="107"/>
      <c r="C938" s="107"/>
      <c r="D938" s="107"/>
      <c r="E938" s="107"/>
      <c r="F938" s="107"/>
      <c r="G938" s="107"/>
      <c r="H938" s="107"/>
      <c r="I938" s="107"/>
      <c r="J938" s="107"/>
      <c r="K938" s="107"/>
      <c r="L938" s="107"/>
      <c r="M938" s="107"/>
      <c r="N938" s="107"/>
      <c r="O938" s="59"/>
      <c r="P938" s="107"/>
      <c r="Q938" s="107"/>
      <c r="R938" s="107"/>
    </row>
    <row r="939" spans="1:18" ht="15.75" customHeight="1" x14ac:dyDescent="0.25">
      <c r="A939" s="107"/>
      <c r="B939" s="107"/>
      <c r="C939" s="107"/>
      <c r="D939" s="107"/>
      <c r="E939" s="107"/>
      <c r="F939" s="107"/>
      <c r="G939" s="107"/>
      <c r="H939" s="107"/>
      <c r="I939" s="107"/>
      <c r="J939" s="107"/>
      <c r="K939" s="107"/>
      <c r="L939" s="107"/>
      <c r="M939" s="107"/>
      <c r="N939" s="107"/>
      <c r="O939" s="59"/>
      <c r="P939" s="107"/>
      <c r="Q939" s="107"/>
      <c r="R939" s="107"/>
    </row>
    <row r="940" spans="1:18" ht="15.75" customHeight="1" x14ac:dyDescent="0.25">
      <c r="A940" s="107"/>
      <c r="B940" s="107"/>
      <c r="C940" s="107"/>
      <c r="D940" s="107"/>
      <c r="E940" s="107"/>
      <c r="F940" s="107"/>
      <c r="G940" s="107"/>
      <c r="H940" s="107"/>
      <c r="I940" s="107"/>
      <c r="J940" s="107"/>
      <c r="K940" s="107"/>
      <c r="L940" s="107"/>
      <c r="M940" s="107"/>
      <c r="N940" s="107"/>
      <c r="O940" s="59"/>
      <c r="P940" s="107"/>
      <c r="Q940" s="107"/>
      <c r="R940" s="107"/>
    </row>
    <row r="941" spans="1:18" ht="15.75" customHeight="1" x14ac:dyDescent="0.25">
      <c r="A941" s="107"/>
      <c r="B941" s="107"/>
      <c r="C941" s="107"/>
      <c r="D941" s="107"/>
      <c r="E941" s="107"/>
      <c r="F941" s="107"/>
      <c r="G941" s="107"/>
      <c r="H941" s="107"/>
      <c r="I941" s="107"/>
      <c r="J941" s="107"/>
      <c r="K941" s="107"/>
      <c r="L941" s="107"/>
      <c r="M941" s="107"/>
      <c r="N941" s="107"/>
      <c r="O941" s="59"/>
      <c r="P941" s="107"/>
      <c r="Q941" s="107"/>
      <c r="R941" s="107"/>
    </row>
    <row r="942" spans="1:18" ht="15.75" customHeight="1" x14ac:dyDescent="0.25">
      <c r="A942" s="107"/>
      <c r="B942" s="107"/>
      <c r="C942" s="107"/>
      <c r="D942" s="107"/>
      <c r="E942" s="107"/>
      <c r="F942" s="107"/>
      <c r="G942" s="107"/>
      <c r="H942" s="107"/>
      <c r="I942" s="107"/>
      <c r="J942" s="107"/>
      <c r="K942" s="107"/>
      <c r="L942" s="107"/>
      <c r="M942" s="107"/>
      <c r="N942" s="107"/>
      <c r="O942" s="59"/>
      <c r="P942" s="107"/>
      <c r="Q942" s="107"/>
      <c r="R942" s="107"/>
    </row>
    <row r="943" spans="1:18" ht="15.75" customHeight="1" x14ac:dyDescent="0.25">
      <c r="A943" s="107"/>
      <c r="B943" s="107"/>
      <c r="C943" s="107"/>
      <c r="D943" s="107"/>
      <c r="E943" s="107"/>
      <c r="F943" s="107"/>
      <c r="G943" s="107"/>
      <c r="H943" s="107"/>
      <c r="I943" s="107"/>
      <c r="J943" s="107"/>
      <c r="K943" s="107"/>
      <c r="L943" s="107"/>
      <c r="M943" s="107"/>
      <c r="N943" s="107"/>
      <c r="O943" s="59"/>
      <c r="P943" s="107"/>
      <c r="Q943" s="107"/>
      <c r="R943" s="107"/>
    </row>
    <row r="944" spans="1:18" ht="15.75" customHeight="1" x14ac:dyDescent="0.25">
      <c r="A944" s="107"/>
      <c r="B944" s="107"/>
      <c r="C944" s="107"/>
      <c r="D944" s="107"/>
      <c r="E944" s="107"/>
      <c r="F944" s="107"/>
      <c r="G944" s="107"/>
      <c r="H944" s="107"/>
      <c r="I944" s="107"/>
      <c r="J944" s="107"/>
      <c r="K944" s="107"/>
      <c r="L944" s="107"/>
      <c r="M944" s="107"/>
      <c r="N944" s="107"/>
      <c r="O944" s="59"/>
      <c r="P944" s="107"/>
      <c r="Q944" s="107"/>
      <c r="R944" s="107"/>
    </row>
    <row r="945" spans="1:18" ht="15.75" customHeight="1" x14ac:dyDescent="0.25">
      <c r="A945" s="107"/>
      <c r="B945" s="107"/>
      <c r="C945" s="107"/>
      <c r="D945" s="107"/>
      <c r="E945" s="107"/>
      <c r="F945" s="107"/>
      <c r="G945" s="107"/>
      <c r="H945" s="107"/>
      <c r="I945" s="107"/>
      <c r="J945" s="107"/>
      <c r="K945" s="107"/>
      <c r="L945" s="107"/>
      <c r="M945" s="107"/>
      <c r="N945" s="107"/>
      <c r="O945" s="59"/>
      <c r="P945" s="107"/>
      <c r="Q945" s="107"/>
      <c r="R945" s="107"/>
    </row>
    <row r="946" spans="1:18" ht="15.75" customHeight="1" x14ac:dyDescent="0.25">
      <c r="A946" s="107"/>
      <c r="B946" s="107"/>
      <c r="C946" s="107"/>
      <c r="D946" s="107"/>
      <c r="E946" s="107"/>
      <c r="F946" s="107"/>
      <c r="G946" s="107"/>
      <c r="H946" s="107"/>
      <c r="I946" s="107"/>
      <c r="J946" s="107"/>
      <c r="K946" s="107"/>
      <c r="L946" s="107"/>
      <c r="M946" s="107"/>
      <c r="N946" s="107"/>
      <c r="O946" s="59"/>
      <c r="P946" s="107"/>
      <c r="Q946" s="107"/>
      <c r="R946" s="107"/>
    </row>
    <row r="947" spans="1:18" ht="15.75" customHeight="1" x14ac:dyDescent="0.25">
      <c r="A947" s="107"/>
      <c r="B947" s="107"/>
      <c r="C947" s="107"/>
      <c r="D947" s="107"/>
      <c r="E947" s="107"/>
      <c r="F947" s="107"/>
      <c r="G947" s="107"/>
      <c r="H947" s="107"/>
      <c r="I947" s="107"/>
      <c r="J947" s="107"/>
      <c r="K947" s="107"/>
      <c r="L947" s="107"/>
      <c r="M947" s="107"/>
      <c r="N947" s="107"/>
      <c r="O947" s="59"/>
      <c r="P947" s="107"/>
      <c r="Q947" s="107"/>
      <c r="R947" s="107"/>
    </row>
    <row r="948" spans="1:18" ht="15.75" customHeight="1" x14ac:dyDescent="0.25">
      <c r="A948" s="107"/>
      <c r="B948" s="107"/>
      <c r="C948" s="107"/>
      <c r="D948" s="107"/>
      <c r="E948" s="107"/>
      <c r="F948" s="107"/>
      <c r="G948" s="107"/>
      <c r="H948" s="107"/>
      <c r="I948" s="107"/>
      <c r="J948" s="107"/>
      <c r="K948" s="107"/>
      <c r="L948" s="107"/>
      <c r="M948" s="107"/>
      <c r="N948" s="107"/>
      <c r="O948" s="59"/>
      <c r="P948" s="107"/>
      <c r="Q948" s="107"/>
      <c r="R948" s="107"/>
    </row>
    <row r="949" spans="1:18" ht="15.75" customHeight="1" x14ac:dyDescent="0.25">
      <c r="A949" s="107"/>
      <c r="B949" s="107"/>
      <c r="C949" s="107"/>
      <c r="D949" s="107"/>
      <c r="E949" s="107"/>
      <c r="F949" s="107"/>
      <c r="G949" s="107"/>
      <c r="H949" s="107"/>
      <c r="I949" s="107"/>
      <c r="J949" s="107"/>
      <c r="K949" s="107"/>
      <c r="L949" s="107"/>
      <c r="M949" s="107"/>
      <c r="N949" s="107"/>
      <c r="O949" s="59"/>
      <c r="P949" s="107"/>
      <c r="Q949" s="107"/>
      <c r="R949" s="107"/>
    </row>
    <row r="950" spans="1:18" ht="15.75" customHeight="1" x14ac:dyDescent="0.25">
      <c r="A950" s="107"/>
      <c r="B950" s="107"/>
      <c r="C950" s="107"/>
      <c r="D950" s="107"/>
      <c r="E950" s="107"/>
      <c r="F950" s="107"/>
      <c r="G950" s="107"/>
      <c r="H950" s="107"/>
      <c r="I950" s="107"/>
      <c r="J950" s="107"/>
      <c r="K950" s="107"/>
      <c r="L950" s="107"/>
      <c r="M950" s="107"/>
      <c r="N950" s="107"/>
      <c r="O950" s="59"/>
      <c r="P950" s="107"/>
      <c r="Q950" s="107"/>
      <c r="R950" s="107"/>
    </row>
    <row r="951" spans="1:18" ht="15.75" customHeight="1" x14ac:dyDescent="0.25">
      <c r="A951" s="107"/>
      <c r="B951" s="107"/>
      <c r="C951" s="107"/>
      <c r="D951" s="107"/>
      <c r="E951" s="107"/>
      <c r="F951" s="107"/>
      <c r="G951" s="107"/>
      <c r="H951" s="107"/>
      <c r="I951" s="107"/>
      <c r="J951" s="107"/>
      <c r="K951" s="107"/>
      <c r="L951" s="107"/>
      <c r="M951" s="107"/>
      <c r="N951" s="107"/>
      <c r="O951" s="59"/>
      <c r="P951" s="107"/>
      <c r="Q951" s="107"/>
      <c r="R951" s="107"/>
    </row>
    <row r="952" spans="1:18" ht="15.75" customHeight="1" x14ac:dyDescent="0.25">
      <c r="A952" s="107"/>
      <c r="B952" s="107"/>
      <c r="C952" s="107"/>
      <c r="D952" s="107"/>
      <c r="E952" s="107"/>
      <c r="F952" s="107"/>
      <c r="G952" s="107"/>
      <c r="H952" s="107"/>
      <c r="I952" s="107"/>
      <c r="J952" s="107"/>
      <c r="K952" s="107"/>
      <c r="L952" s="107"/>
      <c r="M952" s="107"/>
      <c r="N952" s="107"/>
      <c r="O952" s="59"/>
      <c r="P952" s="107"/>
      <c r="Q952" s="107"/>
      <c r="R952" s="107"/>
    </row>
    <row r="953" spans="1:18" ht="15.75" customHeight="1" x14ac:dyDescent="0.25">
      <c r="A953" s="107"/>
      <c r="B953" s="107"/>
      <c r="C953" s="107"/>
      <c r="D953" s="107"/>
      <c r="E953" s="107"/>
      <c r="F953" s="107"/>
      <c r="G953" s="107"/>
      <c r="H953" s="107"/>
      <c r="I953" s="107"/>
      <c r="J953" s="107"/>
      <c r="K953" s="107"/>
      <c r="L953" s="107"/>
      <c r="M953" s="107"/>
      <c r="N953" s="107"/>
      <c r="O953" s="59"/>
      <c r="P953" s="107"/>
      <c r="Q953" s="107"/>
      <c r="R953" s="107"/>
    </row>
    <row r="954" spans="1:18" ht="15.75" customHeight="1" x14ac:dyDescent="0.25">
      <c r="A954" s="107"/>
      <c r="B954" s="107"/>
      <c r="C954" s="107"/>
      <c r="D954" s="107"/>
      <c r="E954" s="107"/>
      <c r="F954" s="107"/>
      <c r="G954" s="107"/>
      <c r="H954" s="107"/>
      <c r="I954" s="107"/>
      <c r="J954" s="107"/>
      <c r="K954" s="107"/>
      <c r="L954" s="107"/>
      <c r="M954" s="107"/>
      <c r="N954" s="107"/>
      <c r="O954" s="59"/>
      <c r="P954" s="107"/>
      <c r="Q954" s="107"/>
      <c r="R954" s="107"/>
    </row>
    <row r="955" spans="1:18" ht="15.75" customHeight="1" x14ac:dyDescent="0.25">
      <c r="A955" s="107"/>
      <c r="B955" s="107"/>
      <c r="C955" s="107"/>
      <c r="D955" s="107"/>
      <c r="E955" s="107"/>
      <c r="F955" s="107"/>
      <c r="G955" s="107"/>
      <c r="H955" s="107"/>
      <c r="I955" s="107"/>
      <c r="J955" s="107"/>
      <c r="K955" s="107"/>
      <c r="L955" s="107"/>
      <c r="M955" s="107"/>
      <c r="N955" s="107"/>
      <c r="O955" s="59"/>
      <c r="P955" s="107"/>
      <c r="Q955" s="107"/>
      <c r="R955" s="107"/>
    </row>
    <row r="956" spans="1:18" ht="15.75" customHeight="1" x14ac:dyDescent="0.25">
      <c r="A956" s="107"/>
      <c r="B956" s="107"/>
      <c r="C956" s="107"/>
      <c r="D956" s="107"/>
      <c r="E956" s="107"/>
      <c r="F956" s="107"/>
      <c r="G956" s="107"/>
      <c r="H956" s="107"/>
      <c r="I956" s="107"/>
      <c r="J956" s="107"/>
      <c r="K956" s="107"/>
      <c r="L956" s="107"/>
      <c r="M956" s="107"/>
      <c r="N956" s="107"/>
      <c r="O956" s="59"/>
      <c r="P956" s="107"/>
      <c r="Q956" s="107"/>
      <c r="R956" s="107"/>
    </row>
    <row r="957" spans="1:18" ht="15.75" customHeight="1" x14ac:dyDescent="0.25">
      <c r="A957" s="107"/>
      <c r="B957" s="107"/>
      <c r="C957" s="107"/>
      <c r="D957" s="107"/>
      <c r="E957" s="107"/>
      <c r="F957" s="107"/>
      <c r="G957" s="107"/>
      <c r="H957" s="107"/>
      <c r="I957" s="107"/>
      <c r="J957" s="107"/>
      <c r="K957" s="107"/>
      <c r="L957" s="107"/>
      <c r="M957" s="107"/>
      <c r="N957" s="107"/>
      <c r="O957" s="59"/>
      <c r="P957" s="107"/>
      <c r="Q957" s="107"/>
      <c r="R957" s="107"/>
    </row>
    <row r="958" spans="1:18" ht="15.75" customHeight="1" x14ac:dyDescent="0.25">
      <c r="A958" s="107"/>
      <c r="B958" s="107"/>
      <c r="C958" s="107"/>
      <c r="D958" s="107"/>
      <c r="E958" s="107"/>
      <c r="F958" s="107"/>
      <c r="G958" s="107"/>
      <c r="H958" s="107"/>
      <c r="I958" s="107"/>
      <c r="J958" s="107"/>
      <c r="K958" s="107"/>
      <c r="L958" s="107"/>
      <c r="M958" s="107"/>
      <c r="N958" s="107"/>
      <c r="O958" s="59"/>
      <c r="P958" s="107"/>
      <c r="Q958" s="107"/>
      <c r="R958" s="107"/>
    </row>
    <row r="959" spans="1:18" ht="15.75" customHeight="1" x14ac:dyDescent="0.25">
      <c r="A959" s="107"/>
      <c r="B959" s="107"/>
      <c r="C959" s="107"/>
      <c r="D959" s="107"/>
      <c r="E959" s="107"/>
      <c r="F959" s="107"/>
      <c r="G959" s="107"/>
      <c r="H959" s="107"/>
      <c r="I959" s="107"/>
      <c r="J959" s="107"/>
      <c r="K959" s="107"/>
      <c r="L959" s="107"/>
      <c r="M959" s="107"/>
      <c r="N959" s="107"/>
      <c r="O959" s="59"/>
      <c r="P959" s="107"/>
      <c r="Q959" s="107"/>
      <c r="R959" s="107"/>
    </row>
    <row r="960" spans="1:18" ht="15.75" customHeight="1" x14ac:dyDescent="0.25">
      <c r="A960" s="107"/>
      <c r="B960" s="107"/>
      <c r="C960" s="107"/>
      <c r="D960" s="107"/>
      <c r="E960" s="107"/>
      <c r="F960" s="107"/>
      <c r="G960" s="107"/>
      <c r="H960" s="107"/>
      <c r="I960" s="107"/>
      <c r="J960" s="107"/>
      <c r="K960" s="107"/>
      <c r="L960" s="107"/>
      <c r="M960" s="107"/>
      <c r="N960" s="107"/>
      <c r="O960" s="59"/>
      <c r="P960" s="107"/>
      <c r="Q960" s="107"/>
      <c r="R960" s="107"/>
    </row>
    <row r="961" spans="1:18" ht="15.75" customHeight="1" x14ac:dyDescent="0.25">
      <c r="A961" s="107"/>
      <c r="B961" s="107"/>
      <c r="C961" s="107"/>
      <c r="D961" s="107"/>
      <c r="E961" s="107"/>
      <c r="F961" s="107"/>
      <c r="G961" s="107"/>
      <c r="H961" s="107"/>
      <c r="I961" s="107"/>
      <c r="J961" s="107"/>
      <c r="K961" s="107"/>
      <c r="L961" s="107"/>
      <c r="M961" s="107"/>
      <c r="N961" s="107"/>
      <c r="O961" s="59"/>
      <c r="P961" s="107"/>
      <c r="Q961" s="107"/>
      <c r="R961" s="107"/>
    </row>
    <row r="962" spans="1:18" ht="15.75" customHeight="1" x14ac:dyDescent="0.25">
      <c r="A962" s="107"/>
      <c r="B962" s="107"/>
      <c r="C962" s="107"/>
      <c r="D962" s="107"/>
      <c r="E962" s="107"/>
      <c r="F962" s="107"/>
      <c r="G962" s="107"/>
      <c r="H962" s="107"/>
      <c r="I962" s="107"/>
      <c r="J962" s="107"/>
      <c r="K962" s="107"/>
      <c r="L962" s="107"/>
      <c r="M962" s="107"/>
      <c r="N962" s="107"/>
      <c r="O962" s="59"/>
      <c r="P962" s="107"/>
      <c r="Q962" s="107"/>
      <c r="R962" s="107"/>
    </row>
    <row r="963" spans="1:18" ht="15.75" customHeight="1" x14ac:dyDescent="0.25">
      <c r="A963" s="107"/>
      <c r="B963" s="107"/>
      <c r="C963" s="107"/>
      <c r="D963" s="107"/>
      <c r="E963" s="107"/>
      <c r="F963" s="107"/>
      <c r="G963" s="107"/>
      <c r="H963" s="107"/>
      <c r="I963" s="107"/>
      <c r="J963" s="107"/>
      <c r="K963" s="107"/>
      <c r="L963" s="107"/>
      <c r="M963" s="107"/>
      <c r="N963" s="107"/>
      <c r="O963" s="59"/>
      <c r="P963" s="107"/>
      <c r="Q963" s="107"/>
      <c r="R963" s="107"/>
    </row>
    <row r="964" spans="1:18" ht="15.75" customHeight="1" x14ac:dyDescent="0.25">
      <c r="A964" s="107"/>
      <c r="B964" s="107"/>
      <c r="C964" s="107"/>
      <c r="D964" s="107"/>
      <c r="E964" s="107"/>
      <c r="F964" s="107"/>
      <c r="G964" s="107"/>
      <c r="H964" s="107"/>
      <c r="I964" s="107"/>
      <c r="J964" s="107"/>
      <c r="K964" s="107"/>
      <c r="L964" s="107"/>
      <c r="M964" s="107"/>
      <c r="N964" s="107"/>
      <c r="O964" s="59"/>
      <c r="P964" s="107"/>
      <c r="Q964" s="107"/>
      <c r="R964" s="107"/>
    </row>
    <row r="965" spans="1:18" ht="15.75" customHeight="1" x14ac:dyDescent="0.25">
      <c r="A965" s="107"/>
      <c r="B965" s="107"/>
      <c r="C965" s="107"/>
      <c r="D965" s="107"/>
      <c r="E965" s="107"/>
      <c r="F965" s="107"/>
      <c r="G965" s="107"/>
      <c r="H965" s="107"/>
      <c r="I965" s="107"/>
      <c r="J965" s="107"/>
      <c r="K965" s="107"/>
      <c r="L965" s="107"/>
      <c r="M965" s="107"/>
      <c r="N965" s="107"/>
      <c r="O965" s="59"/>
      <c r="P965" s="107"/>
      <c r="Q965" s="107"/>
      <c r="R965" s="107"/>
    </row>
    <row r="966" spans="1:18" ht="15.75" customHeight="1" x14ac:dyDescent="0.25">
      <c r="A966" s="107"/>
      <c r="B966" s="107"/>
      <c r="C966" s="107"/>
      <c r="D966" s="107"/>
      <c r="E966" s="107"/>
      <c r="F966" s="107"/>
      <c r="G966" s="107"/>
      <c r="H966" s="107"/>
      <c r="I966" s="107"/>
      <c r="J966" s="107"/>
      <c r="K966" s="107"/>
      <c r="L966" s="107"/>
      <c r="M966" s="107"/>
      <c r="N966" s="107"/>
      <c r="O966" s="59"/>
      <c r="P966" s="107"/>
      <c r="Q966" s="107"/>
      <c r="R966" s="107"/>
    </row>
    <row r="967" spans="1:18" ht="15.75" customHeight="1" x14ac:dyDescent="0.25">
      <c r="A967" s="107"/>
      <c r="B967" s="107"/>
      <c r="C967" s="107"/>
      <c r="D967" s="107"/>
      <c r="E967" s="107"/>
      <c r="F967" s="107"/>
      <c r="G967" s="107"/>
      <c r="H967" s="107"/>
      <c r="I967" s="107"/>
      <c r="J967" s="107"/>
      <c r="K967" s="107"/>
      <c r="L967" s="107"/>
      <c r="M967" s="107"/>
      <c r="N967" s="107"/>
      <c r="O967" s="59"/>
      <c r="P967" s="107"/>
      <c r="Q967" s="107"/>
      <c r="R967" s="107"/>
    </row>
    <row r="968" spans="1:18" ht="15.75" customHeight="1" x14ac:dyDescent="0.25">
      <c r="A968" s="107"/>
      <c r="B968" s="107"/>
      <c r="C968" s="107"/>
      <c r="D968" s="107"/>
      <c r="E968" s="107"/>
      <c r="F968" s="107"/>
      <c r="G968" s="107"/>
      <c r="H968" s="107"/>
      <c r="I968" s="107"/>
      <c r="J968" s="107"/>
      <c r="K968" s="107"/>
      <c r="L968" s="107"/>
      <c r="M968" s="107"/>
      <c r="N968" s="107"/>
      <c r="O968" s="59"/>
      <c r="P968" s="107"/>
      <c r="Q968" s="107"/>
      <c r="R968" s="107"/>
    </row>
  </sheetData>
  <autoFilter ref="A1:R181" xr:uid="{00000000-0009-0000-0000-000002000000}"/>
  <dataValidations count="1">
    <dataValidation type="list" allowBlank="1" showErrorMessage="1" sqref="B2:B968" xr:uid="{00000000-0002-0000-0200-000000000000}">
      <formula1>"ACTIVO,INACTIVO"</formula1>
    </dataValidation>
  </dataValidations>
  <hyperlinks>
    <hyperlink ref="R2" r:id="rId1" xr:uid="{00000000-0004-0000-0200-000000000000}"/>
    <hyperlink ref="R7" r:id="rId2" xr:uid="{00000000-0004-0000-0200-000001000000}"/>
    <hyperlink ref="R8" r:id="rId3" xr:uid="{00000000-0004-0000-0200-000002000000}"/>
    <hyperlink ref="R13" r:id="rId4" xr:uid="{00000000-0004-0000-0200-000003000000}"/>
    <hyperlink ref="R16" r:id="rId5" xr:uid="{00000000-0004-0000-0200-000004000000}"/>
    <hyperlink ref="R22" r:id="rId6" xr:uid="{00000000-0004-0000-0200-000005000000}"/>
    <hyperlink ref="R29" r:id="rId7" xr:uid="{00000000-0004-0000-0200-000006000000}"/>
    <hyperlink ref="R49" r:id="rId8" xr:uid="{00000000-0004-0000-0200-000007000000}"/>
    <hyperlink ref="R58" r:id="rId9" xr:uid="{00000000-0004-0000-0200-000008000000}"/>
    <hyperlink ref="R59" r:id="rId10" xr:uid="{00000000-0004-0000-0200-000009000000}"/>
    <hyperlink ref="R60" r:id="rId11" xr:uid="{00000000-0004-0000-0200-00000A000000}"/>
    <hyperlink ref="R62" r:id="rId12" xr:uid="{00000000-0004-0000-0200-00000B000000}"/>
    <hyperlink ref="R71" r:id="rId13" xr:uid="{00000000-0004-0000-0200-00000C000000}"/>
    <hyperlink ref="R86" r:id="rId14" xr:uid="{00000000-0004-0000-0200-00000D000000}"/>
    <hyperlink ref="R89" r:id="rId15" xr:uid="{00000000-0004-0000-0200-00000E000000}"/>
    <hyperlink ref="R92" r:id="rId16" xr:uid="{00000000-0004-0000-0200-00000F000000}"/>
    <hyperlink ref="R93" r:id="rId17" xr:uid="{00000000-0004-0000-0200-000010000000}"/>
    <hyperlink ref="R94" r:id="rId18" xr:uid="{00000000-0004-0000-0200-000011000000}"/>
    <hyperlink ref="R96" r:id="rId19" xr:uid="{00000000-0004-0000-0200-000012000000}"/>
    <hyperlink ref="R97" r:id="rId20" xr:uid="{00000000-0004-0000-0200-000013000000}"/>
    <hyperlink ref="R98" r:id="rId21" xr:uid="{00000000-0004-0000-0200-000014000000}"/>
    <hyperlink ref="R99" r:id="rId22" xr:uid="{00000000-0004-0000-0200-000015000000}"/>
    <hyperlink ref="R100" r:id="rId23" xr:uid="{00000000-0004-0000-0200-000016000000}"/>
    <hyperlink ref="R101" r:id="rId24" xr:uid="{00000000-0004-0000-0200-000017000000}"/>
    <hyperlink ref="R102" r:id="rId25" xr:uid="{00000000-0004-0000-0200-000018000000}"/>
    <hyperlink ref="R105" r:id="rId26" xr:uid="{00000000-0004-0000-0200-000019000000}"/>
    <hyperlink ref="R106" r:id="rId27" xr:uid="{00000000-0004-0000-0200-00001A000000}"/>
    <hyperlink ref="R107" r:id="rId28" xr:uid="{00000000-0004-0000-0200-00001B000000}"/>
    <hyperlink ref="R108" r:id="rId29" xr:uid="{00000000-0004-0000-0200-00001C000000}"/>
    <hyperlink ref="R109" r:id="rId30" xr:uid="{00000000-0004-0000-0200-00001D000000}"/>
    <hyperlink ref="R110" r:id="rId31" xr:uid="{00000000-0004-0000-0200-00001E000000}"/>
    <hyperlink ref="R111" r:id="rId32" xr:uid="{00000000-0004-0000-0200-00001F000000}"/>
    <hyperlink ref="R113" r:id="rId33" xr:uid="{00000000-0004-0000-0200-000020000000}"/>
    <hyperlink ref="R116" r:id="rId34" xr:uid="{00000000-0004-0000-0200-000021000000}"/>
    <hyperlink ref="R125" r:id="rId35" xr:uid="{00000000-0004-0000-0200-000022000000}"/>
    <hyperlink ref="R126" r:id="rId36" xr:uid="{00000000-0004-0000-0200-000023000000}"/>
    <hyperlink ref="R127" r:id="rId37" xr:uid="{00000000-0004-0000-0200-000024000000}"/>
    <hyperlink ref="R128" r:id="rId38" xr:uid="{00000000-0004-0000-0200-000025000000}"/>
    <hyperlink ref="R129" r:id="rId39" xr:uid="{00000000-0004-0000-0200-000026000000}"/>
    <hyperlink ref="R130" r:id="rId40" xr:uid="{00000000-0004-0000-0200-000027000000}"/>
    <hyperlink ref="R133" r:id="rId41" xr:uid="{00000000-0004-0000-0200-000028000000}"/>
    <hyperlink ref="R134" r:id="rId42" xr:uid="{00000000-0004-0000-0200-000029000000}"/>
    <hyperlink ref="R135" r:id="rId43" xr:uid="{00000000-0004-0000-0200-00002A000000}"/>
    <hyperlink ref="R136" r:id="rId44" xr:uid="{00000000-0004-0000-0200-00002B000000}"/>
    <hyperlink ref="R137" r:id="rId45" xr:uid="{00000000-0004-0000-0200-00002C000000}"/>
    <hyperlink ref="R139" r:id="rId46" xr:uid="{00000000-0004-0000-0200-00002D000000}"/>
    <hyperlink ref="R141" r:id="rId47" xr:uid="{00000000-0004-0000-0200-00002E000000}"/>
    <hyperlink ref="R142" r:id="rId48" xr:uid="{00000000-0004-0000-0200-00002F000000}"/>
    <hyperlink ref="R143" r:id="rId49" xr:uid="{00000000-0004-0000-0200-000030000000}"/>
    <hyperlink ref="R144" r:id="rId50" xr:uid="{00000000-0004-0000-0200-000031000000}"/>
    <hyperlink ref="R147" r:id="rId51" xr:uid="{00000000-0004-0000-0200-000032000000}"/>
    <hyperlink ref="R151" r:id="rId52" xr:uid="{00000000-0004-0000-0200-000033000000}"/>
    <hyperlink ref="R152" r:id="rId53" xr:uid="{00000000-0004-0000-0200-000034000000}"/>
    <hyperlink ref="R153" r:id="rId54" xr:uid="{00000000-0004-0000-0200-000035000000}"/>
    <hyperlink ref="R154" r:id="rId55" xr:uid="{00000000-0004-0000-0200-000036000000}"/>
    <hyperlink ref="R155" r:id="rId56" xr:uid="{00000000-0004-0000-0200-000037000000}"/>
    <hyperlink ref="R156" r:id="rId57" xr:uid="{00000000-0004-0000-0200-000038000000}"/>
    <hyperlink ref="R157" r:id="rId58" xr:uid="{00000000-0004-0000-0200-000039000000}"/>
    <hyperlink ref="R179" r:id="rId59" xr:uid="{00000000-0004-0000-0200-00003A000000}"/>
    <hyperlink ref="R180" r:id="rId60" xr:uid="{00000000-0004-0000-0200-00003B000000}"/>
    <hyperlink ref="R181" r:id="rId61" xr:uid="{00000000-0004-0000-0200-00003C000000}"/>
  </hyperlink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200-000001000000}">
          <x14:formula1>
            <xm:f>CODIFICACIÓN_DPA!$D$2:$D$6</xm:f>
          </x14:formula1>
          <xm:sqref>G2:G968</xm:sqref>
        </x14:dataValidation>
        <x14:dataValidation type="list" allowBlank="1" showErrorMessage="1" xr:uid="{00000000-0002-0000-0200-000002000000}">
          <x14:formula1>
            <xm:f>CODIFICACIÓN_DPA!$J$2:$J$10</xm:f>
          </x14:formula1>
          <xm:sqref>F2:F968</xm:sqref>
        </x14:dataValidation>
        <x14:dataValidation type="list" allowBlank="1" showErrorMessage="1" xr:uid="{00000000-0002-0000-0200-000003000000}">
          <x14:formula1>
            <xm:f>CODIFICACIÓN_DPA!$A$2:$A$66</xm:f>
          </x14:formula1>
          <xm:sqref>D2:D968</xm:sqref>
        </x14:dataValidation>
        <x14:dataValidation type="list" allowBlank="1" showErrorMessage="1" xr:uid="{00000000-0002-0000-0200-000004000000}">
          <x14:formula1>
            <xm:f>CODIFICACIÓN_DPA!$G$2:$G$3</xm:f>
          </x14:formula1>
          <xm:sqref>E2:E968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CODIFICACIÓN_DPA</vt:lpstr>
      <vt:lpstr>ESTRUCTURA CÓDIGO</vt:lpstr>
      <vt:lpstr>EXPERIENCIAS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Wladimir Casa Chanaluisa</cp:lastModifiedBy>
  <dcterms:modified xsi:type="dcterms:W3CDTF">2026-05-26T17:46:20Z</dcterms:modified>
</cp:coreProperties>
</file>