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quitoturismo365-my.sharepoint.com/personal/acasa_quito-turismo_gob_ec/Documents/Documentos/Desarrollo/atractivos_turisticos/documentos_base/"/>
    </mc:Choice>
  </mc:AlternateContent>
  <xr:revisionPtr revIDLastSave="173" documentId="11_9A2937B67C351B1B61C8E16001E6100842DC4A99" xr6:coauthVersionLast="47" xr6:coauthVersionMax="47" xr10:uidLastSave="{53A67113-E99A-44FF-B688-FF77D01A7A89}"/>
  <bookViews>
    <workbookView xWindow="-120" yWindow="-120" windowWidth="38640" windowHeight="21120" activeTab="2" xr2:uid="{00000000-000D-0000-FFFF-FFFF00000000}"/>
  </bookViews>
  <sheets>
    <sheet name="ESTRUCTURA CÓDIGO RUTA" sheetId="1" r:id="rId1"/>
    <sheet name="CODIFICACIÓN_RUTA" sheetId="2" r:id="rId2"/>
    <sheet name="RUTAS" sheetId="3" r:id="rId3"/>
    <sheet name="Hoja1" sheetId="5" r:id="rId4"/>
    <sheet name="Resumen" sheetId="6" r:id="rId5"/>
    <sheet name="MANZANA_RUTA_DPA" sheetId="4" state="hidden" r:id="rId6"/>
  </sheets>
  <definedNames>
    <definedName name="_xlnm._FilterDatabase" localSheetId="2" hidden="1">RUTAS!$A$1:$AA$154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6" l="1" a="1"/>
  <c r="F22" i="6" s="1"/>
  <c r="E22" i="6" a="1"/>
  <c r="E22" i="6" s="1"/>
  <c r="C22" i="6" a="1"/>
  <c r="C22" i="6" s="1"/>
  <c r="B22" i="6" a="1"/>
  <c r="B22" i="6" s="1"/>
  <c r="F11" i="6" a="1"/>
  <c r="F11" i="6" s="1"/>
  <c r="E11" i="6" a="1"/>
  <c r="E11" i="6" s="1"/>
  <c r="C11" i="6" a="1"/>
  <c r="C11" i="6" s="1"/>
  <c r="B11" i="6" a="1"/>
  <c r="B11" i="6" s="1"/>
  <c r="G6" i="6"/>
  <c r="F6" i="6"/>
  <c r="E6" i="6"/>
  <c r="D6" i="6"/>
  <c r="C6" i="6"/>
  <c r="B6" i="6"/>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<sst xmlns="http://schemas.openxmlformats.org/spreadsheetml/2006/main" count="5235" uniqueCount="1445">
  <si>
    <t>FICHA PARA EL LEVANTAMIENTO DE ATRACTIVOS TURÍSTICOS</t>
  </si>
  <si>
    <t>CÓDIGO DE LA RUTA TURÍSTICA</t>
  </si>
  <si>
    <t>El código, está compuesto por 09 dígitos (caracteres alfanuméricos), únicos e irrepetibles, mismo que aparecerá al inicio de la ficha para su identificación.</t>
  </si>
  <si>
    <r>
      <rPr>
        <sz val="11"/>
        <color theme="1"/>
        <rFont val="Calibri"/>
      </rPr>
      <t>1.</t>
    </r>
    <r>
      <rPr>
        <sz val="7"/>
        <color theme="1"/>
        <rFont val="Times New Roman"/>
      </rPr>
      <t xml:space="preserve">       </t>
    </r>
    <r>
      <rPr>
        <sz val="11"/>
        <color theme="1"/>
        <rFont val="Calibri"/>
      </rPr>
      <t>Clasificación de rutas turísticas (Nodo), (ver documento Centralidades - Nodos Turísticos Complementarios Urbanos y Rurales, 2024).</t>
    </r>
  </si>
  <si>
    <t>2.     Se colocará la letra inicial de las dos primeras palabras que componen el nombre de la ruta ejemplo: Ruta Miradores codificación "RM"</t>
  </si>
  <si>
    <r>
      <rPr>
        <sz val="11"/>
        <color theme="1"/>
        <rFont val="Calibri"/>
      </rPr>
      <t>3.</t>
    </r>
    <r>
      <rPr>
        <sz val="7"/>
        <color theme="1"/>
        <rFont val="Times New Roman"/>
      </rPr>
      <t xml:space="preserve">       </t>
    </r>
    <r>
      <rPr>
        <sz val="11"/>
        <color theme="1"/>
        <rFont val="Calibri"/>
      </rPr>
      <t>Clasificación de rutas turísticas (Centralidad), (ver documento Centralidades - Nodos Turísticos Complementarios Urbanos y Rurales, 2024).</t>
    </r>
  </si>
  <si>
    <r>
      <rPr>
        <sz val="11"/>
        <color theme="1"/>
        <rFont val="Calibri"/>
      </rPr>
      <t>4.</t>
    </r>
    <r>
      <rPr>
        <sz val="7"/>
        <color theme="1"/>
        <rFont val="Times New Roman"/>
      </rPr>
      <t xml:space="preserve">       </t>
    </r>
    <r>
      <rPr>
        <sz val="11"/>
        <color theme="1"/>
        <rFont val="Calibri"/>
      </rPr>
      <t>FInalmente; los tres dígitos finales corresponden al orden en que se levante la información de las rutas turísticas que iniciará desde 001.</t>
    </r>
  </si>
  <si>
    <r>
      <rPr>
        <b/>
        <sz val="11"/>
        <color theme="1"/>
        <rFont val="Calibri"/>
      </rPr>
      <t>FUENTE:</t>
    </r>
    <r>
      <rPr>
        <sz val="11"/>
        <color theme="1"/>
        <rFont val="Calibri"/>
      </rPr>
      <t xml:space="preserve"> Manual Metodología para Jerarquización de Atractivos y Generación de Espacios Turísticos, MINTUR 2017.</t>
    </r>
  </si>
  <si>
    <t xml:space="preserve">                  Centralidades - Nodos Turísticos Complementarios Urbanos y Rurales, QUITO TURISMO 2024.</t>
  </si>
  <si>
    <t>NODO_DESCRP</t>
  </si>
  <si>
    <t>COD_NODO</t>
  </si>
  <si>
    <t>CENTRALIDAD_DESCRIP</t>
  </si>
  <si>
    <t>COD_CENTRALIDAD</t>
  </si>
  <si>
    <t>ESTADO DEL ATRACTIVO</t>
  </si>
  <si>
    <t>URBANO</t>
  </si>
  <si>
    <t>01</t>
  </si>
  <si>
    <t>Centro Histórico</t>
  </si>
  <si>
    <t>ACTIVO</t>
  </si>
  <si>
    <t>RURAL</t>
  </si>
  <si>
    <t>02</t>
  </si>
  <si>
    <t>La Mariscal</t>
  </si>
  <si>
    <t>INACTIVO</t>
  </si>
  <si>
    <t>Centro Norte</t>
  </si>
  <si>
    <t>03</t>
  </si>
  <si>
    <t>Parroquias Equinocciales</t>
  </si>
  <si>
    <t>04</t>
  </si>
  <si>
    <t>Chocó Andino</t>
  </si>
  <si>
    <t>05</t>
  </si>
  <si>
    <t>Ruta Escondida</t>
  </si>
  <si>
    <t>06</t>
  </si>
  <si>
    <t>Valle de los Chillos</t>
  </si>
  <si>
    <t>07</t>
  </si>
  <si>
    <t>Valle de Tumbaco</t>
  </si>
  <si>
    <t>08</t>
  </si>
  <si>
    <t>Calderón</t>
  </si>
  <si>
    <t>09</t>
  </si>
  <si>
    <t>CÓDIGO RUTA QT</t>
  </si>
  <si>
    <t>01RM01002</t>
  </si>
  <si>
    <t>NODO</t>
  </si>
  <si>
    <t>NOMBRE DE LA RUTA TURÍSTICA</t>
  </si>
  <si>
    <t>CENTRALIDAD</t>
  </si>
  <si>
    <t>ORDEN EN LISTADO</t>
  </si>
  <si>
    <t>RM</t>
  </si>
  <si>
    <t>002</t>
  </si>
  <si>
    <t>RUTA MIRADORES</t>
  </si>
  <si>
    <t>N°</t>
  </si>
  <si>
    <t>ESTADO</t>
  </si>
  <si>
    <t>CÓDIGO QT</t>
  </si>
  <si>
    <t>CLASIFICACIÓN</t>
  </si>
  <si>
    <t>BREVE DESCRIPCIÓN</t>
  </si>
  <si>
    <t>MODALIDAD</t>
  </si>
  <si>
    <t>TIEMPO DE DURACIÓN DE RUTA (horas)</t>
  </si>
  <si>
    <t>DISTANCIA (Km)</t>
  </si>
  <si>
    <t>ALTITUD (m.s.n.m)</t>
  </si>
  <si>
    <t>DIFICULTAD</t>
  </si>
  <si>
    <t xml:space="preserve">LINK DE RUTA </t>
  </si>
  <si>
    <t>NOMBRE DEL ATRACTIVO / RECURSO ASOCIADO A LA RUTA 1</t>
  </si>
  <si>
    <t>NOMBRE DEL ATRACTIVO / RECURSO ASOCIADO A LA RUTA 2</t>
  </si>
  <si>
    <t>NOMBRE DEL ATRACTIVO / RECURSO ASOCIADO A LA RUTA 3</t>
  </si>
  <si>
    <t>NOMBRE DEL ATRACTIVO / RECURSO ASOCIADO A LA RUTA 4</t>
  </si>
  <si>
    <t>NOMBRE DEL ATRACTIVO / RECURSO ASOCIADO A LA RUTA 5</t>
  </si>
  <si>
    <t>NOMBRE DEL ATRACTIVO / RECURSO ASOCIADO A LA RUTA 6</t>
  </si>
  <si>
    <t>NOMBRE DEL ATRACTIVO / RECURSO ASOCIADO A LA RUTA 7</t>
  </si>
  <si>
    <t>NOMBRE DEL ATRACTIVO / RECURSO ASOCIADO A LA RUTA 8</t>
  </si>
  <si>
    <t>NOMBRE DEL ATRACTIVO / RECURSO ASOCIADO A LA RUTA 9</t>
  </si>
  <si>
    <t>NOMBRE DEL ATRACTIVO / RECURSO ASOCIADO A LA RUTA 10</t>
  </si>
  <si>
    <t>ESTABLECIMIENTO A&amp;B</t>
  </si>
  <si>
    <t>OBSERVACIÓN DE INACTIVACIÓN</t>
  </si>
  <si>
    <t>001</t>
  </si>
  <si>
    <t>RUTA DE LAS 7 CRUCES</t>
  </si>
  <si>
    <t>RUTAS CONSOLIDADAS</t>
  </si>
  <si>
    <t>Esta ruta se realiza en el Centro Histórico</t>
  </si>
  <si>
    <t>Cultural</t>
  </si>
  <si>
    <t>1.2 KM</t>
  </si>
  <si>
    <t>BAJA</t>
  </si>
  <si>
    <t>https://www.google.com/maps/d/u/0/edit?mid=1RjWO7kyHX4EsnPZu0Ll1cRFgkG4ECsI&amp;usp=sharing</t>
  </si>
  <si>
    <t>Museo de la Ciudad</t>
  </si>
  <si>
    <t>Museo del Carmen Alto</t>
  </si>
  <si>
    <t>Casa Museo María Augusta Urrutia</t>
  </si>
  <si>
    <t>Museo Numismático del Banco Central</t>
  </si>
  <si>
    <t>Iglesia Compañía de Jesús</t>
  </si>
  <si>
    <t>Centro Cultural Metropolitano</t>
  </si>
  <si>
    <t>Iglesia El Sagrario</t>
  </si>
  <si>
    <t>Catedral Metropolitana de Quito</t>
  </si>
  <si>
    <t>Iglesia Inmaculada Concepción</t>
  </si>
  <si>
    <t>RUTAS CON POTENCIAL</t>
  </si>
  <si>
    <t>Se podrá disfrutar de los distintos miradores que posee la ciudad de Quito, junto con Quito Tour Bus</t>
  </si>
  <si>
    <t>Natural</t>
  </si>
  <si>
    <t>17 KM</t>
  </si>
  <si>
    <t>https://www.google.com/maps/d/edit?mid=1upWwdyGKcSFM8yEOjftREmBG9ap95MI&amp;usp=sharing</t>
  </si>
  <si>
    <t>Basílica del Voto Nacional</t>
  </si>
  <si>
    <t>Museo del agua YAKU</t>
  </si>
  <si>
    <t>Centro Cultural Itchimbía</t>
  </si>
  <si>
    <t>Museo Templo de la Patria</t>
  </si>
  <si>
    <t>Monumento Virgen de El Panecillo</t>
  </si>
  <si>
    <t>003</t>
  </si>
  <si>
    <t>CENTRO NORTE</t>
  </si>
  <si>
    <t>RUTA ARQUEOLÓGICA</t>
  </si>
  <si>
    <t>Conocer sobre las culturas y habitantes antiguos de Quito.</t>
  </si>
  <si>
    <t>Histórica</t>
  </si>
  <si>
    <t>23 KM</t>
  </si>
  <si>
    <t>https://www.google.com/maps/d/edit?mid=1UIGgFhBe6Z3u0nI8BmeggIxUUrbLpbQ&amp;usp=drive_link</t>
  </si>
  <si>
    <t>Museo de Sitio La Florida</t>
  </si>
  <si>
    <t>Parque Arqueológico y Ecológico Rumipamba</t>
  </si>
  <si>
    <t>SANTHORNO</t>
  </si>
  <si>
    <t>004</t>
  </si>
  <si>
    <t>RUTA DE LA PALABRA</t>
  </si>
  <si>
    <t xml:space="preserve">Nos permite conocer  la Plaza de los Presidentes, la Iglesia de Santa Teresita, la Casa de Camilo Ponce Enríquez, el palacete González Artigas, el Centro Cultural Benjamín Carrión, el Patio de Comedias y el espacio sociocultural Buenaventura.
</t>
  </si>
  <si>
    <t>1.5 KM</t>
  </si>
  <si>
    <t>https://www.google.com/maps/d/edit?mid=11FnWDoB3rJsva7gtAKabLoeJWKLEJpI&amp;usp=drive_link</t>
  </si>
  <si>
    <t>Iglesia de Santa Teresita</t>
  </si>
  <si>
    <t>Centro Cultural Benjamín Carrión</t>
  </si>
  <si>
    <t>Museo MUNA Ecuador</t>
  </si>
  <si>
    <t>005</t>
  </si>
  <si>
    <t>RUTA CHOCOLATE ENTRE CÚPULAS Y TORRES</t>
  </si>
  <si>
    <t xml:space="preserve">Se podran disfrutar de las cúpulas de la Basílica del Voto Nacional y la Iglesia de La Compañia además de una cata de chocolate fino. </t>
  </si>
  <si>
    <t>Gastronómica</t>
  </si>
  <si>
    <t>1 KM</t>
  </si>
  <si>
    <t>https://www.google.com/maps/d/edit?mid=18vd0Hx6XK01LFkorLhnokI_vDp3EeM0&amp;usp=drive_link</t>
  </si>
  <si>
    <t>CHOCOLATE CHEZ TIFF</t>
  </si>
  <si>
    <t>006</t>
  </si>
  <si>
    <t>RUTA ROMANCE Y LIBERTADORES</t>
  </si>
  <si>
    <t xml:space="preserve">Disfrutaremos de mano de los libertadores las historias de amores,política del Quito revolucionario. </t>
  </si>
  <si>
    <t>0.77 KM</t>
  </si>
  <si>
    <t>https://www.google.com/maps/d/edit?mid=1BmEgyZffuOaFNfpA9kjukiV5BAmn6aY&amp;usp=drive_link</t>
  </si>
  <si>
    <t>Convento de San Francisco</t>
  </si>
  <si>
    <t>HELADERIA DE SAN AGUSTIN</t>
  </si>
  <si>
    <t>007</t>
  </si>
  <si>
    <t>RUTA DE OFICIOS Y PERSONAJES QUITEÑOS</t>
  </si>
  <si>
    <t>RUTAS POR FORTALECER</t>
  </si>
  <si>
    <t xml:space="preserve">Conocermos sobre los nobles oficios que todavián prevalecen en la ciudad capitalina. </t>
  </si>
  <si>
    <t>2.7 KM</t>
  </si>
  <si>
    <t>https://www.google.com/maps/d/edit?mid=1gfoDaWH4tRywZ4FAAwdlp2C5sJAAxi0&amp;usp=sharing</t>
  </si>
  <si>
    <t>Museo Casa Manuela Sáenz</t>
  </si>
  <si>
    <t>Museo Fray Pedro Bedón</t>
  </si>
  <si>
    <t>CASA 925</t>
  </si>
  <si>
    <t>008</t>
  </si>
  <si>
    <t>RUTA CÚPULAS Y TORRES</t>
  </si>
  <si>
    <t>1.6 KM</t>
  </si>
  <si>
    <t>https://www.google.com/maps/d/edit?mid=1m291Fej0LC17aa9Mrk7SeyOr76wGXe0&amp;usp=sharing</t>
  </si>
  <si>
    <t>CASA925</t>
  </si>
  <si>
    <t>009</t>
  </si>
  <si>
    <t>RUTA PLAZAS Y MONUMENTOS</t>
  </si>
  <si>
    <t xml:space="preserve">Visitaremos y aprenderemos sobre las plazas y monumentos que habitan en el Centro Histórico. (Plaza del Teatro- Plaza Huerto San Agustín - Plaza de la Independencia – Plazoleta Gonzáles Suárez - Plaza Santa Domingo – Plaza Santa Clara- Plaza San Francisco) </t>
  </si>
  <si>
    <t>2.4 KM</t>
  </si>
  <si>
    <t>https://www.google.com/maps/d/edit?mid=1zcXCzE4agYintmlQhUJoTZ62eKDYP14&amp;usp=sharing</t>
  </si>
  <si>
    <t>Convento de San Agustín</t>
  </si>
  <si>
    <t>Teatro Sucre</t>
  </si>
  <si>
    <t>Convento de Santo Domingo</t>
  </si>
  <si>
    <t>Iglesia de Santa Clara</t>
  </si>
  <si>
    <t>010</t>
  </si>
  <si>
    <t>SAN MARCOS – ARTE PATRIMONIO Y CULTURA</t>
  </si>
  <si>
    <t xml:space="preserve">Disfrutaremos de este barrio emblématico de Quito y conoceremos el arte que habita en él. </t>
  </si>
  <si>
    <t>https://www.google.com/maps/d/edit?mid=13MkAa7jCO5tg1sZbr4478dbRaWSGyHc&amp;usp=sharing</t>
  </si>
  <si>
    <t>Museo Muñoz Mariño</t>
  </si>
  <si>
    <t>Museo de Arquitectura</t>
  </si>
  <si>
    <t>Iglesia de San Marcos</t>
  </si>
  <si>
    <t>011</t>
  </si>
  <si>
    <t>RUTA CITY TOUR CIUDAD DE QUITO</t>
  </si>
  <si>
    <t>Contemplaremos nuestra carita de Dios, mientras aprendemos sobre sus monumentos, historias, tradiciones.</t>
  </si>
  <si>
    <t>1.25 KM</t>
  </si>
  <si>
    <t>https://www.google.com/maps/d/edit?mid=11MgTI4xtbGHxjnoLXYtJbs9e9OdW_QQ&amp;usp=sharing</t>
  </si>
  <si>
    <t>Casa 925</t>
  </si>
  <si>
    <t>012</t>
  </si>
  <si>
    <t>RUTA EQUINOCCIAL ANCESTRAL Y CULTURAL</t>
  </si>
  <si>
    <t xml:space="preserve">El objetivo de esta ruta es vincular propuestas culturales de la Parroquias rurales de Pomasqui, San Antonio de Pichincha y Calacalí. </t>
  </si>
  <si>
    <t>16.5 KM</t>
  </si>
  <si>
    <t>https://www.google.com/maps/d/u/0/edit?mid=1hLFaHdE51z9g8iAhOcMvKGespI-utM8&amp;usp=sharing</t>
  </si>
  <si>
    <t>Chucchurillos Ñaupa Ayllu Manta</t>
  </si>
  <si>
    <t>Puracá de Rumicucho</t>
  </si>
  <si>
    <t>Casa Museo Carlota Jaramillo</t>
  </si>
  <si>
    <t>EL PATIO ORGANIC TRADICIONAL FOOD</t>
  </si>
  <si>
    <t>013</t>
  </si>
  <si>
    <t>VALLE DE LOS CHILLOS</t>
  </si>
  <si>
    <t>RUTA CHAKANA - EN BUSCA DEL CÓNDOR ANDINO Y EL OSO DE ANTEOJOS</t>
  </si>
  <si>
    <t xml:space="preserve">El objetivo de esta ruta es poder conocer distintos lugares y sus miradoes donde se puede avistar al cóndor andino, venados de cola blanca y oso de anteojos. </t>
  </si>
  <si>
    <t>CAVE</t>
  </si>
  <si>
    <t>46 KM</t>
  </si>
  <si>
    <t>https://www.google.com/maps/d/edit?mid=1WfFDmpjbXAMjNtlV6xomg4tkf6LlDDQ&amp;usp=drive_link</t>
  </si>
  <si>
    <t>Chakana - Antisanilla Peñón del Isco</t>
  </si>
  <si>
    <t>Laguna de Secas</t>
  </si>
  <si>
    <t>Chakana
Tambo Cóndor</t>
  </si>
  <si>
    <t>014</t>
  </si>
  <si>
    <t>CHOCÓ ANDINO</t>
  </si>
  <si>
    <t>RUTA EN BUSCA DEL JARDÍN DE COLIBRÍES + GASTRONOMÍA LOCAL (YANACOCHA)</t>
  </si>
  <si>
    <t xml:space="preserve">Es un recorrido donde se podran avistar aves como tangaras y gralarias, se conocera el bosque nublado donde se puede disfrutar del canto de las aves. </t>
  </si>
  <si>
    <t>https://www.google.com/maps/d/edit?mid=1yS4As1P4RYZBvsSt5_CfKH8_vd1IABs&amp;usp=drive_link</t>
  </si>
  <si>
    <t xml:space="preserve"> Yanacocha</t>
  </si>
  <si>
    <t>015</t>
  </si>
  <si>
    <t>RUTA ESCONDIDA</t>
  </si>
  <si>
    <t xml:space="preserve">RUTA ESCONDIDA PUÉLLARO Y PERUCHO 
 PUÉLLARO – PERUCHO </t>
  </si>
  <si>
    <t xml:space="preserve">Se podrá disfrutar de las maravillas escondidas dentro de la Ruta Escondida, su historia, cultura y arquitectura. </t>
  </si>
  <si>
    <t xml:space="preserve">70 KM </t>
  </si>
  <si>
    <t>https://www.google.com/maps/d/edit?mid=1CHPVBnxTtTGfGbt5HSeKJizmcw-P6Dc&amp;usp=drive_link</t>
  </si>
  <si>
    <t>Iglesia de Puéllaro</t>
  </si>
  <si>
    <t>Cerro La Luz</t>
  </si>
  <si>
    <t>Iglesia de  Perucho</t>
  </si>
  <si>
    <t>Museo del Aguacate</t>
  </si>
  <si>
    <t>016</t>
  </si>
  <si>
    <t>RUTA MUSEO DE TULIPE – FINCA RUMISITANA</t>
  </si>
  <si>
    <t>El Museo de sitio funciona en los vestigios de un centro ceremonial de los yumbos, en este lugar se puede encontrar estructuras hundidas con muros de piedra relacionadas al agua. Se realizará  el “Tour del café con leche” caminata corta a los cultivos de café   de altura, el proceso de secado y campos de producción lechera. Se degustará café y como obsequio una bolsa de café producido en la finca.</t>
  </si>
  <si>
    <t>101 KM</t>
  </si>
  <si>
    <t>https://www.google.com/maps/d/edit?mid=1EJ_ZcmLL5V_YxyTR-DR0v3voFkFu2II&amp;usp=drive_link</t>
  </si>
  <si>
    <t>Museo de Sitio Tulipe</t>
  </si>
  <si>
    <t>FINCA RUMISTINA</t>
  </si>
  <si>
    <t>017</t>
  </si>
  <si>
    <t>RUTA DE LOS BORDADOS Y HUERTOS</t>
  </si>
  <si>
    <t>Visitaremos diversos huertos de Llano Grande para conocer sobre las tradiciones del pueblo Kitu Kara.</t>
  </si>
  <si>
    <t>70 KM</t>
  </si>
  <si>
    <t>https://www.google.com/maps/d/edit?mid=1xECrXgFMf3CJLAbbk8RgNNh1g3wbLn8&amp;usp=drive_link</t>
  </si>
  <si>
    <t>Mindalae</t>
  </si>
  <si>
    <t>Museo Capilla del Hombre</t>
  </si>
  <si>
    <t>Parque Metropolitano Guanguilagua</t>
  </si>
  <si>
    <t>018</t>
  </si>
  <si>
    <t>PARROQUIAS EQUINOCCIALES</t>
  </si>
  <si>
    <t xml:space="preserve">RUTA DESCUBRIENDO EL CENTRO DEL MUNDO </t>
  </si>
  <si>
    <t>Se puede disfrutar de un recorrido a Calacalí, Museo Carlota Jaramillo, Museo del Intiñan y Casa Agave</t>
  </si>
  <si>
    <t>https://www.google.com/maps/d/edit?mid=1JwEH-1fjjFncTMoXKZ9n4RPqfkNPsoY&amp;usp=drive_link</t>
  </si>
  <si>
    <t>Museo Templo del Sol</t>
  </si>
  <si>
    <t>Museo Intiñan</t>
  </si>
  <si>
    <t>Casa Agave</t>
  </si>
  <si>
    <t>019</t>
  </si>
  <si>
    <t>RUTA CENTRO DEL MUNDO</t>
  </si>
  <si>
    <t>Podremos visitar uno de los templos dedicados al arte y vivir la experiencia de los saberes ancestrales, además de visitar el magestuoso Pululahua y el museo Carlota Jaramillo.</t>
  </si>
  <si>
    <t>https://www.google.com/maps/d/edit?mid=1Pc4frukcLLeckLXfd1NipMh4jSDbgTQ&amp;usp=drive_link</t>
  </si>
  <si>
    <t>Reserva Geobotánica Pululahua</t>
  </si>
  <si>
    <t xml:space="preserve">MUSEO TEMPLO DEL SOL </t>
  </si>
  <si>
    <t>MUSEO CARLOTA JARAMILLO</t>
  </si>
  <si>
    <t>020</t>
  </si>
  <si>
    <t>RUTA CENTRO DEL MUNDO CON EL QUITO TOUR BUS</t>
  </si>
  <si>
    <t>Podremos visitar la Ciudad Mitad del Mundo y  además apreciar el magestuoso Pululahua.</t>
  </si>
  <si>
    <t>40 KM</t>
  </si>
  <si>
    <t>https://www.google.com/maps/d/viewer?mid=1YAiHbP_szS9lt85Q0ZmVgnBw-uCjr5w&amp;ll=-0.01814251929989333%2C-78.46965506884766&amp;z=13</t>
  </si>
  <si>
    <t>Galería Kingman</t>
  </si>
  <si>
    <t>Alianza Francesa</t>
  </si>
  <si>
    <t xml:space="preserve">RESERVA GEOBOTÁNICA PULULAHUA </t>
  </si>
  <si>
    <t>CERVECERÍA SANTA ANA</t>
  </si>
  <si>
    <t>021</t>
  </si>
  <si>
    <t xml:space="preserve">RUTA CULUNCO YUNGUILLA </t>
  </si>
  <si>
    <t xml:space="preserve">Visitaremos la Comunidad e Yunguilla y su ejeompo de Turismo Comunitario, disfrutaremos de una maravillosas caminira donde podremos conocer los caminos pre-incaicos de la cultura Yumbo. </t>
  </si>
  <si>
    <t>100 KM</t>
  </si>
  <si>
    <t>MEDIA</t>
  </si>
  <si>
    <t>https://www.google.com/maps/d/edit?mid=1tzpaRD6f6ZlpsAwRWhvkG9oZImX6nqA&amp;usp=drive_link</t>
  </si>
  <si>
    <t>Comunidad de Yunguilla</t>
  </si>
  <si>
    <t>Culunco Guantopungo</t>
  </si>
  <si>
    <t>022</t>
  </si>
  <si>
    <t>RUTA HISTORIA, FAUNA Y GASTRONOMÍA EL QUINCHE - GUAYLLABAMBA</t>
  </si>
  <si>
    <t>Podremos disfrutar de esta ruta donde visitaremos el Santuario del Quinche y sus cúpulas, el zoológico de Guayllabamba y la fauna que habita en el.</t>
  </si>
  <si>
    <t>50 KM</t>
  </si>
  <si>
    <t>https://www.google.com/maps/d/edit?mid=1VDavNZhOfRds6GiNyo--oSyh9VzGP2g&amp;usp=drive_link</t>
  </si>
  <si>
    <t>Santuario de Nuestra Señora del Quinche</t>
  </si>
  <si>
    <t>Zoológico de Guayllabamba</t>
  </si>
  <si>
    <t>023</t>
  </si>
  <si>
    <t>RUTA MAQUIPUCUNA</t>
  </si>
  <si>
    <t xml:space="preserve">Disfrutaremos de esta maravillosa Reserva donde caminaremos por sus diversos senderos y avistaremos fauna endémica del lugar, más su deliciosa gastronomía. </t>
  </si>
  <si>
    <t>https://www.google.com/maps/d/edit?mid=1-CFiq0E6k5sMmjOj7_7qeTo61CAMFCc&amp;usp=drive_link</t>
  </si>
  <si>
    <t>Reserva Orquideologica Pahuma</t>
  </si>
  <si>
    <t>Reserva Maquipucuna</t>
  </si>
  <si>
    <t>024</t>
  </si>
  <si>
    <t>RUTA MÚSICA, HISTORIA, TRADICIÓN Y ARTESANOS.</t>
  </si>
  <si>
    <t xml:space="preserve">El objetivo de esta ruta es conocer sobre las historias de las calles del Quito Colonial, visitaremos el Museo de la Ciudad y degustaremos de la gastronomía Quiteña en la famosa calle La Ronda </t>
  </si>
  <si>
    <t>https://www.google.com/maps/d/edit?mid=1H4_hh0ulWv-1xk4dTlmYvKj3FRMn_as&amp;usp=drive_link</t>
  </si>
  <si>
    <t xml:space="preserve">Museo de la Ciudad </t>
  </si>
  <si>
    <t>025</t>
  </si>
  <si>
    <t>RUTA PIFO,CULTURA, NATURALEZA Y TRADICIÓN</t>
  </si>
  <si>
    <t xml:space="preserve">Conoceremos sobre la historia de este maravillos lugar, visitaremos la Hacienda Ecuestre Chantag, su Iglesia entre otros espacios. </t>
  </si>
  <si>
    <t>https://www.google.com/maps/d/edit?mid=1yWOw43xtH4FbNqo9xCSThqvD2WOaDkA&amp;usp=drive_link</t>
  </si>
  <si>
    <t>Hacienda Ecuestre Chantag</t>
  </si>
  <si>
    <t>026</t>
  </si>
  <si>
    <t>RUTA TRADICIONES Y LEGADO FRANCISCANO</t>
  </si>
  <si>
    <t>Visitaremos uno de los mercados más antiguios de la ciudad quiteña y de la mano de las hierbateras conocermos sobre los saberes ancestrales y uso de plantas medicinales , degustación de dulces tradicionales y una visita dentro del convento más grande de latinoamerica.</t>
  </si>
  <si>
    <t>0.7 KM</t>
  </si>
  <si>
    <t>https://www.google.com/maps/d/edit?mid=1wDE7ScASCtjFylIgEV7crp_HLIPp4Mk&amp;usp=drive_link</t>
  </si>
  <si>
    <t>Mercado de San Francisco</t>
  </si>
  <si>
    <t xml:space="preserve">Convento de San Francisco </t>
  </si>
  <si>
    <t>027</t>
  </si>
  <si>
    <t>RUTA GASTRONÓMICA</t>
  </si>
  <si>
    <t>El objetivo de esta ruta es poder degustar y vivir de una manera innovadora la gastronomía del DMQ.</t>
  </si>
  <si>
    <t>https://www.google.com/maps/d/viewer?mid=1f5eVi_Jy8pNHTR0P9R547e9Q5muBQa0&amp;ll=-0.2003635849838867%2C-78.34611313492223&amp;z=12</t>
  </si>
  <si>
    <t>Es circuito (No operativo)</t>
  </si>
  <si>
    <t>028</t>
  </si>
  <si>
    <t>RUTA HISTORIA Y CULTURA EN LA MARISCAL</t>
  </si>
  <si>
    <t>Nos sumergiremos en la historia de este barrio que mezcla da modernidad con la arquitectura del siglo XX, recorreremos monumentos como el Arco de la Circasiana, disfrutaremos de la calidad y variedad de productos que ese encuentran el Mercado artesanal, hablaremos de Benjamin Carrión y su hogar que ahora  forma el Centro Cultural con su mismo nombre y conoceremos sobre la vida religiosa del barrio en la Iglesia de Santa Teresita.</t>
  </si>
  <si>
    <t>https://www.google.com/maps/d/u/0/edit?mid=1sTpy2NuchI3ofXDPfLloqyoMdtIAVhE&amp;usp=sharing</t>
  </si>
  <si>
    <t>Arco de la Circasiana</t>
  </si>
  <si>
    <t>Mercado Artesanal</t>
  </si>
  <si>
    <t>029</t>
  </si>
  <si>
    <t>RUTA LAS PUERTAS DEL CHOCÓ ANDINO</t>
  </si>
  <si>
    <t>Visitaremos esl sitio arqueológico Rumicucho. Recorreremos  el templo del sol y la luna, descubriremos obras de arte del maestro Cristóbal Ortega, dentro de la Reserva Geobotánica Pululahua visitaremos el Mirador Ventanillas, degustaremos de exquisito al muerzo en la "Cuchara orgánica", y recorreremos el centro de Calacalí</t>
  </si>
  <si>
    <t>2.72 KM</t>
  </si>
  <si>
    <t>https://www.google.com/maps/d/u/0/edit?mid=1ehyfYRvJ4ehSjTKcX9GjcgU-TsqyzI0&amp;usp=sharing</t>
  </si>
  <si>
    <t>Museo Templo del Sol Pintor Cristobal Orteaga</t>
  </si>
  <si>
    <t>Monumento a la Mitad del Mundo - Calacalí</t>
  </si>
  <si>
    <t>030</t>
  </si>
  <si>
    <t>RUTA CHAQUIÑAN - CUMBAYA</t>
  </si>
  <si>
    <t>Disfrutaremos de uno de los parque más grandes de Quito , conoceremos  uno de los antiguos tramos del ferrocaril, podremos aprender sobre la historia de Cumbaya en su Iglesia.</t>
  </si>
  <si>
    <t>https://www.google.com/maps/d/u/0/edit?mid=1vuSoWg_3Qfxs68PSgRuS4YE6EpCt8_U&amp;usp=sharing</t>
  </si>
  <si>
    <t>Parque Ecológico Los Algarrobos</t>
  </si>
  <si>
    <t>Ruta Ecológica El Chaquiñán de Cumbaya</t>
  </si>
  <si>
    <t>Iglesia San Pedro  de Cumbayá</t>
  </si>
  <si>
    <t>031</t>
  </si>
  <si>
    <t>RUTA UN DÍA DE GUAGUAS</t>
  </si>
  <si>
    <t>2.24 KM</t>
  </si>
  <si>
    <t>Museo Interactivo de Ciencias</t>
  </si>
  <si>
    <t>032</t>
  </si>
  <si>
    <t>RUTA PIFO: NATURALEZA Y DIVERSIÓN EN FAMILIA</t>
  </si>
  <si>
    <t>Disfrutaremos de un día lleno de experiencias relacionadas con el medio ambiente en Atukpamba Mulauco además de recorrer Escorza granja orgánica, em la Granja Inga podremos visitar a las avestruces e interactuaremos con los animales de la granja.</t>
  </si>
  <si>
    <t>22.6 KM</t>
  </si>
  <si>
    <t>https://www.google.com/maps/d/u/0/edit?mid=17CtkarX0KqwP73BOMqyOm39RM3XJPak&amp;usp=sharing</t>
  </si>
  <si>
    <t>Atukpamba Mulauco
Escorza granja órganica Itulcachi
Granja  Inga</t>
  </si>
  <si>
    <t>033</t>
  </si>
  <si>
    <t>RUTA PARQUES NOCTURNA</t>
  </si>
  <si>
    <t>Conoceremos sobre el emblemático Parque iItchimbia  junto con personajes de leyenda, además de visitar la Hacienda de Piedrahita cuya historia trae recuerdos de la primera estación comercial de TV</t>
  </si>
  <si>
    <t>1.3 KM</t>
  </si>
  <si>
    <t>https://www.google.com/maps/d/u/0/edit?mid=10qtml-aGHZtUslN2XTfvIxABsZOiCjo&amp;usp=sharing</t>
  </si>
  <si>
    <t>034</t>
  </si>
  <si>
    <t>RUTA BARRIOS TRADICIONALES (SAN BLAS)</t>
  </si>
  <si>
    <t>Visitaremos el templo más antiguo de Quito,  conoceremos astronomía en el observatorio, conoceremos sobre el monumento a Simón Bolívar, Círculo Militar la Filantrópica, Iglesia de San Blas, entre otros lugares.</t>
  </si>
  <si>
    <t>https://www.google.com/maps/d/u/0/edit?mid=1TRYg5TbzKkeQD-_7KT97aGa-6tn9HaU&amp;usp=sharing</t>
  </si>
  <si>
    <t>Iglesia El Belén</t>
  </si>
  <si>
    <t>Museo del Observatorio Astronómico de Quito</t>
  </si>
  <si>
    <t>Iglesia de San Blas</t>
  </si>
  <si>
    <t>Plaza Belmonte</t>
  </si>
  <si>
    <t>035</t>
  </si>
  <si>
    <t>RUTA BARRIOS TRADICIONALES (LA TOLA)</t>
  </si>
  <si>
    <t>Hablaremos de la historia de este barrio colonial, sus tradiciones y leyendas además de disfrutar de demostraciones de arte.</t>
  </si>
  <si>
    <t>2.3 KM</t>
  </si>
  <si>
    <t>https://www.google.com/maps/d/u/0/edit?mid=1sAJh2cq3jTUGW7scwVvUD97CMgPaIns&amp;usp=sharing</t>
  </si>
  <si>
    <t>036</t>
  </si>
  <si>
    <t>RUTA LAGUNA DE SECAS -  PINTAG</t>
  </si>
  <si>
    <t>Visitaremos el Parque Central de Pintag, y podremos realizar caminatas alrededor de diversas lagunas como: Micacocha, laguna de secas,visitaremos el Peñon del Isco y degustaremos de un almuerzo típico de la zona</t>
  </si>
  <si>
    <t>https://www.google.com/maps/d/u/0/edit?mid=131L5esv4Jicj3Ntl8cAptNDtARjxYc0&amp;usp=sharing</t>
  </si>
  <si>
    <t>Volcán Antisana</t>
  </si>
  <si>
    <t>Peñon del Isco</t>
  </si>
  <si>
    <t>Laguna de la Mica</t>
  </si>
  <si>
    <t>037</t>
  </si>
  <si>
    <t>ENTRE LAGUNAS Y PÁRAMOS</t>
  </si>
  <si>
    <t>En esta aventura podremos disfrutar de del Volcán Antisana y sus paisajes que lo rodean, visitaremos uno de los miradores naturales que permiten observar el vuelo de los imponentes cóndores, además de de realizar un recorrido por el sendero Pato Urco a 4100 m.s.n.m</t>
  </si>
  <si>
    <t>ALTA</t>
  </si>
  <si>
    <t>https://www.google.com/maps/d/u/0/edit?mid=1pOLRarYCsoE7QLFo-HYTJbTe9PYrwMM&amp;usp=sharing</t>
  </si>
  <si>
    <t>038</t>
  </si>
  <si>
    <t>RUTA CONVENTO DE SANTO DOMINGO: CRIPTAS, LEYENDAS Y MISTERIO</t>
  </si>
  <si>
    <t xml:space="preserve">Se visitará el Refectorio del Convento, el Museo con una muestra de arte 	religioso, la capilla del Rosario, la iglesia y las catacumbas. Esto 	acompañados de personajes teatralizados que nos contarán historias y 	leyendas de esta convento.
</t>
  </si>
  <si>
    <t>0.5 KM</t>
  </si>
  <si>
    <t>https://www.google.com/maps/d/u/0/edit?mid=1vWjsRCzlkrZE3GVnV5RzkejmqO0RX14&amp;usp=sharing</t>
  </si>
  <si>
    <t>Museo de Santo Domingo Fray Pedro Bedón</t>
  </si>
  <si>
    <t>039</t>
  </si>
  <si>
    <t>RUTA LEGADO DE LOS FRANCISCANOS</t>
  </si>
  <si>
    <t>Conoceremos los dos complejos franciscanos que habitan en el Centro Histórico con gran influencia de arte quiteño, historia y vida religiosa.</t>
  </si>
  <si>
    <t>0.2 KM</t>
  </si>
  <si>
    <t>https://www.google.com/maps/d/u/0/edit?mid=1XxBokk1yWaWhGsSbfoSqf_romOBQaD8&amp;usp=sharing</t>
  </si>
  <si>
    <t>Museo Fray Pedro Gocial San Francisco</t>
  </si>
  <si>
    <t>040</t>
  </si>
  <si>
    <t>RUTA DE LA CREATIVIDAD</t>
  </si>
  <si>
    <t xml:space="preserve">Abarcaremos diversos temas desde arquitéctura, visita al mercado artesanal, hablaremo sobre los castillos que habitan en este maravilloso barrio. </t>
  </si>
  <si>
    <t>2.5 KM</t>
  </si>
  <si>
    <t>https://www.google.com/maps/d/u/0/edit?mid=1ZkceVByiwiR92byeO4xOKtkrFvnChxY&amp;usp=sharing</t>
  </si>
  <si>
    <t>Museo Nacional del Ecuador (MUNA)</t>
  </si>
  <si>
    <t>El Útero</t>
  </si>
  <si>
    <t>041</t>
  </si>
  <si>
    <t>RUTA PARQUE METROPLITANO DEL SUR. OBSERVACIÓN DE AVES</t>
  </si>
  <si>
    <t>Realizaremos un recorrido de descenso por el sendero Ushay Ñan para poder avistar las aves respetivas del Distrito, a través del sendero Pita Tambo - Casa Morga, donde podremos observar un humedal artificial.</t>
  </si>
  <si>
    <t>27 KM</t>
  </si>
  <si>
    <t>https://www.google.com/maps/d/u/0/edit?mid=1FxMSe1jO8CCwF-lht1BcgyT6EWcM1EI&amp;usp=sharing</t>
  </si>
  <si>
    <t>Parque Metropolitano del Sur</t>
  </si>
  <si>
    <t>042</t>
  </si>
  <si>
    <t>RUTA JARDÍN BOTÁNICO. OBSERVACIÓN DE AVES.</t>
  </si>
  <si>
    <t xml:space="preserve">Se realizará un recorrido por todo el circuito del jardín, para la         identificación de aves de la mano de nuestro guía naturalista.
</t>
  </si>
  <si>
    <t>https://www.google.com/maps/d/u/0/edit?mid=15xLBSKwPsVpb9Z0hrb4r6e8xxtCW6v8&amp;usp=sharing</t>
  </si>
  <si>
    <t>Jardín Botánico de Quito</t>
  </si>
  <si>
    <t>043</t>
  </si>
  <si>
    <t>RUTA MÁS ALLÁ DE LA MUERTE. CONVENTO Y CEMENTERIO DEL TEJAR</t>
  </si>
  <si>
    <t>Mediante una interpretación teatralizada conoceremos sobre la historia del Convento del Tejar, recorreremos su cpnvento, iglesia, criptas y cementerio.</t>
  </si>
  <si>
    <t>https://www.google.com/maps/d/u/0/edit?mid=1ACnIJq_sB2XA17HYzVN-gIstK8baiGQ&amp;usp=sharing</t>
  </si>
  <si>
    <t>Iglesia El Tejar</t>
  </si>
  <si>
    <t>044</t>
  </si>
  <si>
    <t>RUTA QUITO DESDE LAS ALTURAS</t>
  </si>
  <si>
    <t xml:space="preserve">Los visitantes harán una visita inédita,  conociendo las torres , podrán         desde este sitio ver de manera majestuosa el norte,  centro histórico de         Quito y la Virgen de El Panecillo; además bajarán también a las criptas         de la Basílica del Voto Nacional, viviendo sin duda una experiencia         inolvidable en el templo neogótico de América.
</t>
  </si>
  <si>
    <t>4.5 KM</t>
  </si>
  <si>
    <t>https://www.google.com/maps/d/u/0/edit?mid=1WHO5DNZArzaEw9vIcB3qNMWtiqeytbw&amp;usp=sharing</t>
  </si>
  <si>
    <t>Plaza Grande</t>
  </si>
  <si>
    <t>Restaurante San Ignacio</t>
  </si>
  <si>
    <t>045</t>
  </si>
  <si>
    <t xml:space="preserve">RUTA EXPLORANDO EL BOSQUE NUBLADO
</t>
  </si>
  <si>
    <t>Visitaremos en la red de senderos con uno de los guías locales para tener un encuentro íntimo con este Mágico Bosque y unas hermosos paisajes del Valle de Tandayapa.</t>
  </si>
  <si>
    <t>60 KM</t>
  </si>
  <si>
    <t>https://www.google.com/maps/d/u/0/edit?mid=1fZc3TkLdpjG1xDtA4oMkZxer_RwbmgA&amp;usp=sharing</t>
  </si>
  <si>
    <t>Bellavista Cloud Forest</t>
  </si>
  <si>
    <t>046</t>
  </si>
  <si>
    <t>RUTA BARRIOS TRADICIONALES (LA LOMA GRANDE)</t>
  </si>
  <si>
    <t>Durante esta ruta podremos conocer la historia de este emblemático barrio, sus leyendas, tradicones y disfrutaremos de una degustación de café</t>
  </si>
  <si>
    <t>https://www.google.com/maps/d/u/0/edit?mid=1QJ9K3hg71oclbqZO1Miw10emDfA0vO0&amp;usp=sharing</t>
  </si>
  <si>
    <t>Centro Cultural Mama Cuchara</t>
  </si>
  <si>
    <t>Casa Instinto Ecuador
Cafetería- Mirador La Loma Grande</t>
  </si>
  <si>
    <t>047</t>
  </si>
  <si>
    <t xml:space="preserve">RUTA BARRIOS  TRADICIONALES – LA TOLA-SAN BLAS
</t>
  </si>
  <si>
    <t xml:space="preserve">Demostración de técnicas de la escuela Quiteña, juegos tradicionales, visita a la Virgen del Muro donde coeciste con una sere de leyendas populares, parque Itchimbia junto conla interpretación de personajes icónicos. (el recorrido se realizará en Chiva tradicional) Talleres- Virgen del Muro- Parque Itchimbia </t>
  </si>
  <si>
    <t>https://www.google.com/maps/d/u/0/edit?mid=1TDnkP46smXmAxk4z2ad-ly7Vu4l4GqE&amp;usp=sharing</t>
  </si>
  <si>
    <t xml:space="preserve">Taller de Arte el Rincón de los Arcángeles 
</t>
  </si>
  <si>
    <t>048</t>
  </si>
  <si>
    <t xml:space="preserve">RUTA SAN JUAN - LA GUARAGUA – SAN FRANCISCO- EL PANECILLO
</t>
  </si>
  <si>
    <t>Visitaremos uno de los templos más emblemáticos de la  urbe quiteña, recorreremos la calle tradicional de la Guaragua, donde se puede observar su arquitectura colonial y republicana, y junto con una Chiva y un personaje tradicional recorremos la plaza de San Francisco y el Panecillo. (Basílica del Voto Nacional–La Guaragua– Plaza de San Francisco – El Panecillo – Plaza de San Francisco)</t>
  </si>
  <si>
    <t>6 KM</t>
  </si>
  <si>
    <t>https://www.google.com/maps/d/u/0/edit?mid=1gno2-C5_QN9CWWC-olLGlJ7JuFt3zL0&amp;usp=sharing</t>
  </si>
  <si>
    <t>Plaza de San Francisco</t>
  </si>
  <si>
    <t>049</t>
  </si>
  <si>
    <t xml:space="preserve">RUTA BELENES I 
</t>
  </si>
  <si>
    <t>Podremos conocer alrededor de 30 pesebres  de diferentes artesanso ubicados dento del Convento de San Francisco, además podremos conocer  uno de los pesebres más antiguos de Quito que data del año 1596. ( Belenes del Monasterio de Santa Clara y Convento de San Francisco)</t>
  </si>
  <si>
    <t>https://www.google.com/maps/d/u/0/edit?mid=1z203KKOwAqjWrZLr2Jth4CcscydF8cU&amp;usp=sharing</t>
  </si>
  <si>
    <t>050</t>
  </si>
  <si>
    <t xml:space="preserve">RUTA BELENES II 
</t>
  </si>
  <si>
    <t>Conoceremos uno de los pesebre más llamativos de la Escuela Quiteña con 200 años de historia ubicado en el Convento del Carmen Bajo, Cada año el Pesebre Carmelita plantea narrativas         diferentes para conocer su riqueza artística desde         múltiples perspectivas educativas. Estos relatos son         contados         mediante piezas de colección,         correspondientes a los siglos XVIII y XIX, dentro del Carmen Alto
(Belenes del Carmen Bajo y Carmen Bajo)</t>
  </si>
  <si>
    <t>https://www.google.com/maps/d/u/0/edit?mid=1yTPAbnQ-GX4BUr9UlfiDHV9Y7bvXrVU&amp;usp=sharing</t>
  </si>
  <si>
    <t>Convento del Carmen Bajo</t>
  </si>
  <si>
    <t>051</t>
  </si>
  <si>
    <t xml:space="preserve">RUTA BELENES – BARRIO LA LOMA GRANDE
</t>
  </si>
  <si>
    <t>El recorrido iniciara en la plaza de Santo Domingo, donde visitaremos el templo con el mismo nombre. Conoceremos el primer Belén en el Taller Arte con Amor, donde podeemos observar figuras en movimiento. En la antigua marmolería Tomebamba, se encuentra el pesebre de la familia Gallegos, quienes tienen a su cargo un niño que provebiene de Cojitambo y tiene más de 200 años.  (Cúpulas de Santo Domingo- Belenes y Experiencias del Barrio de la Loma Grande)</t>
  </si>
  <si>
    <t>https://www.google.com/maps/d/u/0/edit?mid=1-QsaYCEtH7q3EnrMjWumVZPdW1IFPLI&amp;usp=sharing</t>
  </si>
  <si>
    <t>Galería de Cacao y artesanos</t>
  </si>
  <si>
    <t>052</t>
  </si>
  <si>
    <t xml:space="preserve">RUTA UNA VISTA A LA AVANZADA DE SUCRE DESDE LAS ALTURAS
</t>
  </si>
  <si>
    <t>Visitaremos el Templo de la Patria, sitio de homenaje a la batalla         en el que Ejercito del Mariscal Antonio José de Sucre, visitaremos la Comunidad de San Francisco de Cruz Loma y su casacada Quitu Cara, en el Mirador de Humbolt encuentro con mujeres emprendedoras de la Ruta de Humbolt. (Cima de La Libertad – Comunidad San Francisco de Cruz Loma- Mirador de Humboldt)</t>
  </si>
  <si>
    <t>https://www.google.com/maps/d/edit?mid=1KLGLpxKLwXtatH4__a1jy8HN8FyO0sU&amp;usp=sharing</t>
  </si>
  <si>
    <t>Museo de la Defensa Templo de La Patria</t>
  </si>
  <si>
    <t xml:space="preserve">Comunidad San Francisco de Cruz Loma
</t>
  </si>
  <si>
    <t>Mirador de Humboldt</t>
  </si>
  <si>
    <t>053</t>
  </si>
  <si>
    <t xml:space="preserve"> RUTA RECORDANDO AL MARISCAL SUCRE
</t>
  </si>
  <si>
    <t>Visitaremos el Centro Cultural Metropolitano, donde podremos observar un lienzo del Mariscal, realizado por el centenario; Museo Casa de Sucre dedicado a conocer la vida familiar del mariscal y su esposa la Marquesa de Solanda, la estatua del Libertador ubicada en la plaza de Santo Domingo y finalizaremos con una degustación en La Ronda. (Plaza Grande- CCM- Casa de Sucre-Plaza Santo Domingo (Monumento de Sucre)- La Ronda- Boulevard 24 de Mayo)</t>
  </si>
  <si>
    <t>https://www.google.com/maps/d/edit?mid=1aGTvl9FSO1YMEKqC1pGXOvF4I1CmKO0&amp;usp=sharing</t>
  </si>
  <si>
    <t>Museo de La Defensa Casa de Sucre</t>
  </si>
  <si>
    <t>Plaza de Santo Domingo</t>
  </si>
  <si>
    <t>054</t>
  </si>
  <si>
    <t xml:space="preserve"> RUTA SIGUIENDO LA PISTA DE SUCRE
</t>
  </si>
  <si>
    <t>Desde la Cima de La Libertad, podremos visitar el mirador y el museo Templo de la Patria, el Centro Cívico Cultural Mariscal Sucre, antigua casa hacienda de la parroquia de Chilllogallo paso la noche el 22 de mayo de 1822 y activación cultural. (Cima de La Libertad – Centro Cívico Cultural Mariscal Sucre)</t>
  </si>
  <si>
    <t>15.4 KM</t>
  </si>
  <si>
    <t>https://www.google.com/maps/d/edit?mid=1kNSnKp_VvF0R_EZ7QTAUyK1uJs8ybJI&amp;usp=sharing</t>
  </si>
  <si>
    <t>Centro Cívico Cultural Mariscal Sucre</t>
  </si>
  <si>
    <t>055</t>
  </si>
  <si>
    <t xml:space="preserve"> RUTA EL HALLAZGO INESPERADO
</t>
  </si>
  <si>
    <t>Conoceremos el primer sitio de descanso de los restos del Mariscal, en el Centro Cultural Metropolitano, podremos observar un lienzo del Mariscal realizado por el centenario de la batalla. En la Catedral visitaremos el retablo mayor, la capilla de Sucre y morada final de los restos del Mariscal y sus cúpulas.  (Carmen Bajo - Centro Cultural Metropolitano – Catedral)</t>
  </si>
  <si>
    <t>https://www.google.com/maps/d/edit?mid=1VPe7XhZqhvixSjsLuxxnKehBfkutjhI&amp;usp=sharing</t>
  </si>
  <si>
    <t>056</t>
  </si>
  <si>
    <t xml:space="preserve">RUTA LAS DELICIAS DEL LIBERTADOR 
</t>
  </si>
  <si>
    <t>Experiencia Teatral que nos traslada al siglo XIX, a los años decisivos de la Gesta Libertaria en la que a travez de 4 personajes descubriremos algunos momentos de la vida del Libertador Simón Bolívar, hábitos, costumbres, y platillos predilectos. (CENTENARIO DE LA MARISCAL)
Casa Patrimonial Silberstein , Santhorno de empanadas</t>
  </si>
  <si>
    <t>https://www.google.com/maps/d/u/0/edit?mid=14Bwseh226BN9-AFeoePyUsukFdH3V0I&amp;usp=sharing</t>
  </si>
  <si>
    <t>Casa Patrimonial Silberstein</t>
  </si>
  <si>
    <t>057</t>
  </si>
  <si>
    <t xml:space="preserve">RUTA RESERVA PAHUMA - RAPEL
  </t>
  </si>
  <si>
    <t>Se conocerá sobre esta reserva, con una breve capacitación previa, se realizará         senderismo y se podrá observar  aves; además, se visitará el jardín de las         orquídeas que existe en         la reserva con las más representativas especies  del sector. Se realizará una caminata hacia la         Cascada Gallo de la Peña, en donde se hará rapel.
(Cráter del Pululahua – Reserva Pahuma – Cascada Gallo de la Peña)</t>
  </si>
  <si>
    <t>66 KM</t>
  </si>
  <si>
    <t>https://www.google.com/maps/d/edit?mid=1NX7novbzkaXp47vPT3f1rWanYB3TyTU&amp;usp=sharing</t>
  </si>
  <si>
    <t>Reserva Orquideológiva Pahuma</t>
  </si>
  <si>
    <t>058</t>
  </si>
  <si>
    <t xml:space="preserve">RUTA QUITO-NANEGAL CASCADA DE LA PIRAGUA-PIEDRA ORONZONA
</t>
  </si>
  <si>
    <t xml:space="preserve">“Disfruta de un refrescante baño proveniente del Guagua Pichincha en el Bosque nublado de Nanegal”
Conoceremos sobre las tradiciones ancestrales de la Cultura Yumbo, caminata hacia la cascada con explicación de flora y fauna y baño energético al arribo. Se realizará el "Tour del café con leche", una caminata a los cultivos de café de altura, el proceso de secado y campos de producción lechera. </t>
  </si>
  <si>
    <t xml:space="preserve">1.8 KM </t>
  </si>
  <si>
    <t>https://www.google.com/maps/d/edit?mid=1skUKjNhVVmPZJkST1-_qNYSQS-_rfqU&amp;usp=sharing</t>
  </si>
  <si>
    <t>Cascada La Piragua</t>
  </si>
  <si>
    <t>059</t>
  </si>
  <si>
    <t xml:space="preserve">RUTA QUITO-YANACOCHA
   </t>
  </si>
  <si>
    <t xml:space="preserve">Se         realizará una caminata para realizar observación de aves de la zona         que incluye una explicación sobre fauna y flora y del ecosistema del         Bosque Montano Alto.
</t>
  </si>
  <si>
    <t>3.9 KM</t>
  </si>
  <si>
    <t>https://www.google.com/maps/d/edit?mid=15xd_oSvv-ThdQP4DGaFgkxxkjOAGfkU&amp;usp=sharing</t>
  </si>
  <si>
    <t>Reserva Yanacocha</t>
  </si>
  <si>
    <t>060</t>
  </si>
  <si>
    <t xml:space="preserve">RUTA TUCANOPY
</t>
  </si>
  <si>
    <t>Esta actividad consiste en un sistema de cables que atraviesan por el canopy o         copas de los árboles, ofreciendo a nuestros visitantes, la oportunidad única de         observar la biodiversidad de los bosques nublados de Ecuador desde una         perspectiva diferente</t>
  </si>
  <si>
    <t>https://www.google.com/maps/d/edit?mid=1tNU9gyHqZuzbA1TTn8fXoTaf_KM0P9Q&amp;usp=sharing</t>
  </si>
  <si>
    <t>Reserva Intillacta
Tucanopy - canopy - puentes de altura</t>
  </si>
  <si>
    <t>061</t>
  </si>
  <si>
    <t xml:space="preserve">RUTA AVENTURA Y NATURALEZA 
</t>
  </si>
  <si>
    <t>En esta reserva se encuentran sitios que son utilizados por los         cóndores como         perchas y dormideros. Y protege páramos y pantanos que son importantes fuentes         de agua para comunidades aledañas. Aquí se realizará una caminata y una visita al         mirador del Peñón del Cóndor. 
(Reserva Chakana- Laguna de Secas)</t>
  </si>
  <si>
    <t>https://www.google.com/maps/d/edit?mid=1MO45o29Bdn9YYp_Id4XbHrhg-EbTqao&amp;usp=sharing</t>
  </si>
  <si>
    <t>Reserva Chakana- Hacienda Antisanilla</t>
  </si>
  <si>
    <t>062</t>
  </si>
  <si>
    <t xml:space="preserve">RUTA MUSEOS EN MIRADORES 
</t>
  </si>
  <si>
    <t xml:space="preserve">El Yaku es un espacio de interacción y aprendizaje para         grandes         y pequeños, aquí se puede reconocer y         reflexionar sobre la         relación del agua con los         ecosistemas de páramo y bosque montano. Es un         espacio privilegiado que tiene una vista         excepcional         del centro histórico. Sus instalaciones se levantan         sobre lo que fue la antigua planta de tratamiento del         agua y algunos elementos se adecuaron para el         desarrollo del museo. (La Mariscal - YAKU - El Panecillo – La Mariscal)
</t>
  </si>
  <si>
    <t>10 KM</t>
  </si>
  <si>
    <t>https://www.google.com/maps/d/edit?mid=1odZMbpF6718MTTD2RDVDNU88rTEivrg&amp;usp=sharing</t>
  </si>
  <si>
    <t xml:space="preserve"> Yaku Parque Mueso del Agua</t>
  </si>
  <si>
    <t>063</t>
  </si>
  <si>
    <t xml:space="preserve">RUTA CALLE GARCÍA MORENO, TRADICIÓN QUITEÑA
</t>
  </si>
  <si>
    <t>Visitaremos la edificación religiosa del siglo XVI, acogio a ls primeros jesuitas, ademas visitaremos la Casa Guillespi que fue elaborada por Francisco Durini, La casa del Higo donde podremos difrutar de la cata de choclate junto con la chocolateria ChezTiff, los tradicionales sanduches Menses  y hablaremos de la importancia historia y política de la plaza grande.  (Iglesia de Santa Bárbara - Casa Guillespi y García Moreno - Casa del Higo- Sánduches Meneses - Plaza Grande - El Quinde)</t>
  </si>
  <si>
    <t>https://www.google.com/maps/d/edit?mid=1NM_V2cAS2U1bpBuLvsUlR2rHeDLj53k&amp;usp=sharing</t>
  </si>
  <si>
    <t>Iglesia de Santa Bárbara</t>
  </si>
  <si>
    <t>Casa del HIgo</t>
  </si>
  <si>
    <t>064</t>
  </si>
  <si>
    <t xml:space="preserve">RUTA TRAS LAS CENIZAS DEL VIEJO LUCHADOR
</t>
  </si>
  <si>
    <t>Durante el recorrido podremos disfrutar de la arquitectura de este barrio marcado por la influencia de Ruben Vinci, su iglesia de estilo Neogótico, y la representación de la muerte del viejo luchador en la plaza de los Presidentes. (Arco de la Circasiana- mercado Artesanal-Castillo Silva del Pozo- Casa del Patio Parado- Casa de las 7 Terrazas-Antigua Residencia Carmelita-Iglesia de Santa Teresita- Plaza de los Presidentes.)</t>
  </si>
  <si>
    <t>1.7 KM</t>
  </si>
  <si>
    <t>https://www.google.com/maps/d/edit?mid=1E-RW2JpfAcl1Z6OpvDO86JsIIlUMiDc&amp;usp=sharing</t>
  </si>
  <si>
    <t>Plaza de los Presidentes</t>
  </si>
  <si>
    <t>065</t>
  </si>
  <si>
    <t xml:space="preserve">RUTA EL FUERTE DE LOS REALISTAS
</t>
  </si>
  <si>
    <t xml:space="preserve">En el recorrido conoceremos sobre datos interesantes del monumento de         Antonio José de Sucre, y de varias de las edificaciones que rodean este         concurrido espacio del centro histórico. (Santo Domingo- Boulevard 24 Mayo- Panecillo- Museo de la Ciudad)
</t>
  </si>
  <si>
    <t>4 KM</t>
  </si>
  <si>
    <t>https://www.google.com/maps/d/edit?mid=1yHSSZ41gBq9yM2COypKD3iqTYCdHzuQ&amp;usp=sharing</t>
  </si>
  <si>
    <t>Bulevar 24 de Mayo</t>
  </si>
  <si>
    <t>Museo de La Ciudad</t>
  </si>
  <si>
    <t>066</t>
  </si>
  <si>
    <t xml:space="preserve">RUTA EL CAMINO A LA INDEPENDENCIA
</t>
  </si>
  <si>
    <t xml:space="preserve">Conoceremos lugares trascendentales en la gesta libertaria, como la Plaza Grande, Iglesia y conventp de San Agustín, Lugar directamente relacionado con el inicio de la gesta libertaria.         En sus Sala Capitular se firmó el acta del primer grito de         Independencia. (Activación Cultural). Desmotración de helados de paila en la Heladería San Agustín, Casa de Sucre donde conoceremos sobre la vida familiar del Mariscal.  (Plaza de la Independencia – Fachada de la iglesia y Convento de San Agustín- Casa de Sucre)
</t>
  </si>
  <si>
    <t>https://www.google.com/maps/d/edit?mid=1Vd3QM8TS19-SUhB1kN1FhG2B3vtcnm4&amp;usp=sharing</t>
  </si>
  <si>
    <t>Museo Miguel de Santiago Convento de San Agustín</t>
  </si>
  <si>
    <t>Heladería de San Agustín</t>
  </si>
  <si>
    <t>067</t>
  </si>
  <si>
    <t xml:space="preserve">RUTA DE SUCRE
</t>
  </si>
  <si>
    <t>Conoceremos el Camino precolombino por la tropa liderada por el Mariscal Antonio         José de Sucre en la batalla de Pichincha. Visita a la comunidad de San Francisco de Cruz Loma. (Cima de La Libertad – Culunco- Comunidad San Francisco de Cruz Loma )</t>
  </si>
  <si>
    <t xml:space="preserve">8 KM </t>
  </si>
  <si>
    <t>https://www.google.com/maps/d/u/0/edit?mid=1_GJm5bNlVJ6Nqciiq_wcXKHOvwApkog&amp;usp=sharing</t>
  </si>
  <si>
    <t>Museo de La Defensa Templo de La Patria</t>
  </si>
  <si>
    <t>Comunidad San Francisco de Cruz Loma</t>
  </si>
  <si>
    <t>068</t>
  </si>
  <si>
    <t xml:space="preserve">RUTA MUSEOS DE LA DEFENSA
</t>
  </si>
  <si>
    <t>Hablaremos de la importancia de los museos de la defensa y su función en preservar edificios que han sobrevivido a la historia y su relevancia en la misma. (Casa de Sucre- Antiguo Círculo Militar)</t>
  </si>
  <si>
    <t>https://www.google.com/maps/d/edit?mid=16kUKlNptksgCp0eqwdhGfMSIzFAmYNU&amp;usp=sharing</t>
  </si>
  <si>
    <t>Centro Cultural del Antiguo Círculo Militar</t>
  </si>
  <si>
    <t>069</t>
  </si>
  <si>
    <t xml:space="preserve">RUTA RUMBO AL PICHINCHA
</t>
  </si>
  <si>
    <r>
      <rPr>
        <sz val="11"/>
        <color rgb="FF000000"/>
        <rFont val="Calibri"/>
      </rPr>
      <t xml:space="preserve">Desde el teleférico un sendero que inicia a los 4050 </t>
    </r>
    <r>
      <rPr>
        <u/>
        <sz val="11"/>
        <color rgb="FF000000"/>
        <rFont val="Calibri"/>
      </rPr>
      <t>m.sn</t>
    </r>
    <r>
      <rPr>
        <sz val="11"/>
        <color rgb="FF000000"/>
        <rFont val="Calibri"/>
      </rPr>
      <t>.m, se explicará acerca de la flora y fauna que habita en el viejo Pichincha. (Teleférico – Rucu Pichincha)</t>
    </r>
  </si>
  <si>
    <t>6.4 KM</t>
  </si>
  <si>
    <t>https://www.google.com/maps/d/u/0/edit?mid=1dTCysE3lwBFbuIGqtoSL942MSe3RbZo&amp;usp=sharing</t>
  </si>
  <si>
    <t>Teleférico Quito</t>
  </si>
  <si>
    <t>Volcán Guagua Pichincha</t>
  </si>
  <si>
    <t>070</t>
  </si>
  <si>
    <t xml:space="preserve">RUTA DEL CENTRO HISTÓRICO DESDE LAS ALTURAS
</t>
  </si>
  <si>
    <t>Este recorrido panorámico empieza desde la Plaza Quinde a bordo del Quito Tour Bus. Visitaremos las cúpulas de iglesias como La Compañia, San Francisco, Santo Domingo, degustación de un cocktail y demostración de las limpias tradicionales.  (Cúpulas de La Compañía- Torres de San Francisco – Cúpulas de Santo Domingo)</t>
  </si>
  <si>
    <t>6.2 KM</t>
  </si>
  <si>
    <t>https://www.google.com/maps/d/edit?mid=1Btas5sRdGMRFpu7_u9T3wtzrNVNOEqo&amp;usp=sharing</t>
  </si>
  <si>
    <t>071</t>
  </si>
  <si>
    <t xml:space="preserve">RUTA QUITO BIODIVERSO
</t>
  </si>
  <si>
    <t xml:space="preserve">Recorriendo el Parque La Carolina, se dará a conocer datos         importantes de este importante espacio de la ciudad. (Jardín Botánico – Vivarium )
</t>
  </si>
  <si>
    <t xml:space="preserve">1 KM </t>
  </si>
  <si>
    <t>https://www.google.com/maps/d/u/0/edit?mid=1RyYMuXLHeo-8t6fwinDUDZsuF2qewsQ&amp;usp=sharing</t>
  </si>
  <si>
    <t>Fundación Mundo Juvenil</t>
  </si>
  <si>
    <t>Vivarium de Quito</t>
  </si>
  <si>
    <t>072</t>
  </si>
  <si>
    <t xml:space="preserve">RUTA TURÍSTICA DE SAN ROQUE
</t>
  </si>
  <si>
    <t>Explicación externa de la iglesia y facha de San Francisco.  Seguido se dirigirán hacia el monasterio de Santa Clara y terminarán en el Mercado de San Francisco para una demostración de limpias. (Iglesia y cúpulas del Monasterio de Santa Clara, mercado de San Francisco)</t>
  </si>
  <si>
    <t xml:space="preserve">0.5 KM </t>
  </si>
  <si>
    <t>https://www.google.com/maps/d/u/0/edit?mid=1HQjqt5a9ljwBpucCVyNmKO_rCV0r8s8&amp;usp=sharing</t>
  </si>
  <si>
    <t>073</t>
  </si>
  <si>
    <t>RUTA TURISMO COMUNITARIO YUNGUILLA -  CALACALÍ</t>
  </si>
  <si>
    <t>Se inicia el recorrido en este sector con una altura estimada de 2980 m.s.n.m.,  en 	el mirador y se continúa caminando por el Culunco de Guantopungo, en este 	recorrido se podrá observar una gran cantidad de aves, se realizará una 	explicación de  flora y fauna.</t>
  </si>
  <si>
    <t>https://www.google.com/maps/d/edit?mid=12apefFnvmNnK88UMnbsC4jpj5xsWFD4&amp;usp=sharing</t>
  </si>
  <si>
    <t>Comunidad Yunguilla</t>
  </si>
  <si>
    <t>074</t>
  </si>
  <si>
    <t xml:space="preserve">RUTA TURÍSTICA LA RONDA
</t>
  </si>
  <si>
    <t>En este recorrido conoceremos la historia de la Iglesia y convento de Santo Domingo, visita a las cúpulas, disfrutaremos de la calle 925 y sus talleresl de oficios tradicionales quiteños, la plalza Benítez y Valencia donde se abarca la trayectoria del famoso dúo Quiteño y visita al restaurante Casa de los Geranios. (Iglesia y cúpulas de Santo Domingo, La Ronda, Talleres de Manos en La Ronda y Plaza Benítez y Valencia)</t>
  </si>
  <si>
    <t>0.4 KM</t>
  </si>
  <si>
    <t>https://www.google.com/maps/d/u/0/edit?mid=1ELCoI16mDgK0PwkRQGufrsc5bwkNOlo&amp;usp=sharing</t>
  </si>
  <si>
    <t>Plaza Benítez y Valencia</t>
  </si>
  <si>
    <t>Casa925
Casa de los Geranios</t>
  </si>
  <si>
    <t>075</t>
  </si>
  <si>
    <t xml:space="preserve">RUTA TURÍSTICA DE GUÁPULO
</t>
  </si>
  <si>
    <t>Visitaremos el mirador de Guápulo donde se puede observar el valle de Cumbayá y Tumbaco, el camino de los conquistadores, que se cuenta es el camino por donde Francisco de Orellana  tomo rumbo al oriente.
Santuario de Guápulo. (Mirador de Guápulo, Santuario de Guápulo y museo)</t>
  </si>
  <si>
    <t xml:space="preserve">2 KM </t>
  </si>
  <si>
    <t>https://www.google.com/maps/d/u/0/edit?mid=1UgVsoPj9Ee7Q-MsKbnR4FVaGSKHxTpQ&amp;usp=sharing</t>
  </si>
  <si>
    <t>Iglesia de Gúapulo</t>
  </si>
  <si>
    <t>076</t>
  </si>
  <si>
    <t xml:space="preserve">RUTA TURÍSTICA SAN JUAN
</t>
  </si>
  <si>
    <t xml:space="preserve">Recorreremos las instalaciones del Centro de Arte Contemporáneo, poco despues visitaremos las Torres de la Basílica del Voto Nacional desde este impresionante se podrá ver el barrio de San         Juan y conocer más de su historia.  Terminaremos el recorrido en el Monaserio de las Hermanas Agustinas , se puede conocer         el estilo de vida monacal que llevan estas religiosas, una parte de sus         instalaciones y se puede conocer los productos que realizan para la         venta, además que se puede degustar de una bebida refrescante para         finalizar este recorrido. (Centro de arte contemporáneo, Basílica del Voto Nacional, Monasterio de las Hermanas Agustinas)
</t>
  </si>
  <si>
    <t>0.8 KM</t>
  </si>
  <si>
    <t>https://www.google.com/maps/d/u/0/edit?mid=1RYfSK8rZgeMaXaitPW2lRq-JbsvY6kk&amp;usp=sharing</t>
  </si>
  <si>
    <t>Centro de Arte Contemporáneo de Quito</t>
  </si>
  <si>
    <t>Monasterio de las Hermanas Agustinas</t>
  </si>
  <si>
    <t>077</t>
  </si>
  <si>
    <t xml:space="preserve">RUTA DE LOS BELENES : STA CATALINA
</t>
  </si>
  <si>
    <t>En el monasterio de Santa Catalina de Siena  conoceremos los bellos pesebres y esculturas del niño Jesús, obras religiosas de la Escuela Quiteña.  En el monasterio del Carmen Bajo se podrá observar uno de los belenes más grandes de la ciudad. Disfrutaremos de la degustación de un deliciosos helado en el museo del cacao. (Plaza Grande – Monasterio de Sta. Catalina de Siena – Monasterio Carmen Bajo – Tienda El Quinde)</t>
  </si>
  <si>
    <t>https://www.google.com/maps/d/u/0/edit?mid=1Lc1BpnHvBZajjLa_FhOO6KSrz7dA9-Y&amp;usp=sharing</t>
  </si>
  <si>
    <t>Museo Monacal de Santa Catalina de Siena</t>
  </si>
  <si>
    <t>República del Cacao</t>
  </si>
  <si>
    <t>078</t>
  </si>
  <si>
    <t xml:space="preserve">RUTA LA MARISCAL DESDE LA CIRCASIANA (PALACETES)
</t>
  </si>
  <si>
    <t>Disfrutaremos de los jardines y el interior del Palacio de la Circasciana, visitaremos al Palacio Mena, para conocer su historia. Se hablara sobre la fachada del Palacio de Najas y Parque Borja Yerovi, Castillos de la calle Roca.</t>
  </si>
  <si>
    <t>https://www.google.com/maps/d/edit?mid=1gYHfsDV8ZGW80nCp8-VrNXxny9wZFWU&amp;usp=sharing</t>
  </si>
  <si>
    <t>Palacio de la Circasiana</t>
  </si>
  <si>
    <t>Palacio Mena</t>
  </si>
  <si>
    <t>Parque Julio Andrade</t>
  </si>
  <si>
    <t>Palacio Najas</t>
  </si>
  <si>
    <t>Parque Borja Yerovi</t>
  </si>
  <si>
    <t>079</t>
  </si>
  <si>
    <t>RUTA BICENTENARIO HISTÓRICO PARA NIÑOS</t>
  </si>
  <si>
    <t xml:space="preserve">Podremos disfrutar de estación de Chimbacalle donde se ubica un busto del General Eloy Alfaro, visitaremos los Molinos Royal, cuyo origen data del siglo XX, Museo Interactivo de Ciencias donde funciono "La Industrial" fábrica de hilados y tejidos de algodón. </t>
  </si>
  <si>
    <t>https://www.google.com/maps/d/edit?mid=1sDe51LdH2uZOsYF8tRHJFBKnthwWTww&amp;usp=sharing</t>
  </si>
  <si>
    <t>Ferrocarril de Chimbacalle</t>
  </si>
  <si>
    <t>080</t>
  </si>
  <si>
    <t>RUTA BICENTENARIO EN EL YAKU PARA NIÑOS</t>
  </si>
  <si>
    <t>Visitaremos lo antiguos tanques de agua de la Ciudad de Quito y disfrutaremos de la obre de títeres abuelita Lila.</t>
  </si>
  <si>
    <t>https://www.google.com/maps/d/u/0/edit?mid=1vWEtGhe7P65WqbX3pSe67yJqluqHRlk&amp;usp=sharing</t>
  </si>
  <si>
    <t>081</t>
  </si>
  <si>
    <t>RUTA CENTRO HISTÓRICO NOCTURNO</t>
  </si>
  <si>
    <t>Visitaremos la Basílica del Voto Nacional y sus cúpulals, luego realizaremos un walking tpur en la Plaza Grande, San Francisco - Cúpulas de La Compañia</t>
  </si>
  <si>
    <t>https://www.google.com/maps/d/edit?mid=1YCG_VTUKrefYBUE7KVJMbf0tNDCgth4&amp;usp=sharing</t>
  </si>
  <si>
    <t>082</t>
  </si>
  <si>
    <t xml:space="preserve">RUTA TALLER DE COMETAS
</t>
  </si>
  <si>
    <t>Junto con personajes como el pregonero y la hierbatera conoceremos un poco de la historia del Quito antiguo y a su vez realizaremos un taller de cometas.</t>
  </si>
  <si>
    <t>https://www.google.com/maps/d/u/0/edit?mid=145_jTKCXwDFcMHz0CXGAV4sNeCUM8iE&amp;usp=sharing</t>
  </si>
  <si>
    <t>083</t>
  </si>
  <si>
    <t xml:space="preserve">RUTA SAN MARCOS 
</t>
  </si>
  <si>
    <t xml:space="preserve">Recorrido te hará conocer y entender la verdadera historia Manuela Sáenz, y su aporte 	al proceso de Independencia y a la construcción de la actual identidad ecuatoriana.
</t>
  </si>
  <si>
    <t>https://www.google.com/maps/d/u/0/edit?mid=1_mcpKqQpqYRsi5rHqhW00-E1Ux7WSbE&amp;usp=sharing</t>
  </si>
  <si>
    <t xml:space="preserve"> Casa Museo Manuela Sáenz</t>
  </si>
  <si>
    <t>Artífice coffe
Hula Cafetería - Pastelería
La 5 paila del diablo</t>
  </si>
  <si>
    <t>084</t>
  </si>
  <si>
    <t xml:space="preserve">RUTA LA GRAN MASACRE DE QUITO
</t>
  </si>
  <si>
    <t>Dentro del museo disfrutaremos de teatralizados sobre aconteciemiento del 9 y 10 de agosto de 1809, respresentación del 2 de agosto de 1810 y la degustación de un canelazo.</t>
  </si>
  <si>
    <t>https://www.google.com/maps/d/u/0/edit?mid=1bBCHY7_0P_6Y551_wl6EghIt_ZW3HOo&amp;usp=sharing</t>
  </si>
  <si>
    <t>085</t>
  </si>
  <si>
    <t>RUTA SAN MARCOS + GASTRONOMÍA</t>
  </si>
  <si>
    <t>Recorreremos este barrio tradicional donde disfrutaremos de platos y bebidas traicionales, además de conocer lugares emblemáticos de este icónico barrio.</t>
  </si>
  <si>
    <t>https://www.google.com/maps/d/u/0/edit?mid=1oxY5cC8bd65eJjpfJSyxv93bnaaouA0&amp;usp=sharing</t>
  </si>
  <si>
    <t>La 5 paila del diablo.
Coffe Catana
Bar Hula
Hotel Illa</t>
  </si>
  <si>
    <t>086</t>
  </si>
  <si>
    <t xml:space="preserve">RUTA SENSORIAL
</t>
  </si>
  <si>
    <t>Conoceremos la historia del conjunto arquitéctonico de la Plaza Grande, visitaremos la  iglesia, convento, museo, coro y torres de la Iglesia. Degustaremos chocolate en Yumbo Chocolate Urbano.</t>
  </si>
  <si>
    <t>https://www.google.com/maps/d/u/0/edit?mid=1EAACwtmjJS13s1hYj-N0V2fsovXlI3o&amp;usp=sharing</t>
  </si>
  <si>
    <t>Yumbo Chocolate Urbano</t>
  </si>
  <si>
    <t>087</t>
  </si>
  <si>
    <t xml:space="preserve">PESEBRES MONACALES I
</t>
  </si>
  <si>
    <t>Visitaremos los pesebres del: Monasterio de Santa Clara, que posee imagenes de la escuela quiteña, Museo Fray Pedro Gocial, donde observaremos los pesebres que participan en la exposicion de pesebres que se realiza cada año.</t>
  </si>
  <si>
    <t>https://www.google.com/maps/d/u/0/edit?mid=1EmPg9cGsjwS7ulvX9GLc0IViS2DimW0&amp;usp=sharing</t>
  </si>
  <si>
    <t>088</t>
  </si>
  <si>
    <t xml:space="preserve">PESEBRES MONUMENTALES I
</t>
  </si>
  <si>
    <t>Visitaremos el pesebre más grande de América ubicado en la Catedral Primada de Quito, además conceremos sobre sobre la Plaza Grande y disfrutaremos de uno de los pesebres más antiguos de Quito</t>
  </si>
  <si>
    <t>https://www.google.com/maps/d/u/0/edit?mid=11q0oAOvkbeHSlXasS8NTksPBpGZyg24&amp;usp=sharing</t>
  </si>
  <si>
    <t>089</t>
  </si>
  <si>
    <t>CIRCUITO 1. PLAZA DE SAN FRANCISCO</t>
  </si>
  <si>
    <t>Visitaremos espacios como el Mercado de San Francisco, lapalza de San Francisco (Antiguo tianguez precolombino), Iglesia de San Francisco, museo y cervecería. Degustaremos de chocolate en Yumbos chocolatería.</t>
  </si>
  <si>
    <t>0.98 KM</t>
  </si>
  <si>
    <t>https://www.google.com/maps/d/u/0/edit?mid=16Z4-uRqUTXaRCR3EMGLNlwa0NTCI7ho&amp;usp=sharing</t>
  </si>
  <si>
    <t>Yumbos Chocolatería</t>
  </si>
  <si>
    <t>090</t>
  </si>
  <si>
    <t>CIRCUITO 2. PLAZA GRANDE</t>
  </si>
  <si>
    <t>Degustaremos de dulces tradiconales como las colaciones de la Cruz Verde, en la cafetería modelo, disfrutaremos de bocaditos envueltos y chocolate en el museo del cacao, además de visitar la iglesia de La Compañia y la Plaza Grande.</t>
  </si>
  <si>
    <t>https://www.google.com/maps/d/u/0/edit?mid=14Csxasd1VjSXvD4KP4spCYki-WKX6V4&amp;usp=sharing</t>
  </si>
  <si>
    <t>Colaciones Cruz Verde
Cafetería Modelo
República del Cacao</t>
  </si>
  <si>
    <t>091</t>
  </si>
  <si>
    <t>CIRCUITO 3. PLAZA DE SANTO DOMINGO</t>
  </si>
  <si>
    <t xml:space="preserve">Visitaremos el museo Fray Pedron Bedón y su arte quiteño, heladería Dulce Placer, que rescata más de 180 sabores de nuestra tierra, la hojalatería Silva en donde observaremos como la hojaata se transforma en distintos juguetes, taller de taraceado donde ´pdremos observar la forja de diferentes muebles con esta técnica. </t>
  </si>
  <si>
    <t>0.3 KM</t>
  </si>
  <si>
    <t>https://www.google.com/maps/d/u/0/edit?mid=1-pnJR_gZN15UERRjGn3YWlSkTY87sU4&amp;usp=sharing</t>
  </si>
  <si>
    <t>Casa 925
Altamira</t>
  </si>
  <si>
    <t>092</t>
  </si>
  <si>
    <t>CIRCUITO 4. COCINA DE VANGUARDIA EN SAN MARCOS</t>
  </si>
  <si>
    <t xml:space="preserve">Podremos conocer sobre la historia de Manuela Saenz en la casa museo que lleva su nombre, seremos parte de los talleres artesanales de San Marcos,  y una clase de cocina en el Restaurante Ines. </t>
  </si>
  <si>
    <t>https://www.google.com/maps/d/u/0/edit?mid=1h4M2N4KahZ4CFLyhfUwEocJDMtbbhBo&amp;usp=sharing</t>
  </si>
  <si>
    <t>Casa 925
Talleres artesanales San Marcos
Restaurante Ines</t>
  </si>
  <si>
    <t>093</t>
  </si>
  <si>
    <t>CIRCUITO 5. CATA EN EL BARRIO SAN MARCOS</t>
  </si>
  <si>
    <t>Conoceremos la Iglesia y parque de San Marcos, donde conoceremos sobre la historia y tradición de este barrio patrimonial, visitaremos talleres artesanales y tasting room en Hula Restaurant.</t>
  </si>
  <si>
    <t>https://www.google.com/maps/d/u/0/edit?mid=1eEltaXIEvSDHGEGm6Re9KEhpj0lXNys&amp;usp=sharing</t>
  </si>
  <si>
    <t>094</t>
  </si>
  <si>
    <t>CIRCUITO 6. BASÍLICA Y EXPERIENCIA GASTRONÓMICA  "QUITEÑISIMA"</t>
  </si>
  <si>
    <t>Recorreremos las torres de la Basílica del  Voto Nacional, las cúpulas de la Iglesia de Santa Bárbara, el mercado central, degustaremos de las tradicionales "Corvinas de Gloria", el palacio del batido y porbaremos un plato exótico como es la colada de Churos.</t>
  </si>
  <si>
    <t>https://www.google.com/maps/d/u/0/edit?mid=1pvYjVFww8Q7Ib1SvXB8lT3QI2BHj3Ag&amp;usp=sharing</t>
  </si>
  <si>
    <t>Mercado Central</t>
  </si>
  <si>
    <t>"Las corvinas de Gloria"
El palacio del Batido
Colada de Churos</t>
  </si>
  <si>
    <t>095</t>
  </si>
  <si>
    <t>CIRCUITO 7. BASÍLICA  Y SABORES TRADICIONALES GOURMET</t>
  </si>
  <si>
    <t>Visitaremos la Basílica y sus torres de estilo neogótico, degustaremos y aprenderemos sobre la producción de pasta de cacao junto con Chez Tiff, en la Chacotta disfrutaremos de una copa de vino y pizza que combina las técnicas de la alta cocina con un menú típico ecuatoriano.</t>
  </si>
  <si>
    <t>1.8 KM</t>
  </si>
  <si>
    <t>https://www.google.com/maps/d/u/0/edit?mid=1U_8PK-WF0AO7UmHQax5wYmbG33eUtQs&amp;usp=sharing</t>
  </si>
  <si>
    <t>Chez Tiff
Chacotta</t>
  </si>
  <si>
    <t>096</t>
  </si>
  <si>
    <t>CIRCUITO 8. CENTRO HISTÓRICO - TEATRO BOLÍVAR</t>
  </si>
  <si>
    <t>Empezaremos nuestro recorrido con la visita a la C ruz Verde donde podremos disfrutar de golosinas tradicionales, en el Teatro Bolívar podremos conocer la histria de este edifcio patrimonial, en Sacrum Restaurant conoceremos sobre la comida ecuatoriana de vanguardia y licores. Pizza S.A. quienes elaboran su comida con productos ecuatoriane e innovacion en su uso.</t>
  </si>
  <si>
    <t>https://www.google.com/maps/d/u/0/edit?mid=1f42VkJGbxe0nJ4BFCFSgVaKIMefWVbc&amp;usp=sharing</t>
  </si>
  <si>
    <t>Teatro Bolívar</t>
  </si>
  <si>
    <t>Sacrum Restaurant 
Pizza SA.</t>
  </si>
  <si>
    <t>097</t>
  </si>
  <si>
    <t>CIRCUITO 1. IDENTIDAD CULINARIA Y CHOCOLATE</t>
  </si>
  <si>
    <t>Podrán explorar uno de los mercados tradicionales de Quito, durante 3 horas podrán disfrutar de un menú degustación en el restaurante Quitu Identidad y  junto con Paccari podremos degustar de sus deliciosos chcoaletes.</t>
  </si>
  <si>
    <t>https://www.google.com/maps/d/u/0/edit?mid=1kYPvatl4ZhuuOscTGsSNO-tRNnanqKg&amp;usp=sharing</t>
  </si>
  <si>
    <t>Mercado la Floresta</t>
  </si>
  <si>
    <t>Restaurante Quitu Identidad
Paccari casa de experiencias</t>
  </si>
  <si>
    <t>098</t>
  </si>
  <si>
    <t>CIRCUITO 1. LOS SABORES DE LA MITAD DEL MUNDO</t>
  </si>
  <si>
    <t>Visitaremos Ciudad Mitad del Mundo la plaza del cacao y cata de café Guayasamín, ademas de degustación de cerveza y disfrutaremos de un recorrido en el Museo Agave.</t>
  </si>
  <si>
    <t>7.2 KM</t>
  </si>
  <si>
    <t>https://www.google.com/maps/d/u/0/edit?mid=1X7YpwJ5Olomfa9YHOXfrK9KsJ5gbPXA&amp;usp=sharing</t>
  </si>
  <si>
    <t>Ciudad Mitad del Mundo</t>
  </si>
  <si>
    <t>Casa Agave Ecuador</t>
  </si>
  <si>
    <t>Santana Brewing Company</t>
  </si>
  <si>
    <t>099</t>
  </si>
  <si>
    <t>CIRCUITO 2. SABORES Y NATURALEZA EN LA MITAD DEL MUNDO</t>
  </si>
  <si>
    <t>Visitaremos el complejo turístico Mitad del Mundo, el cráter Pululahua,  disfrutaremos del PatioOrganic Traditional Food, Casa Agave disfrutaremos del recorrido por el Museo del Agave</t>
  </si>
  <si>
    <t>30.40 KM</t>
  </si>
  <si>
    <t>https://www.google.com/maps/d/u/0/edit?mid=1pgvi30KUqFrInUqTCFyUngi5s8UJSso&amp;usp=sharing</t>
  </si>
  <si>
    <t>Reserva Geobotánica El Pululahua</t>
  </si>
  <si>
    <t>Patio Organic Traditional Food</t>
  </si>
  <si>
    <t>100</t>
  </si>
  <si>
    <t>CIRCUITO 1. EXPLORACIÓN GASTRONÓMICA EN EL CHOCÓ</t>
  </si>
  <si>
    <t>Visitaremos Pambiliño, el cual es un bosque escuela dentro de una reserva ecológica. ofertantallere de cocina con productos cosechados en el lugar, visitaremos la comunidad de Mashpi -  Río donde  tendremos una charla de la importancia del Chocó Andino</t>
  </si>
  <si>
    <t>200.00 KM</t>
  </si>
  <si>
    <t>MEDIA -ALTA</t>
  </si>
  <si>
    <t>https://www.google.com/maps/d/u/0/edit?mid=1plPZxoU9YkjhXEcxv0b4WcHQ71MaTNE&amp;usp=sharing</t>
  </si>
  <si>
    <t>Pambiliño Bosque escuela.</t>
  </si>
  <si>
    <t>San José de Mashpi</t>
  </si>
  <si>
    <t>101</t>
  </si>
  <si>
    <t>CIRCUITO 2. EL SABOR DEL CHOCOLATE DEL CHOCÓ</t>
  </si>
  <si>
    <t>Empezaremos la ruta con Mashpi Shungo para conocer sobre sus sistemas regenerativos de agricultura   orgánica, además de visitar la comunidad de San jospe de Mashpi</t>
  </si>
  <si>
    <t>200 KM</t>
  </si>
  <si>
    <t>https://www.google.com/maps/d/u/0/edit?mid=1-IV_2ZUDtfWB9YmA-ZFMS5xL3ZHVX6w&amp;usp=sharing</t>
  </si>
  <si>
    <t>Mashpi Shungo</t>
  </si>
  <si>
    <t>102</t>
  </si>
  <si>
    <t>CIRCUITO 3. ARQUEOLOGÍA Y EL CAFÉ DEL  CHOCÓ</t>
  </si>
  <si>
    <t>Recorreremos el museo de Sitio Tulipe y participaremoss del tour del "Café con leche" en la Finca Rumisitana</t>
  </si>
  <si>
    <t>120 KM</t>
  </si>
  <si>
    <t>https://www.google.com/maps/d/u/0/edit?mid=18e1LXNLJpAXlal_i_7y0E5ocfn_agso&amp;usp=sharing</t>
  </si>
  <si>
    <t>Complejo Arqueológico Tulipe</t>
  </si>
  <si>
    <t>Finca Rumisitana</t>
  </si>
  <si>
    <t>103</t>
  </si>
  <si>
    <t>CIRCUITO 4. NATURALEZA, COMUNIDAD Y SABORES TRADICIONALES</t>
  </si>
  <si>
    <t>Podremos visitar el cráter en  la Reserva Geobotánica del Pululahua,  visitaremos la comunidad de Yunguilla,  recorreremos el sendero Guantopungo - Pelagallo y realizaremos visitasa los talleres artesanales.</t>
  </si>
  <si>
    <t>80 KM</t>
  </si>
  <si>
    <t>https://www.google.com/maps/d/u/0/edit?mid=1MndQId4_id-6nH0Tws3J9yMvxt3Er2U&amp;usp=sharing</t>
  </si>
  <si>
    <t>104</t>
  </si>
  <si>
    <t>CIRCUITO 1. NATURALEZA, CULTURA Y GASTRONOMÍA ENE LA RUTA ESCONDIDA</t>
  </si>
  <si>
    <t>Empezaremos nuestro recorrido con la visita al Cerro de la Luz, desgustaremos de helados de paila "Crema y queso", conoceremos la antigua Igkesia de Nuestra Madre de los  Dolores y la nueva Iglesia de San Pedro  creada en el año de 1929, disfrutaremos del delicioso almuerzo en el Rincón Puellareño, mientras que en Perucho podresmos disfrutar de la Iglesia de Perucho y entrada al museo de la parroquia, visitaremos la Finca de Mandarinas y la Fabrica Luis Alfredo.</t>
  </si>
  <si>
    <t xml:space="preserve">60.00 KM </t>
  </si>
  <si>
    <t>https://www.google.com/maps/d/u/0/edit?mid=1nBuUC1kwF9Zzyr6sqWzPMJzyK-T-7lo&amp;usp=sharing</t>
  </si>
  <si>
    <t xml:space="preserve">Mirador Cerro de la Luz </t>
  </si>
  <si>
    <t>Museo de Perucho</t>
  </si>
  <si>
    <t>Iglesia y Parque Central de Perucho</t>
  </si>
  <si>
    <t>Helados de paila "Crema y Queso"
Rincón Puellareño
Finca de Mandarina
Fabrica Luis Alfredo</t>
  </si>
  <si>
    <t>105</t>
  </si>
  <si>
    <t>CIRCUITO 1. EXPERIENCIA GASTRONÓMICA CERCA DEL AEREOPUERTO</t>
  </si>
  <si>
    <t>Visitaremos el viñedo Chaupi Estancia para una degustación de vinos y el Restaurante La Cúpulas de El Rincón de Puembo dondes podremos preparar menús creativos de la cocina ecuatoriana.</t>
  </si>
  <si>
    <t xml:space="preserve">30.40 KM </t>
  </si>
  <si>
    <t>106</t>
  </si>
  <si>
    <t>Circuito 1. Aventura y gastronomía</t>
  </si>
  <si>
    <t>Recorreremos el tramo antiguo del ferrocarril en el chaquiñan Cumbaya - Puembo, visitaremos el viñedo Chaupi Estancia para una degustación de vinos y el Restaurante La Cúpulas de El Rincón de Puembo dondes podremos preparar menús creativos de la cocina ecuatoriana.</t>
  </si>
  <si>
    <t>30 KM</t>
  </si>
  <si>
    <t>https://www.google.com/maps/d/u/0/edit?mid=1qfsCxd7njivEZVokobBAKNmjd90PgSw&amp;usp=sharing</t>
  </si>
  <si>
    <t xml:space="preserve">Viñedo Chaupi Estancia
Restaurante Las Cúpulas de El Rincón de Puembo
</t>
  </si>
  <si>
    <t>107</t>
  </si>
  <si>
    <t>RUTA QUITO DESDE SUS CÚPULAS Y TORRES II</t>
  </si>
  <si>
    <t>Visitaremos las torres de la Iglesia Basílica del Voto Nacional, plaza de Santa Bárbara y su cúpula, Plaza Grande,  Cúpulas de la iglesia de La Compañia.</t>
  </si>
  <si>
    <t>https://www.google.com/maps/d/u/0/edit?mid=1MqaBfQaWtcRmcc5msN2ZLBWGTXSl098&amp;usp=sharing</t>
  </si>
  <si>
    <t>108</t>
  </si>
  <si>
    <t>RUTA ARCO DE LA CIRCASIANA</t>
  </si>
  <si>
    <t>Visitaremos el Arco de l Circasiana hasta el Patio de Comedias y la casa Bnejamín Carrión, explicación de la fachada de la Iglesia de Santa Teresita.</t>
  </si>
  <si>
    <t>https://www.google.com/maps/d/u/0/edit?mid=19tobS5s9VWRRAY6jlkh-6AM7aQ5OCYc&amp;usp=sharing</t>
  </si>
  <si>
    <t>Hotel City Art.
Café Galería</t>
  </si>
  <si>
    <t>109</t>
  </si>
  <si>
    <t>RUTA LA MARISCAL PHOTO WALK</t>
  </si>
  <si>
    <t>Ingresaremos al Palacio de la Circasiana  donde visitareos los jardines interiores del Palaci y descubriremos sus esculturas y arquitectura, recorreremos el parque Julio Andrade y los exteriores del Palacio de Najas. Conoceremos sobre la plaza Borja Yerovi, la arquitectura de la iglesia de Santa Teresita, los castillos de la calle Roca, el pacio de la  Alhambra, la casa de Galo Plaza Lasso, la antigua ciudadela Simón Bolívar.</t>
  </si>
  <si>
    <t>1.34 KM</t>
  </si>
  <si>
    <t>https://www.google.com/maps/d/u/0/edit?mid=1eNpOlsc0HbiiTjCgBnUrKGNc5QK-5nM&amp;usp=sharing</t>
  </si>
  <si>
    <t>110</t>
  </si>
  <si>
    <t>RUTA PESEBRE NAVIDEÑOS</t>
  </si>
  <si>
    <t>Visitaremos los túneles del convnto del Carmen Bajo e ingresaremos a admirar el pesebre más antiguo de Quito de las hermanas Carmelitas. Degustaremos en la Tienda El Quinde de los deliciosos chocolates de Paccari, durante el tiempo de Navidad, el convento de San Francisco recuerda el primer pesebre que realizó San Francisco de Asis, durante estos dpias se expondrán alrededor de 100 pesebrese, cada diciembre en el Carmen Alto se expone el Belén que comprende cientos de esculturas de los siglos XVII al XX.</t>
  </si>
  <si>
    <t>https://www.google.com/maps/d/u/0/edit?mid=14AGO-unpq9d8gfoz6VNdcyoJhMfSOjU&amp;usp=sharing</t>
  </si>
  <si>
    <t>111</t>
  </si>
  <si>
    <t>RUTA RESERVA PAHUMA - SENDERISMO</t>
  </si>
  <si>
    <t>Visitaremos el Mirador Ventanillas del Cráter del Pululahua, iremos hacia la  cafetería Armadillos dondedisfrutaremos de un desayuno con productos de la zona, conoceremos la Reserva Pahuma donde podremos realizar senderismo y observación de aves; además podremos visitar el jardín de las orquídeas</t>
  </si>
  <si>
    <t>https://www.google.com/maps/d/u/0/edit?mid=1pk2wH4KtyP507AKnje4xyTjoW8whHcM&amp;usp=sharing</t>
  </si>
  <si>
    <t>Reserva Orquideologica El Pahuma</t>
  </si>
  <si>
    <t xml:space="preserve"> </t>
  </si>
  <si>
    <t>Cafetería Armadillos</t>
  </si>
  <si>
    <t>112</t>
  </si>
  <si>
    <t>RUTA LA PASIÓN EN QUITO</t>
  </si>
  <si>
    <t>Comenzaremos en la plaza de Santo Domingo, donde se darán las indicaciones generales  para el inicio de las procesiones en el mundo y su historia en Quito, visitaremos el Templo de San Agustín símbolos de la pasión y su significado, recorreremos el Templo de La Merced, la crucifixión y personajes de la Pasión, terminaremos en el Templo de San Francisco se hablará de la Procesión de Jesús del Gran Poder.</t>
  </si>
  <si>
    <t>3 KM</t>
  </si>
  <si>
    <t>https://www.google.com/maps/d/u/0/edit?mid=10BozKiROPypV2uFcE0J6kZFZEsKTYHM&amp;usp=sharing</t>
  </si>
  <si>
    <t>Iglesia de la Merced</t>
  </si>
  <si>
    <t>113</t>
  </si>
  <si>
    <t>RUTA MIC - CHIMBACALLE</t>
  </si>
  <si>
    <t>https://www.google.com/maps/d/u/0/edit?mid=1QJ1SrlpF9GWEVAG0gzVY2G07fjiZjMg&amp;usp=sharing</t>
  </si>
  <si>
    <t>114</t>
  </si>
  <si>
    <t>RUTA DE QUITO CON NIÑOS I</t>
  </si>
  <si>
    <t>Iniciaremos el recorrido desde Yaku Parque Museo del Agua donde los niños y niñas prodrán interactuar con los elementos a su alrededor y aprender sobre el agua y su cuidado, continuaremos al Museo de Fray Pedro Gocial, donde podrán visitar las torres, el museo de la Ciudad será la próxima parada con actividades especiales.</t>
  </si>
  <si>
    <t>https://www.google.com/maps/d/u/0/edit?mid=1oXnjp2KtU0GBbWE-hOrW3ARNzrWHS5Q&amp;usp=sharing</t>
  </si>
  <si>
    <t xml:space="preserve"> Yaku Parque Museo del Agua</t>
  </si>
  <si>
    <t xml:space="preserve">Chez Tiff
</t>
  </si>
  <si>
    <t>115</t>
  </si>
  <si>
    <t>RUTA DE QUITO CON NIÑOS II</t>
  </si>
  <si>
    <t>El recorrido iniciará en la Calle de La Ronda, donde se realizarán juegos tradicionales, a continuación se visitará el Museo de la Ciudad donde se realizarán actividades lúdicas, en el Museo Alberto Mena Caamaño se podráconocer acerca de la historia de la ciudad y personajes quiteños elaborados con cera, disfrutaremos de la vista de la ciudad quiteña desde las cúpuls de la Catedral Metropolitana de Quito.</t>
  </si>
  <si>
    <t>https://www.google.com/maps/d/u/0/edit?mid=1QzjvU06PeaTcVcuNpWEroaEi2TPO6j4&amp;usp=sharing</t>
  </si>
  <si>
    <t>Museo Alberto Mena Caamaño</t>
  </si>
  <si>
    <t>Casa 925
Heladería San Agustín</t>
  </si>
  <si>
    <t>116</t>
  </si>
  <si>
    <t>RUTA QUITO CIUDAD ACCESIBLE I</t>
  </si>
  <si>
    <t>La ruta permite recorrer distintos atractivos del centro histórico, la ruta empieza desde el Museo Casa del Alabado donde se hablará de las culturas pre colombinas.  Se dará paso a la plaza de San Francisco para conversar sobr esu importancia y sobre el templo que le da su nombre, conoceremos sobre la facahda esculpida en piedra colcánica de la Iglesia de La Compañia de Jesús, en la plaza grande ademiraremos el monumento de la Independencia para finalizar disfrutaremos de un delicioso chocolate en República del  cacao. (Ruta para personas con discapacidad, movilidad reducida)</t>
  </si>
  <si>
    <t>https://www.google.com/maps/d/u/0/edit?mid=1Aju6N4vrC4RypdIxIq7ZxeJIDP_jOpo&amp;usp=sharing</t>
  </si>
  <si>
    <t>Museo Casa del Alabado</t>
  </si>
  <si>
    <t>117</t>
  </si>
  <si>
    <t>RUTA QUITO CIUDAD ACCESIBLE II</t>
  </si>
  <si>
    <t>El recorrido iniciará en la plaza de las Conceptas donde se dialogará sobre la urbe quiteña y sus plazas, en la plaza Grande, conoceremos sobre la historía de sus monumentos y edificaciones el piso podo táctil permite de mejor el traslado por la calle de las siete cruces, dentro del Museo Numismático del Banco Cenral se puede palpar artefatos de antaño y de los cuales se pueden dialogar sobre su importancia, en república del cacao se podra vivir una experiencia con base los sentidos al degustar del más fino chocolate y para finzalizar enla Heladería de San Agustín junto con la experiencia de los sentids en la elaboración de los helados de paila.</t>
  </si>
  <si>
    <t>https://www.google.com/maps/d/u/0/edit?mid=1YVsoN6sodWpi2FU7l3A_HcF9bp4ad5w&amp;usp=sharing</t>
  </si>
  <si>
    <t>República del Cacao
Heladería San Agustín</t>
  </si>
  <si>
    <t>118</t>
  </si>
  <si>
    <t>RUTA PESEBRES MONACALAS II</t>
  </si>
  <si>
    <t>Disfrute de la temporada navideña, visitando el pesebre elaborado en este museo, aquí 	podrá conocer sobre este especial lugar, que fue la casa de Santa Marianita de Jesús, la 	primera Santa quiteña</t>
  </si>
  <si>
    <t>https://www.google.com/maps/d/u/0/edit?mid=12tmlDvyaDh62cVO3bx7XnBL8g2RMJFo&amp;usp=sharing</t>
  </si>
  <si>
    <t>MONASTERIO SANTA CLARA</t>
  </si>
  <si>
    <t>119</t>
  </si>
  <si>
    <t xml:space="preserve">RUTA Press Trip Guayasamin &amp; experiencia gastrocultural
</t>
  </si>
  <si>
    <t xml:space="preserve">Explicación del espacio y la importancia de Oswaldo Guayasamin </t>
  </si>
  <si>
    <t>https://www.google.com/maps/d/u/0/edit?mid=1kPuI3J0qqxx1KKs8XQ3XKjIVrf6hWQo&amp;usp=sharing</t>
  </si>
  <si>
    <t>CAPILLA DEL HOMBRE</t>
  </si>
  <si>
    <t>MUSEO INTIÑAN</t>
  </si>
  <si>
    <t>120</t>
  </si>
  <si>
    <t>RUTA FRANCESA DE QUITO - LA CONDAMINE</t>
  </si>
  <si>
    <t>Recorremos importantes espacios donde abracaremos temas como arquitectura, historia, peronajes celebres y recorreremos  desde La Alameda hasta el Centro Histórico</t>
  </si>
  <si>
    <t>1.73 KM</t>
  </si>
  <si>
    <t>https://www.google.com/maps/d/u/0/edit?mid=1U2kCEFC9xNE24km9nq7vnStduo2kUG0&amp;usp=sharing</t>
  </si>
  <si>
    <t>Museo del Pasillo</t>
  </si>
  <si>
    <t>121</t>
  </si>
  <si>
    <t xml:space="preserve">RUTA VIVE LA HISTORIA DEL CARNAVAL EN QUITO </t>
  </si>
  <si>
    <t>Recorreremos la famosa calle de las siete cruces y donde conoceremos sobre el Mushik Nina Pawkar Raymi</t>
  </si>
  <si>
    <t>https://www.google.com/maps/d/u/0/edit?mid=17qmwk8_KAGTQPaxBimnmTGZFayt-LBs&amp;usp=sharing</t>
  </si>
  <si>
    <t xml:space="preserve">Iglesia del Sagrario </t>
  </si>
  <si>
    <t>Iglesia de la Compañia</t>
  </si>
  <si>
    <t>Museo Casa de Sucre</t>
  </si>
  <si>
    <t>La Ronda</t>
  </si>
  <si>
    <t>122</t>
  </si>
  <si>
    <t xml:space="preserve">RUTA MUJERES EN LA HISTORIA </t>
  </si>
  <si>
    <t>Conoceremos historias de mujeres fuertes que han tracendido en la historia, recorreremos las casas que las habitaro en un maravilloso recorrido teatralizado.</t>
  </si>
  <si>
    <t>1KM</t>
  </si>
  <si>
    <t>https://www.google.com/maps/d/u/0/edit?mid=1oHeYusB3olS6Oe8IvugHCRKtzFDmf_A&amp;usp=sharing</t>
  </si>
  <si>
    <t>Iglesia del Sagrario</t>
  </si>
  <si>
    <t>Museo Casa María Augusta Urrutia</t>
  </si>
  <si>
    <t>123</t>
  </si>
  <si>
    <t>RUTA RITO DE SEMANA SANTA</t>
  </si>
  <si>
    <t>Mediante un recorrido teatralizado conoceremos sobre los ritos que prevalecen en la semana santa.</t>
  </si>
  <si>
    <t>https://www.google.com/maps/d/u/0/edit?mid=12dGZ2sZ1PX0v4aegrWuqB1YBUs39xtw&amp;usp=sharing</t>
  </si>
  <si>
    <t>Iglesia de San Agustín</t>
  </si>
  <si>
    <t>Catedral Metropolitana</t>
  </si>
  <si>
    <t>124</t>
  </si>
  <si>
    <t>RUTA HISTORIA,CULTURA Y GASTRONOMÍA EN LA MARISCAL</t>
  </si>
  <si>
    <t>Conoceremos sobre la historia de la Iglesia de Santa Teresita y de aquellos personajes que habitan su cementerio, recorreremos las distintas plazas que adornan La Mariscal.</t>
  </si>
  <si>
    <t>https://www.google.com/maps/d/u/0/edit?mid=1W11ywBy5w6Aa7iFfmY3pCaNelJeu8Q8&amp;usp=sharing</t>
  </si>
  <si>
    <t xml:space="preserve">Iglesia de Santa Teresita </t>
  </si>
  <si>
    <t>Plaza Borja Yerovi</t>
  </si>
  <si>
    <t>Plaza General Julio Andrade</t>
  </si>
  <si>
    <t>Mercado de Santa Clara</t>
  </si>
  <si>
    <t>125</t>
  </si>
  <si>
    <t>Visita la Comuna Llano Grande, donde podremos disfrutar de experiencia como taller artesanal, aprenderemos sobre la elaboración de la Chicha Jora entre otros.</t>
  </si>
  <si>
    <t>7.40 KM</t>
  </si>
  <si>
    <t>https://www.google.com/maps/d/u/0/edit?mid=1aeFvgDHfCLxXyFRo3nCXDRF_N1hf-uY&amp;usp=sharing</t>
  </si>
  <si>
    <t>Kitu Samay Wasi</t>
  </si>
  <si>
    <t>ArteEucalipto</t>
  </si>
  <si>
    <t>Alli Allpa</t>
  </si>
  <si>
    <t>Nari Cosmética</t>
  </si>
  <si>
    <t>Sara Sisa</t>
  </si>
  <si>
    <t>Huerto Allpa Mishki</t>
  </si>
  <si>
    <t>126</t>
  </si>
  <si>
    <t>RUTA DE LOS SABERES Y SABORES ANCESTRALES</t>
  </si>
  <si>
    <t>En conmemoración del Inti Raymi, conoce sobre las tradiciones que prevalecen en Yaruquí.</t>
  </si>
  <si>
    <t>19.5 KM</t>
  </si>
  <si>
    <t>https://www.google.com/maps/d/u/0/edit?mid=1QrETmE7OAdkrByDAVhgH3j9AXN9mnJI&amp;usp=sharing</t>
  </si>
  <si>
    <t>Casa de las Orquídeas</t>
  </si>
  <si>
    <t>Iglesia de Yaruquí</t>
  </si>
  <si>
    <t>Centro Ecocultural Ñukanchi Yuyay</t>
  </si>
  <si>
    <t>127</t>
  </si>
  <si>
    <t>Ruta DESCUBRE ALANGASÍ: UN DPIAS DE CULTURA Y NATURALEZA</t>
  </si>
  <si>
    <t>Descubre los paisajes más hermosos que adornan Alangasí, se parte de la experiencia de elaboración de artesanías en toctes y conoce sobre la apasionante vida de los anfibios.</t>
  </si>
  <si>
    <t>24 KM</t>
  </si>
  <si>
    <t>https://www.google.com/maps/d/u/0/edit?mid=1tpZUgCd3L1Sa8_i8hcSOySi8miY6ka0&amp;usp=sharing</t>
  </si>
  <si>
    <t>Parque Central de Alangasí</t>
  </si>
  <si>
    <t>Santuario de Schoenstatt</t>
  </si>
  <si>
    <t>Wikiri Sapo Parque</t>
  </si>
  <si>
    <t>128</t>
  </si>
  <si>
    <t>EXPERIENCIA RURAL EN PINTAG: PÁRAMO ANDINO</t>
  </si>
  <si>
    <t>Recorreremos senderos llenos de diversidad de flora y fauna, podremos observar Cóndodres del la Reserva Chakana y disfrutaremos de su delicosa gastronomía.</t>
  </si>
  <si>
    <t>36.8 KM</t>
  </si>
  <si>
    <t>https://www.google.com/maps/d/u/0/edit?mid=1xyF9LnvD6Fs6ZkR6ciBcaE4gkiVu63I&amp;usp=sharing</t>
  </si>
  <si>
    <t>Parque Central de Píntag</t>
  </si>
  <si>
    <t>Parque Nacional Antisana</t>
  </si>
  <si>
    <t>Reserva Chakana</t>
  </si>
  <si>
    <t>129</t>
  </si>
  <si>
    <t>EXPERIENCIA RURAL EN NANEGAL: SANTA LUCÍA BOSQUE NUBLADO</t>
  </si>
  <si>
    <t>Esta experiencia te permitirá conocer y disfrutar de la flora y fauna del bosque nublado, durante una caminata.</t>
  </si>
  <si>
    <t>33.5 KM</t>
  </si>
  <si>
    <t>https://www.google.com/maps/d/u/0/edit?mid=11lilk-IJbnHP_WxCIodAsBWu3zfZqaA&amp;usp=sharing</t>
  </si>
  <si>
    <t>Reseva Santa Lucía</t>
  </si>
  <si>
    <t>130</t>
  </si>
  <si>
    <t>EXPERIENCIA URBANA SAN MARCOS: PATRIMONIAL Y CULTURAS</t>
  </si>
  <si>
    <t>Conoceremos la historia de este barrio tradicional del casco colonial y conoceremos sobre las edificaciones que habitan allí, vivieremos experiencias gastronómicas y culturales.</t>
  </si>
  <si>
    <t>https://www.google.com/maps/d/u/0/edit?mid=155mu_oDxILeMwFfcI2rl1hACMKJIewU&amp;usp=sharing</t>
  </si>
  <si>
    <t>Atelier Virgen de La Merced</t>
  </si>
  <si>
    <t>Iglesia de Santa Catalina</t>
  </si>
  <si>
    <t>Leña Quiteña</t>
  </si>
  <si>
    <t>131</t>
  </si>
  <si>
    <t>EXPERIENCIA URBANA: ARQUEOLOGÍA</t>
  </si>
  <si>
    <t>Un día dedicado a recorrer las historia de los primero habitante de Quito y ser un arqueólogo por un día.</t>
  </si>
  <si>
    <t>6. 17 KM</t>
  </si>
  <si>
    <t>https://www.google.com/maps/d/u/0/edit?mid=1ofrSppfPe_cU2zHPCeWVcEuV3KOL67k&amp;usp=sharing</t>
  </si>
  <si>
    <t>Museo deo Sitio de la Florida</t>
  </si>
  <si>
    <t>Mercado Santa Clara</t>
  </si>
  <si>
    <t>132</t>
  </si>
  <si>
    <t>EXPERIENCIA RURAL: OBSERVACIÓN DE AVES</t>
  </si>
  <si>
    <t>Recorreremos la reserva Amagusa, donde recorreremos el bosque nublado y podremos observar una diversidad de aves propias del lugar.</t>
  </si>
  <si>
    <t xml:space="preserve">53 KM </t>
  </si>
  <si>
    <t>https://www.google.com/maps/d/u/0/edit?mid=1JLmV6Iin6-BR1pIn8CyrpbKwckv_cNI&amp;usp=sharing</t>
  </si>
  <si>
    <t>Resrva Amagusa</t>
  </si>
  <si>
    <t>133</t>
  </si>
  <si>
    <t>EXPERIENCIA RURAL: TREKKING PAHUMA</t>
  </si>
  <si>
    <t xml:space="preserve">Realizareamos una caminata a través del bosque nublado, ascendiendo 	por un trayecto con una inclinación de 45º. Se estima que el 	recorrido tomará 1 hora y 30 minutos. A tu regreso, podrás 	disfrutar de las refrescantes aguas de las cascadas Gallo de la 	Peña y Pacay.
</t>
  </si>
  <si>
    <t>24.6 KM</t>
  </si>
  <si>
    <t>https://www.google.com/maps/d/u/0/edit?mid=1yExnebMTvRZXQr4S5GC2k8wKeVrXTUQ&amp;usp=sharing</t>
  </si>
  <si>
    <t>Reserva Pahuma</t>
  </si>
  <si>
    <t>Restaurante Los Armadillos</t>
  </si>
  <si>
    <t>134</t>
  </si>
  <si>
    <t>EXPERIENCIA URBANA: QUITO PATRIMONIAL</t>
  </si>
  <si>
    <t xml:space="preserve">Este recorrido esta dedicado a conocer sobre los ritos funerario de las culturas precolombinas. </t>
  </si>
  <si>
    <t>https://www.google.com/maps/d/u/0/edit?mid=1u-8mCKliVWF7U9-iX4_jM_8Su3bskLg&amp;usp=sharing</t>
  </si>
  <si>
    <t>Mercado San Francisco</t>
  </si>
  <si>
    <t>135</t>
  </si>
  <si>
    <t>EXPERIENCIA RURAL: AMAGUSA - TULIPE</t>
  </si>
  <si>
    <t>Visitaremos la reserva amagusa donde podremos disfrutar de las aguas mágicas de la casacada y después recorremos el Museo de Sitio Tulipe</t>
  </si>
  <si>
    <t>53 KM</t>
  </si>
  <si>
    <t>https://www.google.com/maps/d/u/1/edit?mid=1E_gmrIxQew3bMuXCX0AizcI6wozIJKQ&amp;usp=sharing</t>
  </si>
  <si>
    <t>Reserva Amagusa</t>
  </si>
  <si>
    <t>136</t>
  </si>
  <si>
    <t>RUTA PRESS TRIP "CENTRO DEL MUNDO"</t>
  </si>
  <si>
    <t>Explora la ruta Templo del Sol – Pintor Cristóbal Ortega, donde descubrirás templos majestuosos y obras del maestro Cristóbal Ortega. Disfruta de la gastronomía orgánica en Calacalí, visita el monumento a la Línea Equinoccial y aprende sobre la cultura del Agave.</t>
  </si>
  <si>
    <t xml:space="preserve">16.9 KM </t>
  </si>
  <si>
    <t>https://www.google.com/maps/d/u/1/edit?mid=1ujfdIFH1VSEB2I4BEmF8XpCORglQ0ks&amp;usp=sharing</t>
  </si>
  <si>
    <t xml:space="preserve">Templo del Sol </t>
  </si>
  <si>
    <t>Monumento Mitad del Mundo</t>
  </si>
  <si>
    <t>El Patio Organic Food</t>
  </si>
  <si>
    <t>137</t>
  </si>
  <si>
    <t xml:space="preserve">RUTA SABORES Y TRADICIONES DE LOS MERCADOS DE QUITO </t>
  </si>
  <si>
    <t>Recorremos distintos mercados tradicionales de Quito y degustaremos y sus productos estrellas.</t>
  </si>
  <si>
    <t>6.39 KM</t>
  </si>
  <si>
    <t>https://www.google.com/maps/d/u/0/edit?mid=17iKXfrA-9q6MOagARf8iK98e1IvrqBE&amp;usp=sharing</t>
  </si>
  <si>
    <t>Mercado La Carolina</t>
  </si>
  <si>
    <t>138</t>
  </si>
  <si>
    <t>RUTA PRESS TRIP LA MARISCAL - LA FLORESTA</t>
  </si>
  <si>
    <t>Conoceremos diversos lugares que mantiene viva la historia de estos barrios llenos de historia y disfrutaremos de experiencias gastronómicas.</t>
  </si>
  <si>
    <t>1.50 KM</t>
  </si>
  <si>
    <t>https://www.google.com/maps/d/u/0/edit?mid=1oWZqSNCg0ufovZSDwDdfZ3yCD944CY0&amp;usp=sharing</t>
  </si>
  <si>
    <t xml:space="preserve">MANLA - Museo de Arte Naif Latinoamericano </t>
  </si>
  <si>
    <t>Galeria Kingman</t>
  </si>
  <si>
    <t xml:space="preserve">Pimkay Boutique Cafetería </t>
  </si>
  <si>
    <t>Museo Plutarco Naranjo</t>
  </si>
  <si>
    <t>La Vermutería</t>
  </si>
  <si>
    <t>Restaurante El Pulpo</t>
  </si>
  <si>
    <t>139</t>
  </si>
  <si>
    <t xml:space="preserve">RUTA PRESS TRIP CONGRESO EUCARÍSTICO </t>
  </si>
  <si>
    <t>Este recorrido busca dar a conocer  al DMQ y sus atractivos.</t>
  </si>
  <si>
    <t xml:space="preserve">26.7 KM </t>
  </si>
  <si>
    <t>https://www.google.com/maps/d/u/0/edit?mid=19lcn1cREOVktcE9wyb-IJpBFCEzDaSY&amp;usp=sharing</t>
  </si>
  <si>
    <t>Mirador Ventanillas de Pululahua</t>
  </si>
  <si>
    <t xml:space="preserve">Museo Intiñan </t>
  </si>
  <si>
    <t xml:space="preserve">Iglesia de la Compañia de Jesús </t>
  </si>
  <si>
    <t xml:space="preserve">Museo Fray Pedro Gocial </t>
  </si>
  <si>
    <t xml:space="preserve">San Ignacio </t>
  </si>
  <si>
    <t>RUTA RUMBO AL PICHINCHA</t>
  </si>
  <si>
    <t xml:space="preserve">Inicio de caminata hacia el Rucu Pichincha
Es un sendero que inicia a 4050 m.s.n.m, la caminata                   de aventura hacia la cumbre del viejo Pichincha, explicación de flora y fauna del páramo. Descansos paulatinos.
</t>
  </si>
  <si>
    <t>5 KM</t>
  </si>
  <si>
    <t>https://www.google.com/maps/d/u/0/edit?mid=12Tes_FQcRZsoBxvcZEhZip6nB8Y5QuM&amp;usp=sharing</t>
  </si>
  <si>
    <t>Teleférico</t>
  </si>
  <si>
    <t>Ruco Pichincha</t>
  </si>
  <si>
    <t>CARNAVAL VIVO: TRADICIÓN SIN AGUA DIVERSIÓN SIN LIMITE</t>
  </si>
  <si>
    <t>Historias y tradiciones con respecto al carnaval y el juego con agua.</t>
  </si>
  <si>
    <t>https://www.google.com/maps/d/u/0/edit?mid=1ZyaPNavnp99UFNynQ2FsSNmSYola2Fk&amp;usp=sharing</t>
  </si>
  <si>
    <t xml:space="preserve">Museo casa de Sucre </t>
  </si>
  <si>
    <t>SABORES Y TRADICIONES DE LOS MERCADOS DE QUITO</t>
  </si>
  <si>
    <t xml:space="preserve">Experiencia de sanación con las hierbateras 
Degustación de agua medicinal y espumilla
</t>
  </si>
  <si>
    <t>6.24 KM</t>
  </si>
  <si>
    <t>https://www.google.com/maps/d/u/0/edit?mid=1mdeOkHCRM9bNuZowlkc3XHcAcWabWv0&amp;usp=sharing</t>
  </si>
  <si>
    <t xml:space="preserve">CARNAVAL DE RITMOS Y TRADICIONES EN LA MARISCAL
</t>
  </si>
  <si>
    <t xml:space="preserve">Narración de historias y tradiciones de Carnaval en las calles Washington- Club Pichincha; Calle Robles – Iglesia de Santa Teresita; Calle Amazonas: La Favorita y el tontódromo, calle Roca – casa de Rafael Vinci
</t>
  </si>
  <si>
    <t>https://www.google.com/maps/d/u/0/edit?mid=17VMwP6RF-M13x37DMhoWPqoJFEYZRUY&amp;usp=sharing</t>
  </si>
  <si>
    <t>Iglesia Santa Teresita</t>
  </si>
  <si>
    <t>LA RUTA DE LOS SENTIDOS: FANESCA E HISTORIA</t>
  </si>
  <si>
    <t>La ruta se enfocó en el Valle Equinoccial y Calacalí, mezclando arqueología, cultura y gastronomía. Los participantes visitaron el Pucará de Rumicucho, el Templo del Sol, y disfrutaron de una experiencia gastronómica orgánica.</t>
  </si>
  <si>
    <t xml:space="preserve">16.3 KM </t>
  </si>
  <si>
    <t>https://www.google.com/maps/d/u/0/edit?mid=1jFurrNXxCfBNRn0-lX4lEGFA_KqFHK0&amp;usp=sharing</t>
  </si>
  <si>
    <t>Pucará de Rumicucho</t>
  </si>
  <si>
    <t>Templo del Sol</t>
  </si>
  <si>
    <t>Museo Carlota Jaramillo</t>
  </si>
  <si>
    <t>Primer monumento a la Linea Equinoccial</t>
  </si>
  <si>
    <t>La antigua pileta de la Plaza San Francisco</t>
  </si>
  <si>
    <t>El Patio Organic Traditional Food</t>
  </si>
  <si>
    <t>VIVE LA MARISCAL SCOOTER TOUR</t>
  </si>
  <si>
    <t>Recorrido por La Mariscal en scooters eléctricos, combinando cultura, historia, arte y gastronomía. Los participantes visitaron el Quito Jazz Club, murales, arquitectura destacada y disfrutaron de una cata de chocolate ecuatoriano.</t>
  </si>
  <si>
    <t>1.60 KM</t>
  </si>
  <si>
    <t>https://www.google.com/maps/d/u/0/edit?mid=1dzIo_ZKmIlQIHHwPkgrz3qKh4Pdukcc&amp;usp=sharing</t>
  </si>
  <si>
    <t>Quito Jazz Club</t>
  </si>
  <si>
    <t>Orquesta Sinfónica Nacional</t>
  </si>
  <si>
    <t>Mural Grito de la Memoria</t>
  </si>
  <si>
    <t>Villa Humberto</t>
  </si>
  <si>
    <t>Paseo Vinci</t>
  </si>
  <si>
    <t>Casa SIlberstein</t>
  </si>
  <si>
    <t>Museo Manla</t>
  </si>
  <si>
    <t>Qinti Coffee / Cacao &amp; cacao</t>
  </si>
  <si>
    <t>EXPERIENCIA RUAL: YUNGUILLA CULUNCOS</t>
  </si>
  <si>
    <t>Vive una jornada inolvidable en la comunidad de Yunguilla, explorando senderos ancestrales, biodiversidad del Chocó Andino y talleres de producción local. Una conexión auténtica con la naturaleza, la cultura y la vida comunitaria</t>
  </si>
  <si>
    <t>10,1</t>
  </si>
  <si>
    <t>23.2 KM</t>
  </si>
  <si>
    <t>https://www.google.com/maps/d/u/0/edit?mid=1THTEq0b8QBKE50BbILPAgcC8gD_C_rY&amp;usp=sharing</t>
  </si>
  <si>
    <t>RUTA TURISTICA: BARRIO CHIMBACALLE</t>
  </si>
  <si>
    <t>Recorre uno de los barrios más tradicionales de Quito y descubre su legado industrial, cultural y religioso. Desde la historia textil en el Museo Interactivo de Ciencias hasta la emblemática estación de ferrocarril y el sabor auténtico del mercado local</t>
  </si>
  <si>
    <t>2,4</t>
  </si>
  <si>
    <t>https://www.google.com/maps/d/u/0/edit?mid=1KZ12K7nt9ObqZ3wmELBFUvXAvWmH7cg&amp;usp=sharing</t>
  </si>
  <si>
    <t>Museo Interactivo de Ciencia MIC</t>
  </si>
  <si>
    <t>Teatro México</t>
  </si>
  <si>
    <t>EXPERIENCIA RURAL: A LAS PUERTAS DEL CHOCO ANDINO</t>
  </si>
  <si>
    <t>Explora la historia ancestral, la riqueza natural y la cultura viva del Valle Equinoccial. Visita sitios arqueológicos, templos sagrados, paisajes volcánicos y disfruta de la gastronomía orgánica local.</t>
  </si>
  <si>
    <t>16.3 KM</t>
  </si>
  <si>
    <t>https://www.google.com/maps/d/u/0/edit?mid=1U6uP3q6HwLc-iExSFuTSyr06IfI8kVs&amp;usp=sharing</t>
  </si>
  <si>
    <t>EXPERIENCIA RURAL: PIFO HISTORIA Y CULTURA</t>
  </si>
  <si>
    <t>Sumérgete en la vida rural de Pifo con caminatas por bosques nativos, cultivos orgánicos, rosas de exportación y una granja tradicional. Una experiencia cercana, auténtica y llena de naturaleza, a solo minutos de Quito.</t>
  </si>
  <si>
    <t>9,4</t>
  </si>
  <si>
    <t>28.7 KM</t>
  </si>
  <si>
    <t>https://www.google.com/maps/d/u/0/edit?mid=1kT0TTHPkobTNpvpT_7E2Lrchphu7aao&amp;usp=sharing</t>
  </si>
  <si>
    <t>EXPERIENCIA RURAL: PAHUMA - TULIPE</t>
  </si>
  <si>
    <t>Conecta con la naturaleza y la historia ancestral en un recorrido único. Explora el bosque nublado, disfruta de cascadas cristalinas y descubre el legado del pueblo Yumbo en el museo de Tulipe.</t>
  </si>
  <si>
    <t>73.5 KM</t>
  </si>
  <si>
    <t>https://www.google.com/maps/d/u/0/edit?mid=1onN_ePBfzu-_T585LH4UJ8rwVOtoDpM&amp;usp=sharing</t>
  </si>
  <si>
    <t xml:space="preserve">ROMANCE Y LIBERTADORES
</t>
  </si>
  <si>
    <t xml:space="preserve">Recorre las calles del Centro Histórico de Quito y revive historias de amor, pasión y lucha por la libertad. Desde capillas coloniales hasta balcones históricos, conecta con los personajes y momentos que marcaron el alma de la ciudad. </t>
  </si>
  <si>
    <t>https://www.google.com/maps/d/u/1/edit?mid=1dR5Hpzhz08dgf06R-JXsVcQMKY_D6K0&amp;usp=sharing</t>
  </si>
  <si>
    <t>Iglesia Compañia de Jesua</t>
  </si>
  <si>
    <t>Catedral Metroplitana de Quito</t>
  </si>
  <si>
    <t>Tienda El Quinde</t>
  </si>
  <si>
    <t>RUTA GASTRO CERVECERA VALLE DE LOS CHILLOS</t>
  </si>
  <si>
    <t>Ruta cervecera en el Valle de los Chillos, que comienza con una actividad sensorial para diferenciar cervezas artesanales e industriales. Luego incluye visitas a productores como Quinta Esencia, catas a ciegas en locales como La Ramada, y finaliza con un maridaje que celebra la gastronomía local.</t>
  </si>
  <si>
    <t>7 horas</t>
  </si>
  <si>
    <t>22.6 km</t>
  </si>
  <si>
    <t>https://www.google.com/maps/d/u/0/edit?mid=1_yihIr5DTxpiZVYc8nRQxPUGRBChq0I&amp;usp=sharing</t>
  </si>
  <si>
    <t>Itinerante Resto Pub</t>
  </si>
  <si>
    <t>Quinta escencia</t>
  </si>
  <si>
    <t>La Ramada Brewing</t>
  </si>
  <si>
    <t>La Ramada</t>
  </si>
  <si>
    <t>SECRETOS Y SABORES DEL VALLE DE LOS CHILLOS</t>
  </si>
  <si>
    <t>La "Ruta Secretos y Sabores del Valle de los Chillos" ofrece un recorrido que incluye una visita cultural al Museo de cielo abierto en Alangasí , una visita al santuario de anfibios Wikiri Sapoparque , una experiencia gastronómica en Hornados Doña Miche y una cata de cerveza artesanal. Esta actividad está dirigida exclusivamente a personas mayores de 18 años.</t>
  </si>
  <si>
    <t>8 horas</t>
  </si>
  <si>
    <t>39,3 km</t>
  </si>
  <si>
    <t>https://www.google.com/maps/d/u/0/edit?mid=1eWfdZSzWgOXaE09MTB0SrAUHhgZu0H0&amp;usp=sharing</t>
  </si>
  <si>
    <t>Parque Central de Alangasi</t>
  </si>
  <si>
    <t>Wikiri Sapoparque</t>
  </si>
  <si>
    <t>Hornados Doña Miche</t>
  </si>
  <si>
    <t>DPA_MANZANA</t>
  </si>
  <si>
    <t>01RD01001</t>
  </si>
  <si>
    <t xml:space="preserve">La codificación DPA por manzana se identifica en la totalidad de manzanas que suponen parte lineal de la ruta en mención </t>
  </si>
  <si>
    <t>01RA03003</t>
  </si>
  <si>
    <t>01RD03004</t>
  </si>
  <si>
    <t>01RC01005</t>
  </si>
  <si>
    <t>01RR01006</t>
  </si>
  <si>
    <t>02RE05014</t>
  </si>
  <si>
    <t>02RM05023</t>
  </si>
  <si>
    <t>02RD09017</t>
  </si>
  <si>
    <t>02RC04021</t>
  </si>
  <si>
    <t>02RH04022</t>
  </si>
  <si>
    <t>02RD04018</t>
  </si>
  <si>
    <t>02RC07013</t>
  </si>
  <si>
    <t>02RE06015</t>
  </si>
  <si>
    <t>02RG08027</t>
  </si>
  <si>
    <t>01RM01024</t>
  </si>
  <si>
    <t>01RT01026</t>
  </si>
  <si>
    <t>02RC04020</t>
  </si>
  <si>
    <t>02RP08025</t>
  </si>
  <si>
    <t>02RM05016</t>
  </si>
  <si>
    <t>02RC04019</t>
  </si>
  <si>
    <t>2 055</t>
  </si>
  <si>
    <t>error sistema de facturación</t>
  </si>
  <si>
    <t> Cerrado</t>
  </si>
  <si>
    <t> Media</t>
  </si>
  <si>
    <t>Guamán Lizano Cristina Alejandra </t>
  </si>
  <si>
    <t>Chiluisa Armas Luis Patricio </t>
  </si>
  <si>
    <t>Soporte de aplicaciones de negocio &gt; ERP Olympo</t>
  </si>
  <si>
    <t>2 054</t>
  </si>
  <si>
    <t>SIN NÚMERO DE PREDIO</t>
  </si>
  <si>
    <t> En curso (asignado)</t>
  </si>
  <si>
    <t>Simbaña Chancusig Cristina de los Angeles </t>
  </si>
  <si>
    <t>Medina Iturre Edgar Fabricio </t>
  </si>
  <si>
    <t>Soporte de aplicaciones de negocio &gt; SICET</t>
  </si>
  <si>
    <t>2 053</t>
  </si>
  <si>
    <t>Acceso al NAS del Financiero</t>
  </si>
  <si>
    <t> Nuevo</t>
  </si>
  <si>
    <t>Solórzano Bomboza María Fernanda </t>
  </si>
  <si>
    <t>Servicios de Infraestructura y Seguridad &gt; Gestión de Identidad y Acceso</t>
  </si>
  <si>
    <t>2 052</t>
  </si>
  <si>
    <t>NÚMERO DE PREDIO VACIO</t>
  </si>
  <si>
    <t>Martínez Arias Adriana Elizabeth </t>
  </si>
  <si>
    <t>2 051</t>
  </si>
  <si>
    <t>SOLICITUD DE SOPORTE</t>
  </si>
  <si>
    <t>Rea Sopalo Washington Manuel </t>
  </si>
  <si>
    <t>2 050</t>
  </si>
  <si>
    <t>Solicitud de apertura de tickets: Socialización de procesos de actualización y pasos a producción – ERP Olympo</t>
  </si>
  <si>
    <t> Resuelto</t>
  </si>
  <si>
    <t>Pacha Andrango Carlos Javier </t>
  </si>
  <si>
    <t>2 049</t>
  </si>
  <si>
    <t>2 047</t>
  </si>
  <si>
    <t>RV: Receptor correo administrativo</t>
  </si>
  <si>
    <t>Gestión de Software de Ofimática y Colaboración &gt; Correo Electrónico Institucional</t>
  </si>
  <si>
    <t>2 048</t>
  </si>
  <si>
    <t>RV: Solicitud de cambio de equipo electrónico – Coordinación de Gerencia</t>
  </si>
  <si>
    <t>Soporte a Equipos de Cómputo y Periféricos &gt; Computadora o laptop</t>
  </si>
  <si>
    <t>2 043</t>
  </si>
  <si>
    <t>INSISTENCIA: [GLPI #0002038] ✔ Solicitud registrada</t>
  </si>
  <si>
    <t>Ponce Solórzano Verónica Yolanda </t>
  </si>
  <si>
    <t>glpi </t>
  </si>
  <si>
    <t>2 046</t>
  </si>
  <si>
    <t>Pantallas Tiendas Quito</t>
  </si>
  <si>
    <t>Sánchez Uquillas Gabriel Sebastián </t>
  </si>
  <si>
    <t>Soporte a Equipos de Cómputo y Periféricos &gt; Pantallas digitales</t>
  </si>
  <si>
    <t>2 011</t>
  </si>
  <si>
    <t>RV: Vinculación de personal 21 de abril de 2026</t>
  </si>
  <si>
    <t>2 045</t>
  </si>
  <si>
    <t>CAMBIO DE PREDIO</t>
  </si>
  <si>
    <t>2 044</t>
  </si>
  <si>
    <t>CAMBIO DE CORREO ELECTRONICO</t>
  </si>
  <si>
    <t>2 038</t>
  </si>
  <si>
    <t>SEGUIMIENTO: ESTADO DE CUENTA CONSEJO NACIONAL ELECTORAL DELEGACION PROVINCIAL DE PICHINCHA : REPORTE INCIDENCIA</t>
  </si>
  <si>
    <t>2 014</t>
  </si>
  <si>
    <t>RV: ACTUALIZACIÓN DE PREDIO</t>
  </si>
  <si>
    <t>2 021</t>
  </si>
  <si>
    <t>CAMBIO DE CORREO ELECTRÓNICO</t>
  </si>
  <si>
    <t>2 024</t>
  </si>
  <si>
    <t>2 025</t>
  </si>
  <si>
    <t>ACTUALIZACION DE CORREO ELECTONICO</t>
  </si>
  <si>
    <t>Bonilla Benavides Ana Cristina </t>
  </si>
  <si>
    <t>2 026</t>
  </si>
  <si>
    <t>ACCESO CARPETA DIRECTORIO</t>
  </si>
  <si>
    <t>Rosero Marcillo María José </t>
  </si>
  <si>
    <t>2 028</t>
  </si>
  <si>
    <t>DUPLICACIÓN DE REGISTRO TURÍSTICO</t>
  </si>
  <si>
    <t>2 027</t>
  </si>
  <si>
    <t>RE: ACCESO CARPETA DIRECTORIO</t>
  </si>
  <si>
    <t>Bucheli García Franklin Gustabo </t>
  </si>
  <si>
    <t>2 029</t>
  </si>
  <si>
    <t>RV: DUPLICACIÓN DE REGISTRO TURÍSTICO</t>
  </si>
  <si>
    <t>2 030</t>
  </si>
  <si>
    <t>2 033</t>
  </si>
  <si>
    <t>ACTUALIZACIÓN DE LUAE CODIGO CIUU</t>
  </si>
  <si>
    <t>2 035</t>
  </si>
  <si>
    <t>RV: REGISTRO TURÍSTICO EUROVIAJES ( RUC 1791226054001)</t>
  </si>
  <si>
    <t>2 036</t>
  </si>
  <si>
    <t>2 039</t>
  </si>
  <si>
    <t>2 040</t>
  </si>
  <si>
    <t>2 042</t>
  </si>
  <si>
    <t>Actualización de sección de capacitaciones - página web</t>
  </si>
  <si>
    <t>Estrella Orbe Rosa Angélica </t>
  </si>
  <si>
    <t>Soporte de aplicaciones de negocio &gt; Portal Institución</t>
  </si>
  <si>
    <t>2 041</t>
  </si>
  <si>
    <t>RV: Solicitud de autorización llamada a de celular</t>
  </si>
  <si>
    <t>Servicios de Redes y Conectividad &gt; Telefonía</t>
  </si>
  <si>
    <t>2 034</t>
  </si>
  <si>
    <t>RE: [GLPI #0001997] ✔ Solicitud registrada</t>
  </si>
  <si>
    <t>Castillo Castellano Jimmy Bolívar </t>
  </si>
  <si>
    <t>2 019</t>
  </si>
  <si>
    <t>Implementación de opción dentro de MÓDULO CONTROL DE ACTIVOS, para generación Actas de Constatación Física</t>
  </si>
  <si>
    <t>2 018</t>
  </si>
  <si>
    <t>Actualización de la base normativa incorporada en las Actas de Entrega-Recepción</t>
  </si>
  <si>
    <t>2 017</t>
  </si>
  <si>
    <t>Ajuste de valores dentro de MODULO DE CONTROL DE ACTIVOS</t>
  </si>
  <si>
    <t>2 016</t>
  </si>
  <si>
    <t>MÓDULO CONTROL DE ACTIVOS-Transacciones-Actas Entrega Recepción. Habilitar opción que permita la selección múltiple de bienes en las Actas Entrega Recepción</t>
  </si>
  <si>
    <t>1 997</t>
  </si>
  <si>
    <t>Solicitud de corrección de error dentro de acta de entrega recepción de Gestión de Inventarios</t>
  </si>
  <si>
    <t>2 032</t>
  </si>
  <si>
    <t>ESTADO DE CUENTA CONSEJO NACIONAL ELECTORAL DELEGACION PROVINCIAL DE PICHINCHA : REPORTE INCIDENCIA</t>
  </si>
  <si>
    <t>1 987</t>
  </si>
  <si>
    <t>RV: Respuesta RE: Computador portatil</t>
  </si>
  <si>
    <t>2 023</t>
  </si>
  <si>
    <t>Solicitud de modificación de estado de reforma presupuestaria</t>
  </si>
  <si>
    <t>López Vásquez Jheisy Germania </t>
  </si>
  <si>
    <t>2 022</t>
  </si>
  <si>
    <t>2 015</t>
  </si>
  <si>
    <t>SOPORTE TECNICO NOTAS DE CREDITO: REPORTE INCIDENCIA (14-04-2024)</t>
  </si>
  <si>
    <t>2 020</t>
  </si>
  <si>
    <t>2 013</t>
  </si>
  <si>
    <t>RV: Proceso Reforma</t>
  </si>
  <si>
    <t>2 008</t>
  </si>
  <si>
    <t> Alta</t>
  </si>
  <si>
    <t>2 010</t>
  </si>
  <si>
    <t>Fw: Proceso reforma</t>
  </si>
  <si>
    <t>Soporte de aplicaciones de negocio &gt; Sitra</t>
  </si>
  <si>
    <t>2 009</t>
  </si>
  <si>
    <t>2 003</t>
  </si>
  <si>
    <t>Publicación Barómetro</t>
  </si>
  <si>
    <t>Utreras Fuentes Ruth Elena </t>
  </si>
  <si>
    <t>1 985</t>
  </si>
  <si>
    <t>Solicitud de implementación de numeración en la Gaceta Tributaria Digital de la EPMGDTR</t>
  </si>
  <si>
    <t>Tipán Gavilanes Daysi Lizbeth </t>
  </si>
  <si>
    <t>2 001</t>
  </si>
  <si>
    <t>1 969</t>
  </si>
  <si>
    <t>Infocus</t>
  </si>
  <si>
    <t>Plaza Chicaiza Karla Gabriela </t>
  </si>
  <si>
    <t>Soporte a Equipos de Cómputo y Periféricos &gt; Proyectores</t>
  </si>
  <si>
    <t>1 984</t>
  </si>
  <si>
    <t>Solicitud de creación de carpeta MICE para archivos digitalizados</t>
  </si>
  <si>
    <t>Cevallos Hidalgo María Gabriela </t>
  </si>
  <si>
    <t>Soporte a Equipos de Cómputo y Periféricos &gt; Impresora</t>
  </si>
  <si>
    <t>2 000</t>
  </si>
  <si>
    <t>1 999</t>
  </si>
  <si>
    <t>Activación de la opción de Informe en el sistema SITRA</t>
  </si>
  <si>
    <t>1 998</t>
  </si>
  <si>
    <t>DUPLICACION DE REGISTRO TURISTICO</t>
  </si>
  <si>
    <t>1 994</t>
  </si>
  <si>
    <t>1 981</t>
  </si>
  <si>
    <t>1 979</t>
  </si>
  <si>
    <t>NUMERO DE PREDIO VACIO- LAS ABEJAS CLUB DE VINILOS SAS</t>
  </si>
  <si>
    <t>1 978</t>
  </si>
  <si>
    <t>1 971</t>
  </si>
  <si>
    <t>SOLICITUD DE PUBLICACIÓN DE BANNER WEB</t>
  </si>
  <si>
    <t>Baquero Banderas Fabián Alejandro </t>
  </si>
  <si>
    <t>1 967</t>
  </si>
  <si>
    <t>VERIFICACIÓN DECLARACIÓN EN SISTEMA SICET ESTABLECIMIENTO CASA SANTA CLARA</t>
  </si>
  <si>
    <t>Cedeño Gómez Tania Cristina </t>
  </si>
  <si>
    <t>2 004</t>
  </si>
  <si>
    <t>Acceso a carpeta compartida de Calidad - Computador Mónica del Valle</t>
  </si>
  <si>
    <t>Del Valle Vivanco Mónica Catalina </t>
  </si>
  <si>
    <t>2 012</t>
  </si>
  <si>
    <t>Termino encargo al cargo Jefe de Procesos Legales y Administrativos</t>
  </si>
  <si>
    <t>Carrera Lloré Ana Lucía </t>
  </si>
  <si>
    <t>2 007</t>
  </si>
  <si>
    <t>No se puede acceder al portl de compras públicas</t>
  </si>
  <si>
    <t>mvaldiviezo@quito-turismo.gob.ec</t>
  </si>
  <si>
    <t>Soporte de aplicaciones de negocio &gt; Otras</t>
  </si>
  <si>
    <t>2 006</t>
  </si>
  <si>
    <t>Solicitud soporte para eliminación de un registro de anticipo de remuneración</t>
  </si>
  <si>
    <t>2 005</t>
  </si>
  <si>
    <t>Revisión de acceso a https://www.linkedin.com/</t>
  </si>
  <si>
    <t>Servicios de Redes y Conectividad &gt; Permisos de navegación</t>
  </si>
  <si>
    <t>2 002</t>
  </si>
  <si>
    <t>Revisión de computar asignado a Mónica Burbano</t>
  </si>
  <si>
    <t>mburbano@quito-turismo.gob.ec</t>
  </si>
  <si>
    <t>glpi  </t>
  </si>
  <si>
    <t>1 992</t>
  </si>
  <si>
    <t>Respaldos de ex funcionario Daniel Valencia</t>
  </si>
  <si>
    <t>Servicios de Infraestructura y Seguridad &gt; Copias de Seguridad y Recuperación de Información</t>
  </si>
  <si>
    <t>1 983</t>
  </si>
  <si>
    <t>RE: Atendido - Solicitud de computadora - Entrega Lenovo</t>
  </si>
  <si>
    <t>1 995</t>
  </si>
  <si>
    <t>SOPORTE 03</t>
  </si>
  <si>
    <t>1 980</t>
  </si>
  <si>
    <t>Error al registrar el pago de impuestos renta diciembre de 2025.</t>
  </si>
  <si>
    <t>Monge Castro María Leopoldina </t>
  </si>
  <si>
    <t>1 991</t>
  </si>
  <si>
    <t>Solicitud de instalación de programa NITRO en la PC</t>
  </si>
  <si>
    <t>Soporte a Equipos de Cómputo y Periféricos &gt; Otros</t>
  </si>
  <si>
    <t>1 996</t>
  </si>
  <si>
    <t>Facilitacion pantalla táctil</t>
  </si>
  <si>
    <t>1 993</t>
  </si>
  <si>
    <t>Revisión de accesos a respositorios, scanener e imprsiones - Belén Pacheco</t>
  </si>
  <si>
    <t>bpacheco@quito-turismo.gob.ec</t>
  </si>
  <si>
    <t>1 988</t>
  </si>
  <si>
    <t>Envío de Sitras</t>
  </si>
  <si>
    <t>Guamán Cornejo Diego Fernando </t>
  </si>
  <si>
    <t>1 990</t>
  </si>
  <si>
    <t>Solicitud de soporte de pago de liquidación de haberes</t>
  </si>
  <si>
    <t>Morales Portuguez David Hernán </t>
  </si>
  <si>
    <t>1 986</t>
  </si>
  <si>
    <t>Solicitud de Soporte Tecnico - Modulo de Gestion administrativa</t>
  </si>
  <si>
    <t>1 982</t>
  </si>
  <si>
    <t>Solicitud de certificación de ingreso de trámite al sistema SITRA</t>
  </si>
  <si>
    <t>1 977</t>
  </si>
  <si>
    <t>Encargo Jefatura Administrativa</t>
  </si>
  <si>
    <t>1 968</t>
  </si>
  <si>
    <t>RE: Solicitud de coordinación de reunión telemática</t>
  </si>
  <si>
    <t>Gestión de Software de Ofimática y Colaboración &gt; Teams</t>
  </si>
  <si>
    <t>1 963</t>
  </si>
  <si>
    <t>Solicitud de mantenimiento urgente - Computadora y impresora en oficinas de Seguridad Turística</t>
  </si>
  <si>
    <t>Arboleda Gordillo Paulina Fernanda </t>
  </si>
  <si>
    <t>1 972</t>
  </si>
  <si>
    <t>ASIGANACIÓN DE TRAMITES DE LUAE</t>
  </si>
  <si>
    <t>1 965</t>
  </si>
  <si>
    <t>asistencia para paso a paso para generar un enlace de ondrive - Gerson Arias</t>
  </si>
  <si>
    <t>Arias Díaz Gerson Fredy </t>
  </si>
  <si>
    <t>Gestión de Software de Ofimática y Colaboración &gt; Onedrive</t>
  </si>
  <si>
    <t>1 962</t>
  </si>
  <si>
    <t>crear directorio online para CCMQ abril 2026</t>
  </si>
  <si>
    <t>1 975</t>
  </si>
  <si>
    <t>1 976</t>
  </si>
  <si>
    <t>DESBLOQUEO DE TRAMITES DE LUAE</t>
  </si>
  <si>
    <t>1 974</t>
  </si>
  <si>
    <t>1 964</t>
  </si>
  <si>
    <t>Revisión de acceso al Olympo actiguo - Verónica Ponce</t>
  </si>
  <si>
    <t>Gestión de Software de Ofimática y Colaboración</t>
  </si>
  <si>
    <t>1 960</t>
  </si>
  <si>
    <t>1 958</t>
  </si>
  <si>
    <t>Prueba de notificación de correo SITRA</t>
  </si>
  <si>
    <t>1 955</t>
  </si>
  <si>
    <t>NÚMERO DE PREDIO VACIO EN SISTEMA SICET</t>
  </si>
  <si>
    <t>1 945</t>
  </si>
  <si>
    <t>Apoyo a los directores de las áreas técnicas para que compartan sus agendas con Belén Pacheco</t>
  </si>
  <si>
    <t>1 928</t>
  </si>
  <si>
    <t>Revisión de sincronización de NAS - usuario Belén Pacheco</t>
  </si>
  <si>
    <t>1 966</t>
  </si>
  <si>
    <t>prestamo de laptop - Ximena Ulloa</t>
  </si>
  <si>
    <t>Ulloa loza Ximena Alexandra </t>
  </si>
  <si>
    <t>1 908</t>
  </si>
  <si>
    <t>Solicitud de liberación de IPs</t>
  </si>
  <si>
    <t>1 953</t>
  </si>
  <si>
    <t>No me permite ingresar al sistema de TH</t>
  </si>
  <si>
    <t>Egas Torres Jorge Eduardo </t>
  </si>
  <si>
    <t>1 957</t>
  </si>
  <si>
    <t>solicitud de pantalla táctil</t>
  </si>
  <si>
    <t>Casa Chanaluisa Alex Wladimir </t>
  </si>
  <si>
    <t>1 961</t>
  </si>
  <si>
    <t>Solicitud urgente de instalación de firma electrónica EC - Tienda Quito La Mariscal</t>
  </si>
  <si>
    <t>Servicios de Infraestructura y Seguridad &gt; Gestión de Firma Electrónica</t>
  </si>
  <si>
    <t>1 959</t>
  </si>
  <si>
    <t>RV: Habilitación salida de llamadas externas</t>
  </si>
  <si>
    <t>1 895</t>
  </si>
  <si>
    <t>RV: Internet oficina Comercialización</t>
  </si>
  <si>
    <t>Servicios de Redes y Conectividad &gt; Conectividad WIFI</t>
  </si>
  <si>
    <t>1 912</t>
  </si>
  <si>
    <t>Envío de respaldo de correo y sitra abarreno@gmail.com</t>
  </si>
  <si>
    <t>1 951</t>
  </si>
  <si>
    <t>Vinculación de personal</t>
  </si>
  <si>
    <t>Palomino Granda Jessica Fernanda </t>
  </si>
  <si>
    <t>1 956</t>
  </si>
  <si>
    <t>RV: Solicitud acceso carpeta compartida MICE</t>
  </si>
  <si>
    <t>1 954</t>
  </si>
  <si>
    <t>RV: Vinculación de personal 9 de abril de 2026</t>
  </si>
  <si>
    <t>1 952</t>
  </si>
  <si>
    <t>RV: Solicitud urgente soporte puntos información y seguridad turística</t>
  </si>
  <si>
    <t>1 946</t>
  </si>
  <si>
    <t>ACTUALIZACIÓN DE CORREO ELECTRÓNICO EN SICET</t>
  </si>
  <si>
    <t>1 940</t>
  </si>
  <si>
    <t>RV: CAMBIO DE CORREO ELECTRÓNICO</t>
  </si>
  <si>
    <t>1 939</t>
  </si>
  <si>
    <t>1 936</t>
  </si>
  <si>
    <t>RV: VERIFICACION INFORMACIÓN SISTEMA SICET ESTABLECIMIENTO SONDER BURGUER</t>
  </si>
  <si>
    <t>1 935</t>
  </si>
  <si>
    <t>RE: NÚMERO DE PREDIO VACIO EN SISTEMA SICET</t>
  </si>
  <si>
    <t>1 933</t>
  </si>
  <si>
    <t>1 931</t>
  </si>
  <si>
    <t>1 926</t>
  </si>
  <si>
    <t>Solicitud de publicación de banner web – Proceso PE-EPMGDT-2026-001</t>
  </si>
  <si>
    <t>Ocampo Espín Byron Javier </t>
  </si>
  <si>
    <t>1 922</t>
  </si>
  <si>
    <t>Publicación en gaceta tributaria</t>
  </si>
  <si>
    <t>1 921</t>
  </si>
  <si>
    <t>RV: DUPLICACIÓN DE REGISTRO TURISTICO</t>
  </si>
  <si>
    <t>1 920</t>
  </si>
  <si>
    <t>DUPLICACIÓN DE REGISTRO TURISTICO</t>
  </si>
  <si>
    <t>1 919</t>
  </si>
  <si>
    <t>ACTUALIZACIÓN PANTALLAS TIENDA QUITO</t>
  </si>
  <si>
    <t>1 917</t>
  </si>
  <si>
    <t>Actualización sección capacitaciones abril</t>
  </si>
  <si>
    <t>1 913</t>
  </si>
  <si>
    <t>REVISION ZONIFICACIÓN DE ESTABLECIMIENTO</t>
  </si>
  <si>
    <t>1 910</t>
  </si>
  <si>
    <t>RV: Solicitud de acceso a información institucional</t>
  </si>
  <si>
    <t>Gestión de Software de Ofimática y Colaboración &gt; Otros</t>
  </si>
  <si>
    <t>1 907</t>
  </si>
  <si>
    <t>RV: CATASTRO ESTABLECIMIENTOS TURÍSTICOS CORTE MARZO</t>
  </si>
  <si>
    <t>1 905</t>
  </si>
  <si>
    <t>Hoja de ruta EPMGDT-DTNAE-2026-0053-M</t>
  </si>
  <si>
    <t>1 900</t>
  </si>
  <si>
    <t>OPCIÓN "SIGUIENTE" INHABILITADA ESTABLECIMIENTO PUNTO MEDIO</t>
  </si>
  <si>
    <t>1 950</t>
  </si>
  <si>
    <t>Solicitud de soporte registro de interés y capital</t>
  </si>
  <si>
    <t>1 948</t>
  </si>
  <si>
    <t>RV: VALIDACIÓN DE ADENDA POR CAMBIO DE FUNCIONES</t>
  </si>
  <si>
    <t>1 949</t>
  </si>
  <si>
    <t>ACCESO REASIGNACIÓN DE SITRAS</t>
  </si>
  <si>
    <t>1 947</t>
  </si>
  <si>
    <t>1 944</t>
  </si>
  <si>
    <t>RE: REPORTES MES DE MARZO 2026</t>
  </si>
  <si>
    <t>Rojas Arend Daniel Andrés </t>
  </si>
  <si>
    <t>1 934</t>
  </si>
  <si>
    <t>Accesos facturación - Maura Moreira</t>
  </si>
  <si>
    <t>Pinto Viteri Katherine Vanessa </t>
  </si>
  <si>
    <t>1 937</t>
  </si>
  <si>
    <t>1 938</t>
  </si>
  <si>
    <t>Solicitud de soporte por extrarol de horas extras</t>
  </si>
  <si>
    <t>1 941</t>
  </si>
  <si>
    <t>Solicitud de soporte para aprobacion de costos de ventas y consumo de inventarios.</t>
  </si>
  <si>
    <t>1 943</t>
  </si>
  <si>
    <t>Arreglo de la impresora de la Jefatura Administrativa</t>
  </si>
  <si>
    <t>Jarrín Cornejo María Belén </t>
  </si>
  <si>
    <t>1 932</t>
  </si>
  <si>
    <t>Revisión de impresora, las hojas salen opacas - Jefatura administrativa</t>
  </si>
  <si>
    <t>Siguencia Guillén Jorge Enrique </t>
  </si>
  <si>
    <t>1 942</t>
  </si>
  <si>
    <t>Revisión urgencia de impresora Jefatura Administrativa</t>
  </si>
  <si>
    <t>1 930</t>
  </si>
  <si>
    <t>No se enciende el monitor - Diego Guamán</t>
  </si>
  <si>
    <t>Soporte a Equipos de Cómputo y Periféricos &gt; Periféricos</t>
  </si>
  <si>
    <t>1 929</t>
  </si>
  <si>
    <t>RV: Vinculación de persona 07 de abril de 2026</t>
  </si>
  <si>
    <t>1 927</t>
  </si>
  <si>
    <t>Cambio de clave ERP</t>
  </si>
  <si>
    <t>Lara Salazar Ricardo Rubén </t>
  </si>
  <si>
    <t>1 925</t>
  </si>
  <si>
    <t>Revisión de acceso a sitio IESS</t>
  </si>
  <si>
    <t>1 924</t>
  </si>
  <si>
    <t>Cambio de firma para Jefatura Financiera</t>
  </si>
  <si>
    <t>1 923</t>
  </si>
  <si>
    <t>Pie de pagina Jefatura Financiera</t>
  </si>
  <si>
    <t>1 918</t>
  </si>
  <si>
    <t>RE: Término de Encargo de la Dirección de Turismo de Negocios y Atracción de Eventos</t>
  </si>
  <si>
    <t>1 916</t>
  </si>
  <si>
    <t>1 915</t>
  </si>
  <si>
    <t>Problema en la contabilización de anticipo de sueldos</t>
  </si>
  <si>
    <t>1 914</t>
  </si>
  <si>
    <t>RE: SOLICITUD DE CIERRE ANUAL Y TRASLADO DE SALDOS</t>
  </si>
  <si>
    <t>1 911</t>
  </si>
  <si>
    <t>RE: Notificación de Término de Encargo de la Jefatura de Promoción</t>
  </si>
  <si>
    <t>1 892</t>
  </si>
  <si>
    <t>Estimado/a, Reciba un cordial saludo. En el marco de la socialización de los eventos de gran formato de Quito Turismo para el año 2026, me permito solicitar muy comedidamente se autorice el uso de la Sala de Capacitación de Quito Turismo para el día mié</t>
  </si>
  <si>
    <t> Baja</t>
  </si>
  <si>
    <t>1 897</t>
  </si>
  <si>
    <t>RV: Acceso sistema EPR V16 -PRESUPUESTO-CONTABILIDAD</t>
  </si>
  <si>
    <t>1 904</t>
  </si>
  <si>
    <t>RV: Desvinculación de personal y cumplimiento de plazos - María Gabriela Flores López</t>
  </si>
  <si>
    <t>1 909</t>
  </si>
  <si>
    <t>1 906</t>
  </si>
  <si>
    <t>RE: CAMBIO DE CORREO ELECTRÓNICO</t>
  </si>
  <si>
    <t>1 901</t>
  </si>
  <si>
    <t>Elaborar el certificado de SITRA - Anita Bonilla</t>
  </si>
  <si>
    <t>1 899</t>
  </si>
  <si>
    <t>1 898</t>
  </si>
  <si>
    <t>1 868</t>
  </si>
  <si>
    <t>Actualización y ajuste de visualización – Sección "Distintivo Q"</t>
  </si>
  <si>
    <t>Andres Santiago Andres Dueñas </t>
  </si>
  <si>
    <t>#</t>
  </si>
  <si>
    <t>TICKET</t>
  </si>
  <si>
    <t>ASUNTO</t>
  </si>
  <si>
    <t>FECHA CIERRE</t>
  </si>
  <si>
    <t>FECHA APERTURA</t>
  </si>
  <si>
    <t>PRIORIDAD</t>
  </si>
  <si>
    <t>SOLICITANTE</t>
  </si>
  <si>
    <t>TÉCNICO ASIGNADO</t>
  </si>
  <si>
    <t>CATEGORÍA</t>
  </si>
  <si>
    <t>OBSERVACIÓN</t>
  </si>
  <si>
    <t>📊 RESUMEN DE TICKETS DE SOPORTE TÉCNICO</t>
  </si>
  <si>
    <t>INDICADORES CLAVE (KPIs)</t>
  </si>
  <si>
    <t>Total Tickets</t>
  </si>
  <si>
    <t>Cerrados</t>
  </si>
  <si>
    <t>Resueltos</t>
  </si>
  <si>
    <t>En Curso</t>
  </si>
  <si>
    <t>Nuevos</t>
  </si>
  <si>
    <t>Prioridad Alta</t>
  </si>
  <si>
    <t>1. Tickets por ESTADO</t>
  </si>
  <si>
    <t>Estado</t>
  </si>
  <si>
    <t>Cantidad</t>
  </si>
  <si>
    <t>2. Tickets por PRIORIDAD</t>
  </si>
  <si>
    <t>Prioridad</t>
  </si>
  <si>
    <t>3. Tickets por TÉCNICO ASIGNADO</t>
  </si>
  <si>
    <t>Técnico</t>
  </si>
  <si>
    <t>4. Top 10 CATEGORÍAS</t>
  </si>
  <si>
    <t>Categoría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</si>
</sst>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29" x14ac:knownFonts="1">
    <font>
      <sz val="10"/>
      <color rgb="FF000000"/>
      <name val="Arial"/>
      <scheme val="minor"/>
    </font>
    <font>
      <b/>
      <sz val="11"/>
      <color theme="1"/>
      <name val="Calibri"/>
    </font>
    <font>
      <sz val="11"/>
      <color theme="1"/>
      <name val="Calibri"/>
    </font>
    <font>
      <sz val="10"/>
      <color theme="1"/>
      <name val="Arial"/>
      <scheme val="minor"/>
    </font>
    <font>
      <b/>
      <sz val="11"/>
      <color rgb="FF000000"/>
      <name val="Calibri"/>
    </font>
    <font>
      <sz val="11"/>
      <color theme="1"/>
      <name val="Arial"/>
    </font>
    <font>
      <sz val="11"/>
      <color rgb="FF000000"/>
      <name val="Calibri"/>
    </font>
    <font>
      <u/>
      <sz val="11"/>
      <color rgb="FF000000"/>
      <name val="Calibri"/>
    </font>
    <font>
      <u/>
      <sz val="11"/>
      <color rgb="FF000000"/>
      <name val="Calibri"/>
    </font>
    <font>
      <u/>
      <sz val="11"/>
      <color theme="1"/>
      <name val="Calibri"/>
    </font>
    <font>
      <u/>
      <sz val="11"/>
      <color rgb="FF000000"/>
      <name val="Calibri"/>
    </font>
    <font>
      <u/>
      <sz val="11"/>
      <color rgb="FF000000"/>
      <name val="Calibri"/>
    </font>
    <font>
      <sz val="11"/>
      <color rgb="FF1F1F1F"/>
      <name val="Calibri"/>
    </font>
    <font>
      <u/>
      <sz val="11"/>
      <color rgb="FF000000"/>
      <name val="Calibri"/>
    </font>
    <font>
      <sz val="11"/>
      <color rgb="FF548DD4"/>
      <name val="Calibri"/>
    </font>
    <font>
      <u/>
      <sz val="11"/>
      <color theme="1"/>
      <name val="Calibri"/>
    </font>
    <font>
      <u/>
      <sz val="11"/>
      <color rgb="FF0000FF"/>
      <name val="Calibri"/>
    </font>
    <font>
      <sz val="10"/>
      <color rgb="FF000000"/>
      <name val="Arial"/>
    </font>
    <font>
      <sz val="7"/>
      <color theme="1"/>
      <name val="Times New Roman"/>
    </font>
    <font>
      <u/>
      <sz val="10"/>
      <color theme="10"/>
      <name val="Arial"/>
      <scheme val="minor"/>
    </font>
    <font>
      <sz val="10"/>
      <color rgb="FF000000"/>
      <name val="Arial"/>
      <family val="2"/>
      <scheme val="minor"/>
    </font>
    <font>
      <b/>
      <sz val="10"/>
      <color rgb="FFFFFFFF"/>
      <name val="Arial"/>
      <family val="2"/>
      <scheme val="minor"/>
    </font>
    <font>
      <b/>
      <sz val="11"/>
      <color rgb="FFFFFFFF"/>
      <name val="Arial"/>
      <family val="2"/>
      <scheme val="minor"/>
    </font>
    <font>
      <sz val="10"/>
      <color rgb="FF374151"/>
      <name val="Segoe UI"/>
      <family val="2"/>
    </font>
    <font>
      <u/>
      <sz val="10"/>
      <color theme="10"/>
      <name val="Arial"/>
      <family val="2"/>
      <scheme val="minor"/>
    </font>
    <font>
      <b/>
      <sz val="18"/>
      <color rgb="FF000000"/>
      <name val="Arial"/>
      <family val="2"/>
      <scheme val="minor"/>
    </font>
    <font>
      <b/>
      <sz val="18"/>
      <color rgb="FFFFFFFF"/>
      <name val="Arial"/>
      <family val="2"/>
      <scheme val="minor"/>
    </font>
    <font>
      <b/>
      <sz val="10"/>
      <color rgb="FF000000"/>
      <name val="Arial"/>
      <family val="2"/>
      <scheme val="minor"/>
    </font>
    <font>
      <b/>
      <sz val="12"/>
      <color rgb="FF000000"/>
      <name val="Arial"/>
      <family val="2"/>
      <scheme val="minor"/>
    </font>
  </fonts>
  <fills count="18">
    <fill>
      <patternFill patternType="none"/>
    </fill>
    <fill>
      <patternFill patternType="gray125"/>
    </fill>
    <fill>
      <patternFill patternType="solid">
        <fgColor theme="0"/>
        <bgColor theme="0"/>
      </patternFill>
    </fill>
    <fill>
      <patternFill patternType="solid">
        <fgColor rgb="FFB4C6E7"/>
        <bgColor rgb="FFB4C6E7"/>
      </patternFill>
    </fill>
    <fill>
      <patternFill patternType="solid">
        <fgColor rgb="FF8EAADB"/>
        <bgColor rgb="FF8EAADB"/>
      </patternFill>
    </fill>
    <fill>
      <patternFill patternType="solid">
        <fgColor rgb="FFFFC000"/>
        <bgColor rgb="FFFFC000"/>
      </patternFill>
    </fill>
    <fill>
      <patternFill patternType="solid">
        <fgColor rgb="FFC00000"/>
        <bgColor rgb="FFC00000"/>
      </patternFill>
    </fill>
    <fill>
      <patternFill patternType="solid">
        <fgColor rgb="FFEFEFEF"/>
        <bgColor rgb="FFEFEFEF"/>
      </patternFill>
    </fill>
    <fill>
      <patternFill patternType="solid">
        <fgColor rgb="FFFFFFFF"/>
        <bgColor rgb="FFFFFFFF"/>
      </patternFill>
    </fill>
    <fill>
      <patternFill patternType="solid">
        <fgColor rgb="FFB6D7A8"/>
        <bgColor rgb="FFB6D7A8"/>
      </patternFill>
    </fill>
    <fill>
      <patternFill patternType="solid">
        <fgColor theme="7"/>
        <bgColor rgb="FFFFC000"/>
      </patternFill>
    </fill>
    <fill>
      <patternFill patternType="solid">
        <fgColor rgb="FFFFFFFF"/>
        <bgColor indexed="64"/>
      </patternFill>
    </fill>
    <fill>
      <patternFill patternType="solid">
        <fgColor rgb="FF1F4E78"/>
        <bgColor indexed="64"/>
      </patternFill>
    </fill>
    <fill>
      <patternFill patternType="solid">
        <fgColor rgb="FFD9E1F2"/>
        <bgColor indexed="64"/>
      </patternFill>
    </fill>
    <fill>
      <patternFill patternType="solid">
        <fgColor rgb="FF5B9BD5"/>
        <bgColor indexed="64"/>
      </patternFill>
    </fill>
    <fill>
      <patternFill patternType="solid">
        <fgColor rgb="FFDEEBF7"/>
        <bgColor indexed="64"/>
      </patternFill>
    </fill>
    <fill>
      <patternFill patternType="solid">
        <fgColor rgb="FFFFE699"/>
        <bgColor indexed="64"/>
      </patternFill>
    </fill>
    <fill>
      <patternFill patternType="solid">
        <fgColor rgb="FFFFD966"/>
        <bgColor indexed="64"/>
      </patternFill>
    </fill>
  </fills>
  <borders count="1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BFBFBF"/>
      </left>
      <right/>
      <top style="thin">
        <color rgb="FFBFBFBF"/>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diagonal/>
    </border>
    <border>
      <left/>
      <right style="thin">
        <color rgb="FFBFBFBF"/>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diagonal/>
    </border>
    <border>
      <left style="thin">
        <color rgb="FF1F4E78"/>
      </left>
      <right style="thin">
        <color rgb="FF1F4E78"/>
      </right>
      <top style="thin">
        <color rgb="FF1F4E78"/>
      </top>
      <bottom style="thin">
        <color rgb="FF1F4E78"/>
      </bottom>
      <diagonal/>
    </border>
  </borders>
  <cellStyleXfs count="2">
    <xf numFmtId="0" fontId="0" fillId="0" borderId="0"/>
    <xf numFmtId="0" fontId="19" fillId="0" borderId="0" applyNumberFormat="0" applyFill="0" applyBorder="0" applyAlignment="0" applyProtection="0"/>
  </cellStyleXfs>
  <cellXfs count="91">
    <xf numFmtId="0" fontId="0" fillId="0" borderId="0" xfId="0"/>
    <xf numFmtId="0" fontId="1" fillId="2" borderId="1" xfId="0" applyFont="1" applyFill="1" applyBorder="1" applyAlignment="1">
      <alignment horizontal="center" vertical="center"/>
    </xf>
    <xf numFmtId="0" fontId="2" fillId="2" borderId="1" xfId="0" applyFont="1" applyFill="1" applyBorder="1"/>
    <xf numFmtId="0" fontId="2" fillId="2" borderId="1" xfId="0" applyFont="1" applyFill="1" applyBorder="1" applyAlignment="1">
      <alignment vertical="center"/>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0" borderId="0" xfId="0" applyFont="1" applyAlignment="1">
      <alignment horizontal="left"/>
    </xf>
    <xf numFmtId="0" fontId="1" fillId="0" borderId="0" xfId="0" applyFont="1"/>
    <xf numFmtId="0" fontId="1" fillId="0" borderId="2" xfId="0" applyFont="1" applyBorder="1"/>
    <xf numFmtId="0" fontId="2" fillId="0" borderId="0" xfId="0" applyFont="1"/>
    <xf numFmtId="0" fontId="4" fillId="0" borderId="2" xfId="0" applyFont="1" applyBorder="1" applyAlignment="1">
      <alignment horizontal="left"/>
    </xf>
    <xf numFmtId="0" fontId="5" fillId="0" borderId="0" xfId="0" applyFont="1"/>
    <xf numFmtId="0" fontId="2" fillId="0" borderId="2" xfId="0" applyFont="1" applyBorder="1"/>
    <xf numFmtId="0" fontId="2" fillId="0" borderId="2" xfId="0" quotePrefix="1" applyFont="1" applyBorder="1"/>
    <xf numFmtId="0" fontId="6" fillId="0" borderId="3" xfId="0" applyFont="1" applyBorder="1" applyAlignment="1">
      <alignment horizontal="left"/>
    </xf>
    <xf numFmtId="0" fontId="6" fillId="0" borderId="4" xfId="0" quotePrefix="1" applyFont="1" applyBorder="1" applyAlignment="1">
      <alignment horizontal="right"/>
    </xf>
    <xf numFmtId="0" fontId="2" fillId="0" borderId="3" xfId="0" applyFont="1" applyBorder="1"/>
    <xf numFmtId="0" fontId="6" fillId="0" borderId="5" xfId="0" quotePrefix="1" applyFont="1" applyBorder="1" applyAlignment="1">
      <alignment horizontal="right"/>
    </xf>
    <xf numFmtId="0" fontId="6" fillId="0" borderId="4" xfId="0" applyFont="1" applyBorder="1" applyAlignment="1">
      <alignment horizontal="right"/>
    </xf>
    <xf numFmtId="0" fontId="6" fillId="0" borderId="5" xfId="0" applyFont="1" applyBorder="1" applyAlignment="1">
      <alignment horizontal="right"/>
    </xf>
    <xf numFmtId="0" fontId="6" fillId="0" borderId="2" xfId="0" applyFont="1" applyBorder="1" applyAlignment="1">
      <alignment horizontal="left"/>
    </xf>
    <xf numFmtId="0" fontId="2" fillId="3" borderId="2" xfId="0" applyFont="1" applyFill="1" applyBorder="1"/>
    <xf numFmtId="0" fontId="1" fillId="4" borderId="6"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2" fillId="0" borderId="2" xfId="0" quotePrefix="1" applyFont="1" applyBorder="1" applyAlignment="1">
      <alignment horizontal="center"/>
    </xf>
    <xf numFmtId="0" fontId="2" fillId="0" borderId="2" xfId="0" applyFont="1" applyBorder="1" applyAlignment="1">
      <alignment horizontal="center"/>
    </xf>
    <xf numFmtId="0" fontId="2" fillId="0" borderId="2" xfId="0" applyFont="1" applyBorder="1" applyAlignment="1">
      <alignment horizontal="center" wrapText="1"/>
    </xf>
    <xf numFmtId="0" fontId="6" fillId="0" borderId="2" xfId="0" applyFont="1" applyBorder="1" applyAlignment="1">
      <alignment horizontal="center"/>
    </xf>
    <xf numFmtId="0" fontId="1" fillId="0" borderId="7" xfId="0" applyFont="1" applyBorder="1" applyAlignment="1">
      <alignment horizontal="center" vertical="center" wrapText="1"/>
    </xf>
    <xf numFmtId="0" fontId="1" fillId="6" borderId="7"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7" borderId="7" xfId="0" applyFont="1" applyFill="1" applyBorder="1" applyAlignment="1">
      <alignment horizontal="center" vertical="center" wrapText="1"/>
    </xf>
    <xf numFmtId="0" fontId="1" fillId="7" borderId="0" xfId="0" applyFont="1" applyFill="1" applyAlignment="1">
      <alignment horizontal="center" vertical="center" wrapText="1"/>
    </xf>
    <xf numFmtId="0" fontId="6" fillId="2" borderId="2" xfId="0" quotePrefix="1" applyFont="1" applyFill="1" applyBorder="1" applyAlignment="1">
      <alignment horizontal="center" vertical="center" wrapText="1"/>
    </xf>
    <xf numFmtId="0" fontId="6" fillId="2"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6" fillId="0" borderId="2" xfId="0" applyFont="1" applyBorder="1" applyAlignment="1">
      <alignment horizontal="center" vertical="center" wrapText="1"/>
    </xf>
    <xf numFmtId="1" fontId="6" fillId="2" borderId="2" xfId="0" applyNumberFormat="1" applyFont="1" applyFill="1" applyBorder="1" applyAlignment="1">
      <alignment horizontal="center" vertical="center" wrapText="1"/>
    </xf>
    <xf numFmtId="1" fontId="6" fillId="0" borderId="2" xfId="0" applyNumberFormat="1" applyFont="1" applyBorder="1" applyAlignment="1">
      <alignment horizontal="center" vertical="center" wrapText="1"/>
    </xf>
    <xf numFmtId="0" fontId="6" fillId="2" borderId="0" xfId="0" applyFont="1" applyFill="1" applyAlignment="1">
      <alignment horizontal="center" vertical="center" wrapText="1"/>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0" fontId="6" fillId="8"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6" fillId="0" borderId="0" xfId="0" applyFont="1" applyAlignment="1">
      <alignment horizontal="center" vertical="center" wrapText="1"/>
    </xf>
    <xf numFmtId="0" fontId="6" fillId="8" borderId="0" xfId="0" applyFont="1" applyFill="1" applyAlignment="1">
      <alignment horizontal="center" vertical="center" wrapText="1"/>
    </xf>
    <xf numFmtId="0" fontId="10" fillId="8" borderId="2" xfId="0" applyFont="1" applyFill="1" applyBorder="1" applyAlignment="1">
      <alignment horizontal="center" vertical="center" wrapText="1"/>
    </xf>
    <xf numFmtId="1" fontId="6" fillId="8" borderId="2" xfId="0" applyNumberFormat="1" applyFont="1" applyFill="1" applyBorder="1" applyAlignment="1">
      <alignment horizontal="center" vertical="center" wrapText="1"/>
    </xf>
    <xf numFmtId="0" fontId="11" fillId="0" borderId="2" xfId="0" applyFont="1" applyBorder="1" applyAlignment="1">
      <alignment horizontal="center" vertical="center" wrapText="1"/>
    </xf>
    <xf numFmtId="1" fontId="12" fillId="8" borderId="2" xfId="0" applyNumberFormat="1" applyFont="1" applyFill="1" applyBorder="1" applyAlignment="1">
      <alignment horizontal="center" vertical="center" wrapText="1"/>
    </xf>
    <xf numFmtId="0" fontId="2" fillId="8" borderId="2" xfId="0" applyFont="1" applyFill="1" applyBorder="1" applyAlignment="1">
      <alignment horizontal="center" vertical="center" wrapText="1"/>
    </xf>
    <xf numFmtId="0" fontId="13" fillId="8" borderId="2" xfId="0" applyFont="1" applyFill="1" applyBorder="1" applyAlignment="1">
      <alignment horizontal="center" vertical="center" wrapText="1"/>
    </xf>
    <xf numFmtId="0" fontId="14" fillId="8" borderId="2" xfId="0" applyFont="1" applyFill="1" applyBorder="1" applyAlignment="1">
      <alignment horizontal="center" vertical="center" wrapText="1"/>
    </xf>
    <xf numFmtId="49" fontId="6" fillId="8" borderId="2" xfId="0" applyNumberFormat="1" applyFont="1" applyFill="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wrapText="1"/>
    </xf>
    <xf numFmtId="0" fontId="15" fillId="8" borderId="2"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2" fillId="0" borderId="0" xfId="0" applyFont="1" applyAlignment="1">
      <alignment wrapText="1"/>
    </xf>
    <xf numFmtId="0" fontId="3" fillId="0" borderId="0" xfId="0" applyFont="1"/>
    <xf numFmtId="1" fontId="17" fillId="0" borderId="0" xfId="0" applyNumberFormat="1" applyFont="1"/>
    <xf numFmtId="0" fontId="1" fillId="10" borderId="7" xfId="0" applyFont="1" applyFill="1" applyBorder="1" applyAlignment="1">
      <alignment horizontal="center" vertical="center" wrapText="1"/>
    </xf>
    <xf numFmtId="0" fontId="23" fillId="11" borderId="8" xfId="0" applyFont="1" applyFill="1" applyBorder="1" applyAlignment="1">
      <alignment vertical="center" wrapText="1"/>
    </xf>
    <xf numFmtId="0" fontId="23" fillId="11" borderId="14" xfId="0" applyFont="1" applyFill="1" applyBorder="1" applyAlignment="1">
      <alignment vertical="center" wrapText="1"/>
    </xf>
    <xf numFmtId="0" fontId="20" fillId="0" borderId="11" xfId="0" applyFont="1" applyBorder="1" applyAlignment="1">
      <alignment vertical="center" wrapText="1"/>
    </xf>
    <xf numFmtId="164" fontId="20" fillId="0" borderId="11" xfId="0" applyNumberFormat="1" applyFont="1" applyBorder="1" applyAlignment="1">
      <alignment vertical="center" wrapText="1"/>
    </xf>
    <xf numFmtId="0" fontId="23" fillId="11" borderId="11" xfId="0" applyFont="1" applyFill="1" applyBorder="1" applyAlignment="1">
      <alignment vertical="center" wrapText="1"/>
    </xf>
    <xf numFmtId="0" fontId="24" fillId="11" borderId="11" xfId="1" applyFont="1" applyFill="1" applyBorder="1" applyAlignment="1">
      <alignment vertical="center" wrapText="1"/>
    </xf>
    <xf numFmtId="164" fontId="23" fillId="11" borderId="11" xfId="0" applyNumberFormat="1" applyFont="1" applyFill="1" applyBorder="1" applyAlignment="1">
      <alignment vertical="center" wrapText="1"/>
    </xf>
    <xf numFmtId="0" fontId="20" fillId="0" borderId="14" xfId="0" applyFont="1" applyBorder="1" applyAlignment="1">
      <alignment vertical="center" wrapText="1"/>
    </xf>
    <xf numFmtId="0" fontId="20" fillId="11" borderId="8" xfId="0" applyFont="1" applyFill="1" applyBorder="1" applyAlignment="1">
      <alignment vertical="center" wrapText="1"/>
    </xf>
    <xf numFmtId="0" fontId="22" fillId="12" borderId="13" xfId="0" applyFont="1" applyFill="1" applyBorder="1" applyAlignment="1">
      <alignment horizontal="center" vertical="center"/>
    </xf>
    <xf numFmtId="0" fontId="22" fillId="12" borderId="15" xfId="0" applyFont="1" applyFill="1" applyBorder="1" applyAlignment="1">
      <alignment horizontal="center" vertical="center"/>
    </xf>
    <xf numFmtId="0" fontId="22" fillId="12" borderId="10" xfId="0" applyFont="1" applyFill="1" applyBorder="1" applyAlignment="1">
      <alignment horizontal="center" vertical="center"/>
    </xf>
    <xf numFmtId="0" fontId="23" fillId="11" borderId="12" xfId="0" applyFont="1" applyFill="1" applyBorder="1" applyAlignment="1">
      <alignment vertical="center" wrapText="1"/>
    </xf>
    <xf numFmtId="0" fontId="23" fillId="11" borderId="16" xfId="0" applyFont="1" applyFill="1" applyBorder="1" applyAlignment="1">
      <alignment vertical="center" wrapText="1"/>
    </xf>
    <xf numFmtId="0" fontId="24" fillId="11" borderId="16" xfId="1" applyFont="1" applyFill="1" applyBorder="1" applyAlignment="1">
      <alignment vertical="center" wrapText="1"/>
    </xf>
    <xf numFmtId="164" fontId="23" fillId="11" borderId="16" xfId="0" applyNumberFormat="1" applyFont="1" applyFill="1" applyBorder="1" applyAlignment="1">
      <alignment vertical="center" wrapText="1"/>
    </xf>
    <xf numFmtId="0" fontId="20" fillId="11" borderId="9" xfId="0" applyFont="1" applyFill="1" applyBorder="1" applyAlignment="1">
      <alignment vertical="center" wrapText="1"/>
    </xf>
    <xf numFmtId="0" fontId="21" fillId="14" borderId="17" xfId="0" applyFont="1" applyFill="1" applyBorder="1" applyAlignment="1">
      <alignment horizontal="center" vertical="center"/>
    </xf>
    <xf numFmtId="0" fontId="25" fillId="15" borderId="17" xfId="0" applyFont="1" applyFill="1" applyBorder="1" applyAlignment="1">
      <alignment horizontal="center" vertical="center"/>
    </xf>
    <xf numFmtId="0" fontId="27" fillId="17" borderId="0" xfId="0" applyFont="1" applyFill="1"/>
    <xf numFmtId="0" fontId="19" fillId="2" borderId="2" xfId="1" applyFill="1" applyBorder="1" applyAlignment="1">
      <alignment horizontal="center" vertical="center" wrapText="1"/>
    </xf>
    <xf numFmtId="0" fontId="26" fillId="12" borderId="1" xfId="0" applyFont="1" applyFill="1" applyBorder="1" applyAlignment="1">
      <alignment horizontal="center"/>
    </xf>
    <xf numFmtId="0" fontId="0" fillId="0" borderId="1" xfId="0" applyBorder="1"/>
    <xf numFmtId="0" fontId="28" fillId="13" borderId="0" xfId="0" applyFont="1" applyFill="1" applyAlignment="1">
      <alignment horizontal="center"/>
    </xf>
    <xf numFmtId="0" fontId="0" fillId="0" borderId="0" xfId="0"/>
    <xf numFmtId="0" fontId="27" fillId="16" borderId="0" xfId="0" applyFont="1" applyFill="1" applyAlignment="1">
      <alignment horizontal="center"/>
    </xf>
  </cellXfs>
  <cellStyles count="2">
    <cellStyle name="Hipervínculo" xfId="1" builtinId="8"/>
    <cellStyle name="Normal" xfId="0" builtinId="0"/>
  </cellStyles>
  <dxfs count="16">
    <dxf>
      <font>
        <b val="0"/>
        <i val="0"/>
        <strike val="0"/>
        <condense val="0"/>
        <extend val="0"/>
        <outline val="0"/>
        <shadow val="0"/>
        <u val="none"/>
        <vertAlign val="baseline"/>
        <sz val="10"/>
        <color rgb="FF374151"/>
        <name val="Segoe UI"/>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rgb="FF374151"/>
        <name val="Segoe UI"/>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374151"/>
        <name val="Segoe UI"/>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ertAlign val="baseline"/>
        <sz val="10"/>
        <color theme="10"/>
        <name val="Arial"/>
        <family val="2"/>
        <scheme val="minor"/>
      </font>
      <fill>
        <patternFill patternType="solid">
          <fgColor indexed="64"/>
          <bgColor rgb="FFFFFFFF"/>
        </patternFill>
      </fill>
      <alignment horizontal="general"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374151"/>
        <name val="Segoe UI"/>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374151"/>
        <name val="Segoe UI"/>
        <family val="2"/>
        <scheme val="none"/>
      </font>
      <numFmt numFmtId="164" formatCode="dd/mm/yyyy\ hh:mm"/>
      <fill>
        <patternFill patternType="solid">
          <fgColor indexed="64"/>
          <bgColor rgb="FFFFFFFF"/>
        </patternFill>
      </fill>
      <alignment horizontal="general"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374151"/>
        <name val="Segoe UI"/>
        <family val="2"/>
        <scheme val="none"/>
      </font>
      <numFmt numFmtId="164" formatCode="dd/mm/yyyy\ hh:mm"/>
      <fill>
        <patternFill patternType="solid">
          <fgColor indexed="64"/>
          <bgColor rgb="FFFFFFFF"/>
        </patternFill>
      </fill>
      <alignment horizontal="general"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374151"/>
        <name val="Segoe UI"/>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ertAlign val="baseline"/>
        <sz val="10"/>
        <color theme="10"/>
        <name val="Arial"/>
        <family val="2"/>
        <scheme val="minor"/>
      </font>
      <fill>
        <patternFill patternType="solid">
          <fgColor indexed="64"/>
          <bgColor rgb="FFFFFFFF"/>
        </patternFill>
      </fill>
      <alignment horizontal="general"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374151"/>
        <name val="Segoe UI"/>
        <family val="2"/>
        <scheme val="none"/>
      </font>
      <fill>
        <patternFill patternType="solid">
          <fgColor indexed="64"/>
          <bgColor rgb="FFFFFFFF"/>
        </patternFill>
      </fill>
      <alignment horizontal="general"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374151"/>
        <name val="Segoe UI"/>
        <family val="2"/>
        <scheme val="none"/>
      </font>
      <fill>
        <patternFill patternType="solid">
          <fgColor indexed="64"/>
          <bgColor rgb="FFFFFFFF"/>
        </patternFill>
      </fill>
      <alignment horizontal="general"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374151"/>
        <name val="Segoe UI"/>
        <family val="2"/>
        <scheme val="none"/>
      </font>
      <fill>
        <patternFill patternType="solid">
          <fgColor indexed="64"/>
          <bgColor rgb="FFFFFFFF"/>
        </patternFill>
      </fill>
      <alignment horizontal="general" vertical="center" textRotation="0" wrapText="1" indent="0" justifyLastLine="0" shrinkToFit="0" readingOrder="0"/>
    </dxf>
    <dxf>
      <border outline="0">
        <bottom style="thin">
          <color rgb="FFBFBFBF"/>
        </bottom>
      </border>
    </dxf>
    <dxf>
      <font>
        <b/>
        <i val="0"/>
        <strike val="0"/>
        <condense val="0"/>
        <extend val="0"/>
        <outline val="0"/>
        <shadow val="0"/>
        <u val="none"/>
        <vertAlign val="baseline"/>
        <sz val="11"/>
        <color rgb="FFFFFFFF"/>
        <name val="Arial"/>
        <family val="2"/>
        <scheme val="minor"/>
      </font>
      <fill>
        <patternFill patternType="solid">
          <fgColor indexed="64"/>
          <bgColor rgb="FF1F4E78"/>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Tickets por Estado</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doughnutChart>
        <c:varyColors val="1"/>
        <c:ser>
          <c:idx val="0"/>
          <c:order val="0"/>
          <c:tx>
            <c:strRef>
              <c:f>Resumen!$C$10</c:f>
              <c:strCache>
                <c:ptCount val="1"/>
                <c:pt idx="0">
                  <c:v>Cantidad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B7-4A29-B6C5-5D710983BE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B7-4A29-B6C5-5D710983BE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B7-4A29-B6C5-5D710983BE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B7-4A29-B6C5-5D710983BE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C"/>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Resumen!$B$11:$B$14</c:f>
              <c:strCache>
                <c:ptCount val="4"/>
                <c:pt idx="0">
                  <c:v> Cerrado</c:v>
                </c:pt>
                <c:pt idx="1">
                  <c:v> En curso (asignado)</c:v>
                </c:pt>
                <c:pt idx="2">
                  <c:v> Nuevo</c:v>
                </c:pt>
                <c:pt idx="3">
                  <c:v> Resuelto</c:v>
                </c:pt>
              </c:strCache>
            </c:strRef>
          </c:cat>
          <c:val>
            <c:numRef>
              <c:f>Resumen!$C$11:$C$14</c:f>
              <c:numCache>
                <c:formatCode>General</c:formatCode>
                <c:ptCount val="4"/>
                <c:pt idx="0">
                  <c:v>145</c:v>
                </c:pt>
                <c:pt idx="1">
                  <c:v>8</c:v>
                </c:pt>
                <c:pt idx="2">
                  <c:v>1</c:v>
                </c:pt>
                <c:pt idx="3">
                  <c:v>1</c:v>
                </c:pt>
              </c:numCache>
            </c:numRef>
          </c:val>
          <c:extLst>
            <c:ext xmlns:c16="http://schemas.microsoft.com/office/drawing/2014/chart" uri="{C3380CC4-5D6E-409C-BE32-E72D297353CC}">
              <c16:uniqueId val="{00000000-5D69-4688-AED2-1EDE1D9B03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Tickets por Prioridad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pieChart>
        <c:varyColors val="1"/>
        <c:ser>
          <c:idx val="0"/>
          <c:order val="0"/>
          <c:tx>
            <c:strRef>
              <c:f>Resumen!$F$10</c:f>
              <c:strCache>
                <c:ptCount val="1"/>
                <c:pt idx="0">
                  <c:v>Cantidad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32-43C3-9FC3-D33FF610A6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32-43C3-9FC3-D33FF610A6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32-43C3-9FC3-D33FF610A6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C"/>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Resumen!$E$11:$E$13</c:f>
              <c:strCache>
                <c:ptCount val="3"/>
                <c:pt idx="0">
                  <c:v> Alta</c:v>
                </c:pt>
                <c:pt idx="1">
                  <c:v> Baja</c:v>
                </c:pt>
                <c:pt idx="2">
                  <c:v> Media</c:v>
                </c:pt>
              </c:strCache>
            </c:strRef>
          </c:cat>
          <c:val>
            <c:numRef>
              <c:f>Resumen!$F$11:$F$13</c:f>
              <c:numCache>
                <c:formatCode>General</c:formatCode>
                <c:ptCount val="3"/>
                <c:pt idx="0">
                  <c:v>30</c:v>
                </c:pt>
                <c:pt idx="1">
                  <c:v>1</c:v>
                </c:pt>
                <c:pt idx="2">
                  <c:v>124</c:v>
                </c:pt>
              </c:numCache>
            </c:numRef>
          </c:val>
          <c:extLst>
            <c:ext xmlns:c16="http://schemas.microsoft.com/office/drawing/2014/chart" uri="{C3380CC4-5D6E-409C-BE32-E72D297353CC}">
              <c16:uniqueId val="{00000000-E71F-41AC-BDD6-540B1DF882D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Tickets por Técnico Asignado</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barChart>
        <c:barDir val="bar"/>
        <c:grouping val="clustered"/>
        <c:varyColors val="0"/>
        <c:ser>
          <c:idx val="0"/>
          <c:order val="0"/>
          <c:tx>
            <c:strRef>
              <c:f>Resumen!$C$21</c:f>
              <c:strCache>
                <c:ptCount val="1"/>
                <c:pt idx="0">
                  <c:v>Cantidad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C"/>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Resumen!$B$22:$B$26</c:f>
              <c:strCache>
                <c:ptCount val="5"/>
                <c:pt idx="0">
                  <c:v>Casa Chanaluisa Alex Wladimir </c:v>
                </c:pt>
                <c:pt idx="1">
                  <c:v>Chiluisa Armas Luis Patricio </c:v>
                </c:pt>
                <c:pt idx="2">
                  <c:v>glpi </c:v>
                </c:pt>
                <c:pt idx="3">
                  <c:v>glpi  </c:v>
                </c:pt>
                <c:pt idx="4">
                  <c:v>Medina Iturre Edgar Fabricio </c:v>
                </c:pt>
              </c:strCache>
            </c:strRef>
          </c:cat>
          <c:val>
            <c:numRef>
              <c:f>Resumen!$C$22:$C$26</c:f>
              <c:numCache>
                <c:formatCode>General</c:formatCode>
                <c:ptCount val="5"/>
                <c:pt idx="0">
                  <c:v>1</c:v>
                </c:pt>
                <c:pt idx="1">
                  <c:v>67</c:v>
                </c:pt>
                <c:pt idx="2">
                  <c:v>1</c:v>
                </c:pt>
                <c:pt idx="3">
                  <c:v>2</c:v>
                </c:pt>
                <c:pt idx="4">
                  <c:v>71</c:v>
                </c:pt>
              </c:numCache>
            </c:numRef>
          </c:val>
          <c:extLst>
            <c:ext xmlns:c16="http://schemas.microsoft.com/office/drawing/2014/chart" uri="{C3380CC4-5D6E-409C-BE32-E72D297353CC}">
              <c16:uniqueId val="{00000000-025D-4527-9446-48497EEFE871}"/>
            </c:ext>
          </c:extLst>
        </c:ser>
        <c:dLbls>
          <c:showLegendKey val="0"/>
          <c:showVal val="0"/>
          <c:showCatName val="0"/>
          <c:showSerName val="0"/>
          <c:showPercent val="0"/>
          <c:showBubbleSize val="0"/>
        </c:dLbls>
        <c:gapWidth val="182"/>
        <c:axId val="26102911"/>
        <c:axId val="26102431"/>
      </c:barChart>
      <c:catAx>
        <c:axId val="2610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26102431"/>
        <c:crosses val="autoZero"/>
        <c:auto val="1"/>
        <c:lblAlgn val="ctr"/>
        <c:lblOffset val="100"/>
        <c:noMultiLvlLbl val="0"/>
      </c:catAx>
      <c:valAx>
        <c:axId val="26102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2610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10 Categorías de Tickets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C"/>
        </a:p>
      </c:txPr>
    </c:title>
    <c:autoTitleDeleted val="0"/>
    <c:plotArea>
      <c:layout/>
      <c:barChart>
        <c:barDir val="bar"/>
        <c:grouping val="clustered"/>
        <c:varyColors val="0"/>
        <c:ser>
          <c:idx val="0"/>
          <c:order val="0"/>
          <c:tx>
            <c:strRef>
              <c:f>Resumen!$F$21</c:f>
              <c:strCache>
                <c:ptCount val="1"/>
                <c:pt idx="0">
                  <c:v>Cantidad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C"/>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Resumen!$E$22:$E$31</c:f>
              <c:strCache>
                <c:ptCount val="10"/>
                <c:pt idx="0">
                  <c:v>Soporte de aplicaciones de negocio &gt; SICET</c:v>
                </c:pt>
                <c:pt idx="1">
                  <c:v>Soporte de aplicaciones de negocio &gt; ERP Olympo</c:v>
                </c:pt>
                <c:pt idx="2">
                  <c:v>Servicios de Infraestructura y Seguridad &gt; Gestión de Identidad y Acceso</c:v>
                </c:pt>
                <c:pt idx="3">
                  <c:v>Soporte de aplicaciones de negocio &gt; Sitra</c:v>
                </c:pt>
                <c:pt idx="4">
                  <c:v>Soporte de aplicaciones de negocio &gt; Portal Institución</c:v>
                </c:pt>
                <c:pt idx="5">
                  <c:v>Soporte a Equipos de Cómputo y Periféricos &gt; Computadora o laptop</c:v>
                </c:pt>
                <c:pt idx="6">
                  <c:v>Soporte a Equipos de Cómputo y Periféricos &gt; Pantallas digitales</c:v>
                </c:pt>
                <c:pt idx="7">
                  <c:v>Soporte a Equipos de Cómputo y Periféricos &gt; Impresora</c:v>
                </c:pt>
                <c:pt idx="8">
                  <c:v>Servicios de Infraestructura y Seguridad &gt; Copias de Seguridad y Recuperación de Información</c:v>
                </c:pt>
                <c:pt idx="9">
                  <c:v>Gestión de Software de Ofimática y Colaboración &gt; Correo Electrónico Institucional</c:v>
                </c:pt>
              </c:strCache>
            </c:strRef>
          </c:cat>
          <c:val>
            <c:numRef>
              <c:f>Resumen!$F$22:$F$31</c:f>
              <c:numCache>
                <c:formatCode>General</c:formatCode>
                <c:ptCount val="10"/>
                <c:pt idx="0">
                  <c:v>44</c:v>
                </c:pt>
                <c:pt idx="1">
                  <c:v>31</c:v>
                </c:pt>
                <c:pt idx="2">
                  <c:v>15</c:v>
                </c:pt>
                <c:pt idx="3">
                  <c:v>9</c:v>
                </c:pt>
                <c:pt idx="4">
                  <c:v>8</c:v>
                </c:pt>
                <c:pt idx="5">
                  <c:v>7</c:v>
                </c:pt>
                <c:pt idx="6">
                  <c:v>4</c:v>
                </c:pt>
                <c:pt idx="7">
                  <c:v>3</c:v>
                </c:pt>
                <c:pt idx="8">
                  <c:v>3</c:v>
                </c:pt>
                <c:pt idx="9">
                  <c:v>2</c:v>
                </c:pt>
              </c:numCache>
            </c:numRef>
          </c:val>
          <c:extLst>
            <c:ext xmlns:c16="http://schemas.microsoft.com/office/drawing/2014/chart" uri="{C3380CC4-5D6E-409C-BE32-E72D297353CC}">
              <c16:uniqueId val="{00000000-C2E8-49C3-AE5F-F402A4786ACA}"/>
            </c:ext>
          </c:extLst>
        </c:ser>
        <c:dLbls>
          <c:showLegendKey val="0"/>
          <c:showVal val="0"/>
          <c:showCatName val="0"/>
          <c:showSerName val="0"/>
          <c:showPercent val="0"/>
          <c:showBubbleSize val="0"/>
        </c:dLbls>
        <c:gapWidth val="182"/>
        <c:axId val="1358705200"/>
        <c:axId val="1628758304"/>
      </c:barChart>
      <c:catAx>
        <c:axId val="1358705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628758304"/>
        <c:crosses val="autoZero"/>
        <c:auto val="1"/>
        <c:lblAlgn val="ctr"/>
        <c:lblOffset val="100"/>
        <c:noMultiLvlLbl val="0"/>
      </c:catAx>
      <c:valAx>
        <c:axId val="1628758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35870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1038225</xdr:colOff>
      <xdr:row>17</xdr:row>
      <xdr:rowOff>180975</xdr:rowOff>
    </xdr:from>
    <xdr:ext cx="6677025" cy="167640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7</xdr:col>
      <xdr:colOff>30443</xdr:colOff>
      <xdr:row>2</xdr:row>
      <xdr:rowOff>56030</xdr:rowOff>
    </xdr:from>
    <xdr:to>
      <xdr:col>15</xdr:col>
      <xdr:colOff>30443</xdr:colOff>
      <xdr:row>17</xdr:row>
      <xdr:rowOff>22973</xdr:rowOff>
    </xdr:to>
    <xdr:graphicFrame macro="">
      <xdr:nvGraphicFramePr>
        <xdr:cNvPr id="2" name="Gráfico 1">
          <a:extLst>
            <a:ext uri="{FF2B5EF4-FFF2-40B4-BE49-F238E27FC236}">
              <a16:creationId xmlns:a16="http://schemas.microsoft.com/office/drawing/2014/main" id="{45E8AE6C-E8CF-42C2-133A-8CE7DC9DE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758825</xdr:colOff>
      <xdr:row>2</xdr:row>
      <xdr:rowOff>0</xdr:rowOff>
    </xdr:from>
    <xdr:to>
      <xdr:col>22</xdr:col>
      <xdr:colOff>758825</xdr:colOff>
      <xdr:row>16</xdr:row>
      <xdr:rowOff>123825</xdr:rowOff>
    </xdr:to>
    <xdr:graphicFrame macro="">
      <xdr:nvGraphicFramePr>
        <xdr:cNvPr id="3" name="Gráfico 2">
          <a:extLst>
            <a:ext uri="{FF2B5EF4-FFF2-40B4-BE49-F238E27FC236}">
              <a16:creationId xmlns:a16="http://schemas.microsoft.com/office/drawing/2014/main" id="{60E6321E-9C54-4D9C-3475-C9FE8B173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1139825</xdr:colOff>
      <xdr:row>17</xdr:row>
      <xdr:rowOff>114300</xdr:rowOff>
    </xdr:from>
    <xdr:to>
      <xdr:col>14</xdr:col>
      <xdr:colOff>758825</xdr:colOff>
      <xdr:row>34</xdr:row>
      <xdr:rowOff>60325</xdr:rowOff>
    </xdr:to>
    <xdr:graphicFrame macro="">
      <xdr:nvGraphicFramePr>
        <xdr:cNvPr id="4" name="Gráfico 3">
          <a:extLst>
            <a:ext uri="{FF2B5EF4-FFF2-40B4-BE49-F238E27FC236}">
              <a16:creationId xmlns:a16="http://schemas.microsoft.com/office/drawing/2014/main" id="{26C27AA2-A8AE-0290-1362-0DA450229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758825</xdr:colOff>
      <xdr:row>17</xdr:row>
      <xdr:rowOff>114299</xdr:rowOff>
    </xdr:from>
    <xdr:to>
      <xdr:col>27</xdr:col>
      <xdr:colOff>758825</xdr:colOff>
      <xdr:row>39</xdr:row>
      <xdr:rowOff>47624</xdr:rowOff>
    </xdr:to>
    <xdr:graphicFrame macro="">
      <xdr:nvGraphicFramePr>
        <xdr:cNvPr id="5" name="Gráfico 4">
          <a:extLst>
            <a:ext uri="{FF2B5EF4-FFF2-40B4-BE49-F238E27FC236}">
              <a16:creationId xmlns:a16="http://schemas.microsoft.com/office/drawing/2014/main" id="{426FD35A-1335-E598-2113-6E9A2D1DF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0</xdr:colOff>
      <xdr:row>5</xdr:row>
      <xdr:rowOff>9525</xdr:rowOff>
    </xdr:from>
    <xdr:ext cx="6934200" cy="3705225"/>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2F5F14-BA8F-4334-9865-3CE71B448435}" name="TablaTickets" displayName="TablaTickets" ref="C1:M156" totalsRowShown="0" headerRowDxfId="15" dataDxfId="13" headerRowBorderDxfId="14" tableBorderDxfId="12" totalsRowBorderDxfId="11">
  <autoFilter ref="C1:M156" xr:uid="{9A2F5F14-BA8F-4334-9865-3CE71B448435}"/>
  <tableColumns count="11">
    <tableColumn id="1" xr3:uid="{6BB11943-5A3A-484B-891F-FFB34B51B9F1}" name="#" dataDxfId="10">
      <calculatedColumnFormula>ROW()-1</calculatedColumnFormula>
    </tableColumn>
    <tableColumn id="2" xr3:uid="{D605835A-95F8-4B14-9EAC-04C3A794AE33}" name="TICKET" dataDxfId="9"/>
    <tableColumn id="3" xr3:uid="{569364CE-8D0D-4142-A2D4-1EA0BBD03539}" name="ASUNTO" dataDxfId="8" dataCellStyle="Hipervínculo"/>
    <tableColumn id="4" xr3:uid="{0D6BB996-E472-4D56-AEDE-AE81896CF533}" name="ESTADO" dataDxfId="7"/>
    <tableColumn id="5" xr3:uid="{DF879F46-0586-4A07-9681-583948C78726}" name="FECHA CIERRE" dataDxfId="6"/>
    <tableColumn id="6" xr3:uid="{33B8E64A-13C7-4548-8A02-FC45B81A111C}" name="FECHA APERTURA" dataDxfId="5"/>
    <tableColumn id="7" xr3:uid="{B5DAC654-830D-42F8-BDE9-6339C6F95706}" name="PRIORIDAD" dataDxfId="4"/>
    <tableColumn id="8" xr3:uid="{CE0105A3-1D48-46C6-828E-E01D3B4CFB15}" name="SOLICITANTE" dataDxfId="3" dataCellStyle="Hipervínculo"/>
    <tableColumn id="9" xr3:uid="{C5B540D9-1D77-48D5-BC1E-99CBE5304A72}" name="TÉCNICO ASIGNADO" dataDxfId="2"/>
    <tableColumn id="10" xr3:uid="{A3D1EE18-B5F0-4B0D-BAD5-A1CB54F70649}" name="CATEGORÍA" dataDxfId="1"/>
    <tableColumn id="11" xr3:uid="{426505A9-A262-4F40-BBC8-277DE80EBCE2}" name="OBSERVACIÓN"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google.com/maps/d/u/0/edit?mid=1YVsoN6sodWpi2FU7l3A_HcF9bp4ad5w&amp;usp=sharing" TargetMode="External"/><Relationship Id="rId21" Type="http://schemas.openxmlformats.org/officeDocument/2006/relationships/hyperlink" Target="https://www.google.com/maps/d/edit?mid=1VDavNZhOfRds6GiNyo--oSyh9VzGP2g&amp;usp=drive_link" TargetMode="External"/><Relationship Id="rId42" Type="http://schemas.openxmlformats.org/officeDocument/2006/relationships/hyperlink" Target="https://www.google.com/maps/d/u/0/edit?mid=1ACnIJq_sB2XA17HYzVN-gIstK8baiGQ&amp;usp=sharing" TargetMode="External"/><Relationship Id="rId63" Type="http://schemas.openxmlformats.org/officeDocument/2006/relationships/hyperlink" Target="https://www.google.com/maps/d/edit?mid=1E-RW2JpfAcl1Z6OpvDO86JsIIlUMiDc&amp;usp=sharing" TargetMode="External"/><Relationship Id="rId84" Type="http://schemas.openxmlformats.org/officeDocument/2006/relationships/hyperlink" Target="https://www.google.com/maps/d/u/0/edit?mid=1bBCHY7_0P_6Y551_wl6EghIt_ZW3HOo&amp;usp=sharing" TargetMode="External"/><Relationship Id="rId138" Type="http://schemas.openxmlformats.org/officeDocument/2006/relationships/hyperlink" Target="https://www.google.com/maps/d/u/0/edit?mid=1oWZqSNCg0ufovZSDwDdfZ3yCD944CY0&amp;usp=sharing" TargetMode="External"/><Relationship Id="rId107" Type="http://schemas.openxmlformats.org/officeDocument/2006/relationships/hyperlink" Target="https://www.google.com/maps/d/u/0/edit?mid=1MqaBfQaWtcRmcc5msN2ZLBWGTXSl098&amp;usp=sharing" TargetMode="External"/><Relationship Id="rId11" Type="http://schemas.openxmlformats.org/officeDocument/2006/relationships/hyperlink" Target="https://www.google.com/maps/d/u/0/edit?mid=1hLFaHdE51z9g8iAhOcMvKGespI-utM8&amp;usp=sharing" TargetMode="External"/><Relationship Id="rId32" Type="http://schemas.openxmlformats.org/officeDocument/2006/relationships/hyperlink" Target="https://www.google.com/maps/d/u/0/edit?mid=10qtml-aGHZtUslN2XTfvIxABsZOiCjo&amp;usp=sharing" TargetMode="External"/><Relationship Id="rId53" Type="http://schemas.openxmlformats.org/officeDocument/2006/relationships/hyperlink" Target="https://www.google.com/maps/d/edit?mid=1kNSnKp_VvF0R_EZ7QTAUyK1uJs8ybJI&amp;usp=sharing" TargetMode="External"/><Relationship Id="rId74" Type="http://schemas.openxmlformats.org/officeDocument/2006/relationships/hyperlink" Target="https://www.google.com/maps/d/u/0/edit?mid=1ELCoI16mDgK0PwkRQGufrsc5bwkNOlo&amp;usp=sharing" TargetMode="External"/><Relationship Id="rId128" Type="http://schemas.openxmlformats.org/officeDocument/2006/relationships/hyperlink" Target="https://www.google.com/maps/d/u/0/edit?mid=1xyF9LnvD6Fs6ZkR6ciBcaE4gkiVu63I&amp;usp=sharing" TargetMode="External"/><Relationship Id="rId149" Type="http://schemas.openxmlformats.org/officeDocument/2006/relationships/hyperlink" Target="https://www.google.com/maps/d/u/0/edit?mid=1kT0TTHPkobTNpvpT_7E2Lrchphu7aao&amp;usp=sharing" TargetMode="External"/><Relationship Id="rId5" Type="http://schemas.openxmlformats.org/officeDocument/2006/relationships/hyperlink" Target="https://www.google.com/maps/d/edit?mid=1BmEgyZffuOaFNfpA9kjukiV5BAmn6aY&amp;usp=drive_link" TargetMode="External"/><Relationship Id="rId95" Type="http://schemas.openxmlformats.org/officeDocument/2006/relationships/hyperlink" Target="https://www.google.com/maps/d/u/0/edit?mid=1U_8PK-WF0AO7UmHQax5wYmbG33eUtQs&amp;usp=sharing" TargetMode="External"/><Relationship Id="rId22" Type="http://schemas.openxmlformats.org/officeDocument/2006/relationships/hyperlink" Target="https://www.google.com/maps/d/edit?mid=1-CFiq0E6k5sMmjOj7_7qeTo61CAMFCc&amp;usp=drive_link" TargetMode="External"/><Relationship Id="rId27" Type="http://schemas.openxmlformats.org/officeDocument/2006/relationships/hyperlink" Target="https://www.google.com/maps/d/u/0/edit?mid=1sTpy2NuchI3ofXDPfLloqyoMdtIAVhE&amp;usp=sharing" TargetMode="External"/><Relationship Id="rId43" Type="http://schemas.openxmlformats.org/officeDocument/2006/relationships/hyperlink" Target="https://www.google.com/maps/d/u/0/edit?mid=1WHO5DNZArzaEw9vIcB3qNMWtiqeytbw&amp;usp=sharing" TargetMode="External"/><Relationship Id="rId48" Type="http://schemas.openxmlformats.org/officeDocument/2006/relationships/hyperlink" Target="https://www.google.com/maps/d/u/0/edit?mid=1z203KKOwAqjWrZLr2Jth4CcscydF8cU&amp;usp=sharing" TargetMode="External"/><Relationship Id="rId64" Type="http://schemas.openxmlformats.org/officeDocument/2006/relationships/hyperlink" Target="https://www.google.com/maps/d/edit?mid=1yHSSZ41gBq9yM2COypKD3iqTYCdHzuQ&amp;usp=sharing" TargetMode="External"/><Relationship Id="rId69" Type="http://schemas.openxmlformats.org/officeDocument/2006/relationships/hyperlink" Target="https://www.google.com/maps/d/u/0/edit?mid=1dTCysE3lwBFbuIGqtoSL942MSe3RbZo&amp;usp=sharing" TargetMode="External"/><Relationship Id="rId113" Type="http://schemas.openxmlformats.org/officeDocument/2006/relationships/hyperlink" Target="https://www.google.com/maps/d/u/0/edit?mid=1QJ1SrlpF9GWEVAG0gzVY2G07fjiZjMg&amp;usp=sharing" TargetMode="External"/><Relationship Id="rId118" Type="http://schemas.openxmlformats.org/officeDocument/2006/relationships/hyperlink" Target="https://www.google.com/maps/d/u/0/edit?mid=12tmlDvyaDh62cVO3bx7XnBL8g2RMJFo&amp;usp=sharing" TargetMode="External"/><Relationship Id="rId134" Type="http://schemas.openxmlformats.org/officeDocument/2006/relationships/hyperlink" Target="https://www.google.com/maps/d/u/0/edit?mid=1u-8mCKliVWF7U9-iX4_jM_8Su3bskLg&amp;usp=sharing" TargetMode="External"/><Relationship Id="rId139" Type="http://schemas.openxmlformats.org/officeDocument/2006/relationships/hyperlink" Target="https://www.google.com/maps/d/u/0/edit?mid=19lcn1cREOVktcE9wyb-IJpBFCEzDaSY&amp;usp=sharing" TargetMode="External"/><Relationship Id="rId80" Type="http://schemas.openxmlformats.org/officeDocument/2006/relationships/hyperlink" Target="https://www.google.com/maps/d/u/0/edit?mid=1vWEtGhe7P65WqbX3pSe67yJqluqHRlk&amp;usp=sharing" TargetMode="External"/><Relationship Id="rId85" Type="http://schemas.openxmlformats.org/officeDocument/2006/relationships/hyperlink" Target="https://www.google.com/maps/d/u/0/edit?mid=1oxY5cC8bd65eJjpfJSyxv93bnaaouA0&amp;usp=sharing" TargetMode="External"/><Relationship Id="rId150" Type="http://schemas.openxmlformats.org/officeDocument/2006/relationships/hyperlink" Target="https://www.google.com/maps/d/u/0/edit?mid=1onN_ePBfzu-_T585LH4UJ8rwVOtoDpM&amp;usp=sharing" TargetMode="External"/><Relationship Id="rId12" Type="http://schemas.openxmlformats.org/officeDocument/2006/relationships/hyperlink" Target="https://www.google.com/maps/d/edit?mid=1WfFDmpjbXAMjNtlV6xomg4tkf6LlDDQ&amp;usp=drive_link" TargetMode="External"/><Relationship Id="rId17" Type="http://schemas.openxmlformats.org/officeDocument/2006/relationships/hyperlink" Target="https://www.google.com/maps/d/edit?mid=1JwEH-1fjjFncTMoXKZ9n4RPqfkNPsoY&amp;usp=drive_link" TargetMode="External"/><Relationship Id="rId33" Type="http://schemas.openxmlformats.org/officeDocument/2006/relationships/hyperlink" Target="https://www.google.com/maps/d/u/0/edit?mid=1TRYg5TbzKkeQD-_7KT97aGa-6tn9HaU&amp;usp=sharing" TargetMode="External"/><Relationship Id="rId38" Type="http://schemas.openxmlformats.org/officeDocument/2006/relationships/hyperlink" Target="https://www.google.com/maps/d/u/0/edit?mid=1XxBokk1yWaWhGsSbfoSqf_romOBQaD8&amp;usp=sharing" TargetMode="External"/><Relationship Id="rId59" Type="http://schemas.openxmlformats.org/officeDocument/2006/relationships/hyperlink" Target="https://www.google.com/maps/d/edit?mid=1tNU9gyHqZuzbA1TTn8fXoTaf_KM0P9Q&amp;usp=sharing" TargetMode="External"/><Relationship Id="rId103" Type="http://schemas.openxmlformats.org/officeDocument/2006/relationships/hyperlink" Target="https://www.google.com/maps/d/u/0/edit?mid=1MndQId4_id-6nH0Tws3J9yMvxt3Er2U&amp;usp=sharing" TargetMode="External"/><Relationship Id="rId108" Type="http://schemas.openxmlformats.org/officeDocument/2006/relationships/hyperlink" Target="https://www.google.com/maps/d/u/0/edit?mid=19tobS5s9VWRRAY6jlkh-6AM7aQ5OCYc&amp;usp=sharing" TargetMode="External"/><Relationship Id="rId124" Type="http://schemas.openxmlformats.org/officeDocument/2006/relationships/hyperlink" Target="https://www.google.com/maps/d/u/0/edit?mid=1W11ywBy5w6Aa7iFfmY3pCaNelJeu8Q8&amp;usp=sharing" TargetMode="External"/><Relationship Id="rId129" Type="http://schemas.openxmlformats.org/officeDocument/2006/relationships/hyperlink" Target="https://www.google.com/maps/d/u/0/edit?mid=11lilk-IJbnHP_WxCIodAsBWu3zfZqaA&amp;usp=sharing" TargetMode="External"/><Relationship Id="rId54" Type="http://schemas.openxmlformats.org/officeDocument/2006/relationships/hyperlink" Target="https://www.google.com/maps/d/edit?mid=1VPe7XhZqhvixSjsLuxxnKehBfkutjhI&amp;usp=sharing" TargetMode="External"/><Relationship Id="rId70" Type="http://schemas.openxmlformats.org/officeDocument/2006/relationships/hyperlink" Target="https://www.google.com/maps/d/edit?mid=1Btas5sRdGMRFpu7_u9T3wtzrNVNOEqo&amp;usp=sharing" TargetMode="External"/><Relationship Id="rId75" Type="http://schemas.openxmlformats.org/officeDocument/2006/relationships/hyperlink" Target="https://www.google.com/maps/d/u/0/edit?mid=1UgVsoPj9Ee7Q-MsKbnR4FVaGSKHxTpQ&amp;usp=sharing" TargetMode="External"/><Relationship Id="rId91" Type="http://schemas.openxmlformats.org/officeDocument/2006/relationships/hyperlink" Target="https://www.google.com/maps/d/u/0/edit?mid=1-pnJR_gZN15UERRjGn3YWlSkTY87sU4&amp;usp=sharing" TargetMode="External"/><Relationship Id="rId96" Type="http://schemas.openxmlformats.org/officeDocument/2006/relationships/hyperlink" Target="https://www.google.com/maps/d/u/0/edit?mid=1f42VkJGbxe0nJ4BFCFSgVaKIMefWVbc&amp;usp=sharing" TargetMode="External"/><Relationship Id="rId140" Type="http://schemas.openxmlformats.org/officeDocument/2006/relationships/hyperlink" Target="https://www.google.com/maps/d/u/0/edit?mid=12Tes_FQcRZsoBxvcZEhZip6nB8Y5QuM&amp;usp=sharing" TargetMode="External"/><Relationship Id="rId145" Type="http://schemas.openxmlformats.org/officeDocument/2006/relationships/hyperlink" Target="https://www.google.com/maps/d/u/0/edit?mid=1dzIo_ZKmIlQIHHwPkgrz3qKh4Pdukcc&amp;usp=sharing" TargetMode="External"/><Relationship Id="rId1" Type="http://schemas.openxmlformats.org/officeDocument/2006/relationships/hyperlink" Target="https://www.google.com/maps/d/edit?mid=1upWwdyGKcSFM8yEOjftREmBG9ap95MI&amp;usp=sharing" TargetMode="External"/><Relationship Id="rId6" Type="http://schemas.openxmlformats.org/officeDocument/2006/relationships/hyperlink" Target="https://www.google.com/maps/d/edit?mid=1gfoDaWH4tRywZ4FAAwdlp2C5sJAAxi0&amp;usp=sharing" TargetMode="External"/><Relationship Id="rId23" Type="http://schemas.openxmlformats.org/officeDocument/2006/relationships/hyperlink" Target="https://www.google.com/maps/d/edit?mid=1H4_hh0ulWv-1xk4dTlmYvKj3FRMn_as&amp;usp=drive_link" TargetMode="External"/><Relationship Id="rId28" Type="http://schemas.openxmlformats.org/officeDocument/2006/relationships/hyperlink" Target="https://www.google.com/maps/d/u/0/edit?mid=1ehyfYRvJ4ehSjTKcX9GjcgU-TsqyzI0&amp;usp=sharing" TargetMode="External"/><Relationship Id="rId49" Type="http://schemas.openxmlformats.org/officeDocument/2006/relationships/hyperlink" Target="https://www.google.com/maps/d/u/0/edit?mid=1yTPAbnQ-GX4BUr9UlfiDHV9Y7bvXrVU&amp;usp=sharing" TargetMode="External"/><Relationship Id="rId114" Type="http://schemas.openxmlformats.org/officeDocument/2006/relationships/hyperlink" Target="https://www.google.com/maps/d/u/0/edit?mid=1oXnjp2KtU0GBbWE-hOrW3ARNzrWHS5Q&amp;usp=sharing" TargetMode="External"/><Relationship Id="rId119" Type="http://schemas.openxmlformats.org/officeDocument/2006/relationships/hyperlink" Target="https://www.google.com/maps/d/u/0/edit?mid=1kPuI3J0qqxx1KKs8XQ3XKjIVrf6hWQo&amp;usp=sharing" TargetMode="External"/><Relationship Id="rId44" Type="http://schemas.openxmlformats.org/officeDocument/2006/relationships/hyperlink" Target="https://www.google.com/maps/d/u/0/edit?mid=1fZc3TkLdpjG1xDtA4oMkZxer_RwbmgA&amp;usp=sharing" TargetMode="External"/><Relationship Id="rId60" Type="http://schemas.openxmlformats.org/officeDocument/2006/relationships/hyperlink" Target="https://www.google.com/maps/d/edit?mid=1MO45o29Bdn9YYp_Id4XbHrhg-EbTqao&amp;usp=sharing" TargetMode="External"/><Relationship Id="rId65" Type="http://schemas.openxmlformats.org/officeDocument/2006/relationships/hyperlink" Target="https://www.google.com/maps/d/edit?mid=1Vd3QM8TS19-SUhB1kN1FhG2B3vtcnm4&amp;usp=sharing" TargetMode="External"/><Relationship Id="rId81" Type="http://schemas.openxmlformats.org/officeDocument/2006/relationships/hyperlink" Target="https://www.google.com/maps/d/edit?mid=1YCG_VTUKrefYBUE7KVJMbf0tNDCgth4&amp;usp=sharing" TargetMode="External"/><Relationship Id="rId86" Type="http://schemas.openxmlformats.org/officeDocument/2006/relationships/hyperlink" Target="https://www.google.com/maps/d/u/0/edit?mid=1EAACwtmjJS13s1hYj-N0V2fsovXlI3o&amp;usp=sharing" TargetMode="External"/><Relationship Id="rId130" Type="http://schemas.openxmlformats.org/officeDocument/2006/relationships/hyperlink" Target="https://www.google.com/maps/d/u/0/edit?mid=155mu_oDxILeMwFfcI2rl1hACMKJIewU&amp;usp=sharing" TargetMode="External"/><Relationship Id="rId135" Type="http://schemas.openxmlformats.org/officeDocument/2006/relationships/hyperlink" Target="https://www.google.com/maps/d/u/1/edit?mid=1E_gmrIxQew3bMuXCX0AizcI6wozIJKQ&amp;usp=sharing" TargetMode="External"/><Relationship Id="rId151" Type="http://schemas.openxmlformats.org/officeDocument/2006/relationships/hyperlink" Target="https://www.google.com/maps/d/u/1/edit?mid=1dR5Hpzhz08dgf06R-JXsVcQMKY_D6K0&amp;usp=sharing" TargetMode="External"/><Relationship Id="rId13" Type="http://schemas.openxmlformats.org/officeDocument/2006/relationships/hyperlink" Target="https://www.google.com/maps/d/edit?mid=1yS4As1P4RYZBvsSt5_CfKH8_vd1IABs&amp;usp=drive_link" TargetMode="External"/><Relationship Id="rId18" Type="http://schemas.openxmlformats.org/officeDocument/2006/relationships/hyperlink" Target="https://www.google.com/maps/d/edit?mid=1Pc4frukcLLeckLXfd1NipMh4jSDbgTQ&amp;usp=drive_link" TargetMode="External"/><Relationship Id="rId39" Type="http://schemas.openxmlformats.org/officeDocument/2006/relationships/hyperlink" Target="https://www.google.com/maps/d/u/0/edit?mid=1ZkceVByiwiR92byeO4xOKtkrFvnChxY&amp;usp=sharing" TargetMode="External"/><Relationship Id="rId109" Type="http://schemas.openxmlformats.org/officeDocument/2006/relationships/hyperlink" Target="https://www.google.com/maps/d/u/0/edit?mid=1eNpOlsc0HbiiTjCgBnUrKGNc5QK-5nM&amp;usp=sharing" TargetMode="External"/><Relationship Id="rId34" Type="http://schemas.openxmlformats.org/officeDocument/2006/relationships/hyperlink" Target="https://www.google.com/maps/d/u/0/edit?mid=1sAJh2cq3jTUGW7scwVvUD97CMgPaIns&amp;usp=sharing" TargetMode="External"/><Relationship Id="rId50" Type="http://schemas.openxmlformats.org/officeDocument/2006/relationships/hyperlink" Target="https://www.google.com/maps/d/u/0/edit?mid=1-QsaYCEtH7q3EnrMjWumVZPdW1IFPLI&amp;usp=sharing" TargetMode="External"/><Relationship Id="rId55" Type="http://schemas.openxmlformats.org/officeDocument/2006/relationships/hyperlink" Target="https://www.google.com/maps/d/u/0/edit?mid=14Bwseh226BN9-AFeoePyUsukFdH3V0I&amp;usp=sharing" TargetMode="External"/><Relationship Id="rId76" Type="http://schemas.openxmlformats.org/officeDocument/2006/relationships/hyperlink" Target="https://www.google.com/maps/d/u/0/edit?mid=1RYfSK8rZgeMaXaitPW2lRq-JbsvY6kk&amp;usp=sharing" TargetMode="External"/><Relationship Id="rId97" Type="http://schemas.openxmlformats.org/officeDocument/2006/relationships/hyperlink" Target="https://www.google.com/maps/d/u/0/edit?mid=1kYPvatl4ZhuuOscTGsSNO-tRNnanqKg&amp;usp=sharing" TargetMode="External"/><Relationship Id="rId104" Type="http://schemas.openxmlformats.org/officeDocument/2006/relationships/hyperlink" Target="https://www.google.com/maps/d/u/0/edit?mid=1nBuUC1kwF9Zzyr6sqWzPMJzyK-T-7lo&amp;usp=sharing" TargetMode="External"/><Relationship Id="rId120" Type="http://schemas.openxmlformats.org/officeDocument/2006/relationships/hyperlink" Target="https://www.google.com/maps/d/u/0/edit?mid=1U2kCEFC9xNE24km9nq7vnStduo2kUG0&amp;usp=sharing" TargetMode="External"/><Relationship Id="rId125" Type="http://schemas.openxmlformats.org/officeDocument/2006/relationships/hyperlink" Target="https://www.google.com/maps/d/u/0/edit?mid=1aeFvgDHfCLxXyFRo3nCXDRF_N1hf-uY&amp;usp=sharing" TargetMode="External"/><Relationship Id="rId141" Type="http://schemas.openxmlformats.org/officeDocument/2006/relationships/hyperlink" Target="https://www.google.com/maps/d/u/0/edit?mid=1ZyaPNavnp99UFNynQ2FsSNmSYola2Fk&amp;usp=sharing" TargetMode="External"/><Relationship Id="rId146" Type="http://schemas.openxmlformats.org/officeDocument/2006/relationships/hyperlink" Target="https://www.google.com/maps/d/u/0/edit?mid=1THTEq0b8QBKE50BbILPAgcC8gD_C_rY&amp;usp=sharing" TargetMode="External"/><Relationship Id="rId7" Type="http://schemas.openxmlformats.org/officeDocument/2006/relationships/hyperlink" Target="https://www.google.com/maps/d/edit?mid=1m291Fej0LC17aa9Mrk7SeyOr76wGXe0&amp;usp=sharing" TargetMode="External"/><Relationship Id="rId71" Type="http://schemas.openxmlformats.org/officeDocument/2006/relationships/hyperlink" Target="https://www.google.com/maps/d/u/0/edit?mid=1RyYMuXLHeo-8t6fwinDUDZsuF2qewsQ&amp;usp=sharing" TargetMode="External"/><Relationship Id="rId92" Type="http://schemas.openxmlformats.org/officeDocument/2006/relationships/hyperlink" Target="https://www.google.com/maps/d/u/0/edit?mid=1h4M2N4KahZ4CFLyhfUwEocJDMtbbhBo&amp;usp=sharing" TargetMode="External"/><Relationship Id="rId2" Type="http://schemas.openxmlformats.org/officeDocument/2006/relationships/hyperlink" Target="https://www.google.com/maps/d/edit?mid=1UIGgFhBe6Z3u0nI8BmeggIxUUrbLpbQ&amp;usp=drive_link" TargetMode="External"/><Relationship Id="rId29" Type="http://schemas.openxmlformats.org/officeDocument/2006/relationships/hyperlink" Target="https://www.google.com/maps/d/u/0/edit?mid=1vuSoWg_3Qfxs68PSgRuS4YE6EpCt8_U&amp;usp=sharing" TargetMode="External"/><Relationship Id="rId24" Type="http://schemas.openxmlformats.org/officeDocument/2006/relationships/hyperlink" Target="https://www.google.com/maps/d/edit?mid=1yWOw43xtH4FbNqo9xCSThqvD2WOaDkA&amp;usp=drive_link" TargetMode="External"/><Relationship Id="rId40" Type="http://schemas.openxmlformats.org/officeDocument/2006/relationships/hyperlink" Target="https://www.google.com/maps/d/u/0/edit?mid=1FxMSe1jO8CCwF-lht1BcgyT6EWcM1EI&amp;usp=sharing" TargetMode="External"/><Relationship Id="rId45" Type="http://schemas.openxmlformats.org/officeDocument/2006/relationships/hyperlink" Target="https://www.google.com/maps/d/u/0/edit?mid=1QJ9K3hg71oclbqZO1Miw10emDfA0vO0&amp;usp=sharing" TargetMode="External"/><Relationship Id="rId66" Type="http://schemas.openxmlformats.org/officeDocument/2006/relationships/hyperlink" Target="https://www.google.com/maps/d/u/0/edit?mid=1_GJm5bNlVJ6Nqciiq_wcXKHOvwApkog&amp;usp=sharing" TargetMode="External"/><Relationship Id="rId87" Type="http://schemas.openxmlformats.org/officeDocument/2006/relationships/hyperlink" Target="https://www.google.com/maps/d/u/0/edit?mid=1EmPg9cGsjwS7ulvX9GLc0IViS2DimW0&amp;usp=sharing" TargetMode="External"/><Relationship Id="rId110" Type="http://schemas.openxmlformats.org/officeDocument/2006/relationships/hyperlink" Target="https://www.google.com/maps/d/u/0/edit?mid=14AGO-unpq9d8gfoz6VNdcyoJhMfSOjU&amp;usp=sharing" TargetMode="External"/><Relationship Id="rId115" Type="http://schemas.openxmlformats.org/officeDocument/2006/relationships/hyperlink" Target="https://www.google.com/maps/d/u/0/edit?mid=1QzjvU06PeaTcVcuNpWEroaEi2TPO6j4&amp;usp=sharing" TargetMode="External"/><Relationship Id="rId131" Type="http://schemas.openxmlformats.org/officeDocument/2006/relationships/hyperlink" Target="https://www.google.com/maps/d/u/0/edit?mid=1ofrSppfPe_cU2zHPCeWVcEuV3KOL67k&amp;usp=sharing" TargetMode="External"/><Relationship Id="rId136" Type="http://schemas.openxmlformats.org/officeDocument/2006/relationships/hyperlink" Target="https://www.google.com/maps/d/u/1/edit?mid=1ujfdIFH1VSEB2I4BEmF8XpCORglQ0ks&amp;usp=sharing" TargetMode="External"/><Relationship Id="rId61" Type="http://schemas.openxmlformats.org/officeDocument/2006/relationships/hyperlink" Target="https://www.google.com/maps/d/edit?mid=1odZMbpF6718MTTD2RDVDNU88rTEivrg&amp;usp=sharing" TargetMode="External"/><Relationship Id="rId82" Type="http://schemas.openxmlformats.org/officeDocument/2006/relationships/hyperlink" Target="https://www.google.com/maps/d/u/0/edit?mid=145_jTKCXwDFcMHz0CXGAV4sNeCUM8iE&amp;usp=sharing" TargetMode="External"/><Relationship Id="rId152" Type="http://schemas.openxmlformats.org/officeDocument/2006/relationships/hyperlink" Target="https://www.google.com/maps/d/u/0/edit?mid=1_yihIr5DTxpiZVYc8nRQxPUGRBChq0I&amp;usp=sharing" TargetMode="External"/><Relationship Id="rId19" Type="http://schemas.openxmlformats.org/officeDocument/2006/relationships/hyperlink" Target="https://www.google.com/maps/d/viewer?mid=1YAiHbP_szS9lt85Q0ZmVgnBw-uCjr5w&amp;ll=-0.01814251929989333%2C-78.46965506884766&amp;z=13" TargetMode="External"/><Relationship Id="rId14" Type="http://schemas.openxmlformats.org/officeDocument/2006/relationships/hyperlink" Target="https://www.google.com/maps/d/edit?mid=1CHPVBnxTtTGfGbt5HSeKJizmcw-P6Dc&amp;usp=drive_link" TargetMode="External"/><Relationship Id="rId30" Type="http://schemas.openxmlformats.org/officeDocument/2006/relationships/hyperlink" Target="https://www.google.com/maps/d/u/0/edit?mid=1vuSoWg_3Qfxs68PSgRuS4YE6EpCt8_U&amp;usp=sharing" TargetMode="External"/><Relationship Id="rId35" Type="http://schemas.openxmlformats.org/officeDocument/2006/relationships/hyperlink" Target="https://www.google.com/maps/d/u/0/edit?mid=131L5esv4Jicj3Ntl8cAptNDtARjxYc0&amp;usp=sharing" TargetMode="External"/><Relationship Id="rId56" Type="http://schemas.openxmlformats.org/officeDocument/2006/relationships/hyperlink" Target="https://www.google.com/maps/d/edit?mid=1NX7novbzkaXp47vPT3f1rWanYB3TyTU&amp;usp=sharing" TargetMode="External"/><Relationship Id="rId77" Type="http://schemas.openxmlformats.org/officeDocument/2006/relationships/hyperlink" Target="https://www.google.com/maps/d/u/0/edit?mid=1Lc1BpnHvBZajjLa_FhOO6KSrz7dA9-Y&amp;usp=sharing" TargetMode="External"/><Relationship Id="rId100" Type="http://schemas.openxmlformats.org/officeDocument/2006/relationships/hyperlink" Target="https://www.google.com/maps/d/u/0/edit?mid=1plPZxoU9YkjhXEcxv0b4WcHQ71MaTNE&amp;usp=sharing" TargetMode="External"/><Relationship Id="rId105" Type="http://schemas.openxmlformats.org/officeDocument/2006/relationships/hyperlink" Target="https://www.google.com/maps/d/u/0/edit?mid=1nBuUC1kwF9Zzyr6sqWzPMJzyK-T-7lo&amp;usp=sharing" TargetMode="External"/><Relationship Id="rId126" Type="http://schemas.openxmlformats.org/officeDocument/2006/relationships/hyperlink" Target="https://www.google.com/maps/d/u/0/edit?mid=1QrETmE7OAdkrByDAVhgH3j9AXN9mnJI&amp;usp=sharing" TargetMode="External"/><Relationship Id="rId147" Type="http://schemas.openxmlformats.org/officeDocument/2006/relationships/hyperlink" Target="https://www.google.com/maps/d/u/0/edit?mid=1KZ12K7nt9ObqZ3wmELBFUvXAvWmH7cg&amp;usp=sharing" TargetMode="External"/><Relationship Id="rId8" Type="http://schemas.openxmlformats.org/officeDocument/2006/relationships/hyperlink" Target="https://www.google.com/maps/d/edit?mid=1zcXCzE4agYintmlQhUJoTZ62eKDYP14&amp;usp=sharing" TargetMode="External"/><Relationship Id="rId51" Type="http://schemas.openxmlformats.org/officeDocument/2006/relationships/hyperlink" Target="https://www.google.com/maps/d/edit?mid=1KLGLpxKLwXtatH4__a1jy8HN8FyO0sU&amp;usp=sharing" TargetMode="External"/><Relationship Id="rId72" Type="http://schemas.openxmlformats.org/officeDocument/2006/relationships/hyperlink" Target="https://www.google.com/maps/d/u/0/edit?mid=1HQjqt5a9ljwBpucCVyNmKO_rCV0r8s8&amp;usp=sharing" TargetMode="External"/><Relationship Id="rId93" Type="http://schemas.openxmlformats.org/officeDocument/2006/relationships/hyperlink" Target="https://www.google.com/maps/d/u/0/edit?mid=1eEltaXIEvSDHGEGm6Re9KEhpj0lXNys&amp;usp=sharing" TargetMode="External"/><Relationship Id="rId98" Type="http://schemas.openxmlformats.org/officeDocument/2006/relationships/hyperlink" Target="https://www.google.com/maps/d/u/0/edit?mid=1X7YpwJ5Olomfa9YHOXfrK9KsJ5gbPXA&amp;usp=sharing" TargetMode="External"/><Relationship Id="rId121" Type="http://schemas.openxmlformats.org/officeDocument/2006/relationships/hyperlink" Target="https://www.google.com/maps/d/u/0/edit?mid=17qmwk8_KAGTQPaxBimnmTGZFayt-LBs&amp;usp=sharing" TargetMode="External"/><Relationship Id="rId142" Type="http://schemas.openxmlformats.org/officeDocument/2006/relationships/hyperlink" Target="https://www.google.com/maps/d/u/0/edit?mid=1mdeOkHCRM9bNuZowlkc3XHcAcWabWv0&amp;usp=sharing" TargetMode="External"/><Relationship Id="rId3" Type="http://schemas.openxmlformats.org/officeDocument/2006/relationships/hyperlink" Target="https://www.google.com/maps/d/edit?mid=11FnWDoB3rJsva7gtAKabLoeJWKLEJpI&amp;usp=drive_link" TargetMode="External"/><Relationship Id="rId25" Type="http://schemas.openxmlformats.org/officeDocument/2006/relationships/hyperlink" Target="https://www.google.com/maps/d/edit?mid=1wDE7ScASCtjFylIgEV7crp_HLIPp4Mk&amp;usp=drive_link" TargetMode="External"/><Relationship Id="rId46" Type="http://schemas.openxmlformats.org/officeDocument/2006/relationships/hyperlink" Target="https://www.google.com/maps/d/u/0/edit?mid=1TDnkP46smXmAxk4z2ad-ly7Vu4l4GqE&amp;usp=sharing" TargetMode="External"/><Relationship Id="rId67" Type="http://schemas.openxmlformats.org/officeDocument/2006/relationships/hyperlink" Target="https://www.google.com/maps/d/edit?mid=16kUKlNptksgCp0eqwdhGfMSIzFAmYNU&amp;usp=sharing" TargetMode="External"/><Relationship Id="rId116" Type="http://schemas.openxmlformats.org/officeDocument/2006/relationships/hyperlink" Target="https://www.google.com/maps/d/u/0/edit?mid=1Aju6N4vrC4RypdIxIq7ZxeJIDP_jOpo&amp;usp=sharing" TargetMode="External"/><Relationship Id="rId137" Type="http://schemas.openxmlformats.org/officeDocument/2006/relationships/hyperlink" Target="https://www.google.com/maps/d/u/0/edit?mid=17iKXfrA-9q6MOagARf8iK98e1IvrqBE&amp;usp=sharing" TargetMode="External"/><Relationship Id="rId20" Type="http://schemas.openxmlformats.org/officeDocument/2006/relationships/hyperlink" Target="https://www.google.com/maps/d/edit?mid=1tzpaRD6f6ZlpsAwRWhvkG9oZImX6nqA&amp;usp=drive_link" TargetMode="External"/><Relationship Id="rId41" Type="http://schemas.openxmlformats.org/officeDocument/2006/relationships/hyperlink" Target="https://www.google.com/maps/d/u/0/edit?mid=15xLBSKwPsVpb9Z0hrb4r6e8xxtCW6v8&amp;usp=sharing" TargetMode="External"/><Relationship Id="rId62" Type="http://schemas.openxmlformats.org/officeDocument/2006/relationships/hyperlink" Target="https://www.google.com/maps/d/edit?mid=1NM_V2cAS2U1bpBuLvsUlR2rHeDLj53k&amp;usp=sharing" TargetMode="External"/><Relationship Id="rId83" Type="http://schemas.openxmlformats.org/officeDocument/2006/relationships/hyperlink" Target="https://www.google.com/maps/d/u/0/edit?mid=1_mcpKqQpqYRsi5rHqhW00-E1Ux7WSbE&amp;usp=sharing" TargetMode="External"/><Relationship Id="rId88" Type="http://schemas.openxmlformats.org/officeDocument/2006/relationships/hyperlink" Target="https://www.google.com/maps/d/u/0/edit?mid=11q0oAOvkbeHSlXasS8NTksPBpGZyg24&amp;usp=sharing" TargetMode="External"/><Relationship Id="rId111" Type="http://schemas.openxmlformats.org/officeDocument/2006/relationships/hyperlink" Target="https://www.google.com/maps/d/u/0/edit?mid=1pk2wH4KtyP507AKnje4xyTjoW8whHcM&amp;usp=sharing" TargetMode="External"/><Relationship Id="rId132" Type="http://schemas.openxmlformats.org/officeDocument/2006/relationships/hyperlink" Target="https://www.google.com/maps/d/u/0/edit?mid=1JLmV6Iin6-BR1pIn8CyrpbKwckv_cNI&amp;usp=sharing" TargetMode="External"/><Relationship Id="rId153" Type="http://schemas.openxmlformats.org/officeDocument/2006/relationships/hyperlink" Target="https://www.google.com/maps/d/u/0/edit?mid=1eWfdZSzWgOXaE09MTB0SrAUHhgZu0H0&amp;usp=sharing" TargetMode="External"/><Relationship Id="rId15" Type="http://schemas.openxmlformats.org/officeDocument/2006/relationships/hyperlink" Target="https://www.google.com/maps/d/edit?mid=1EJ_ZcmLL5V_YxyTR-DR0v3voFkFu2II&amp;usp=drive_link" TargetMode="External"/><Relationship Id="rId36" Type="http://schemas.openxmlformats.org/officeDocument/2006/relationships/hyperlink" Target="https://www.google.com/maps/d/u/0/edit?mid=1pOLRarYCsoE7QLFo-HYTJbTe9PYrwMM&amp;usp=sharing" TargetMode="External"/><Relationship Id="rId57" Type="http://schemas.openxmlformats.org/officeDocument/2006/relationships/hyperlink" Target="https://www.google.com/maps/d/edit?mid=1skUKjNhVVmPZJkST1-_qNYSQS-_rfqU&amp;usp=sharing" TargetMode="External"/><Relationship Id="rId106" Type="http://schemas.openxmlformats.org/officeDocument/2006/relationships/hyperlink" Target="https://www.google.com/maps/d/u/0/edit?mid=1qfsCxd7njivEZVokobBAKNmjd90PgSw&amp;usp=sharing" TargetMode="External"/><Relationship Id="rId127" Type="http://schemas.openxmlformats.org/officeDocument/2006/relationships/hyperlink" Target="https://www.google.com/maps/d/u/0/edit?mid=1tpZUgCd3L1Sa8_i8hcSOySi8miY6ka0&amp;usp=sharing" TargetMode="External"/><Relationship Id="rId10" Type="http://schemas.openxmlformats.org/officeDocument/2006/relationships/hyperlink" Target="https://www.google.com/maps/d/edit?mid=11MgTI4xtbGHxjnoLXYtJbs9e9OdW_QQ&amp;usp=sharing" TargetMode="External"/><Relationship Id="rId31" Type="http://schemas.openxmlformats.org/officeDocument/2006/relationships/hyperlink" Target="https://www.google.com/maps/d/u/0/edit?mid=17CtkarX0KqwP73BOMqyOm39RM3XJPak&amp;usp=sharing" TargetMode="External"/><Relationship Id="rId52" Type="http://schemas.openxmlformats.org/officeDocument/2006/relationships/hyperlink" Target="https://www.google.com/maps/d/edit?mid=1aGTvl9FSO1YMEKqC1pGXOvF4I1CmKO0&amp;usp=sharing" TargetMode="External"/><Relationship Id="rId73" Type="http://schemas.openxmlformats.org/officeDocument/2006/relationships/hyperlink" Target="https://www.google.com/maps/d/edit?mid=12apefFnvmNnK88UMnbsC4jpj5xsWFD4&amp;usp=sharing" TargetMode="External"/><Relationship Id="rId78" Type="http://schemas.openxmlformats.org/officeDocument/2006/relationships/hyperlink" Target="https://www.google.com/maps/d/edit?mid=1gYHfsDV8ZGW80nCp8-VrNXxny9wZFWU&amp;usp=sharing" TargetMode="External"/><Relationship Id="rId94" Type="http://schemas.openxmlformats.org/officeDocument/2006/relationships/hyperlink" Target="https://www.google.com/maps/d/u/0/edit?mid=1pvYjVFww8Q7Ib1SvXB8lT3QI2BHj3Ag&amp;usp=sharing" TargetMode="External"/><Relationship Id="rId99" Type="http://schemas.openxmlformats.org/officeDocument/2006/relationships/hyperlink" Target="https://www.google.com/maps/d/u/0/edit?mid=1pgvi30KUqFrInUqTCFyUngi5s8UJSso&amp;usp=sharing" TargetMode="External"/><Relationship Id="rId101" Type="http://schemas.openxmlformats.org/officeDocument/2006/relationships/hyperlink" Target="https://www.google.com/maps/d/u/0/edit?mid=1-IV_2ZUDtfWB9YmA-ZFMS5xL3ZHVX6w&amp;usp=sharing" TargetMode="External"/><Relationship Id="rId122" Type="http://schemas.openxmlformats.org/officeDocument/2006/relationships/hyperlink" Target="https://www.google.com/maps/d/u/0/edit?mid=1oHeYusB3olS6Oe8IvugHCRKtzFDmf_A&amp;usp=sharing" TargetMode="External"/><Relationship Id="rId143" Type="http://schemas.openxmlformats.org/officeDocument/2006/relationships/hyperlink" Target="https://www.google.com/maps/d/u/0/edit?mid=17VMwP6RF-M13x37DMhoWPqoJFEYZRUY&amp;usp=sharing" TargetMode="External"/><Relationship Id="rId148" Type="http://schemas.openxmlformats.org/officeDocument/2006/relationships/hyperlink" Target="https://www.google.com/maps/d/u/0/edit?mid=1U6uP3q6HwLc-iExSFuTSyr06IfI8kVs&amp;usp=sharing" TargetMode="External"/><Relationship Id="rId4" Type="http://schemas.openxmlformats.org/officeDocument/2006/relationships/hyperlink" Target="https://www.google.com/maps/d/edit?mid=18vd0Hx6XK01LFkorLhnokI_vDp3EeM0&amp;usp=drive_link" TargetMode="External"/><Relationship Id="rId9" Type="http://schemas.openxmlformats.org/officeDocument/2006/relationships/hyperlink" Target="https://www.google.com/maps/d/edit?mid=13MkAa7jCO5tg1sZbr4478dbRaWSGyHc&amp;usp=sharing" TargetMode="External"/><Relationship Id="rId26" Type="http://schemas.openxmlformats.org/officeDocument/2006/relationships/hyperlink" Target="https://www.google.com/maps/d/viewer?mid=1f5eVi_Jy8pNHTR0P9R547e9Q5muBQa0&amp;ll=-0.2003635849838867%2C-78.34611313492223&amp;z=12" TargetMode="External"/><Relationship Id="rId47" Type="http://schemas.openxmlformats.org/officeDocument/2006/relationships/hyperlink" Target="https://www.google.com/maps/d/u/0/edit?mid=1gno2-C5_QN9CWWC-olLGlJ7JuFt3zL0&amp;usp=sharing" TargetMode="External"/><Relationship Id="rId68" Type="http://schemas.openxmlformats.org/officeDocument/2006/relationships/hyperlink" Target="http://m.sn/" TargetMode="External"/><Relationship Id="rId89" Type="http://schemas.openxmlformats.org/officeDocument/2006/relationships/hyperlink" Target="https://www.google.com/maps/d/u/0/edit?mid=16Z4-uRqUTXaRCR3EMGLNlwa0NTCI7ho&amp;usp=sharing" TargetMode="External"/><Relationship Id="rId112" Type="http://schemas.openxmlformats.org/officeDocument/2006/relationships/hyperlink" Target="https://www.google.com/maps/d/u/0/edit?mid=10BozKiROPypV2uFcE0J6kZFZEsKTYHM&amp;usp=sharing" TargetMode="External"/><Relationship Id="rId133" Type="http://schemas.openxmlformats.org/officeDocument/2006/relationships/hyperlink" Target="https://www.google.com/maps/d/u/0/edit?mid=1yExnebMTvRZXQr4S5GC2k8wKeVrXTUQ&amp;usp=sharing" TargetMode="External"/><Relationship Id="rId154" Type="http://schemas.openxmlformats.org/officeDocument/2006/relationships/hyperlink" Target="https://www.google.com/maps/d/u/0/edit?mid=1RjWO7kyHX4EsnPZu0Ll1cRFgkG4ECsI&amp;usp=sharing" TargetMode="External"/><Relationship Id="rId16" Type="http://schemas.openxmlformats.org/officeDocument/2006/relationships/hyperlink" Target="https://www.google.com/maps/d/edit?mid=1xECrXgFMf3CJLAbbk8RgNNh1g3wbLn8&amp;usp=drive_link" TargetMode="External"/><Relationship Id="rId37" Type="http://schemas.openxmlformats.org/officeDocument/2006/relationships/hyperlink" Target="https://www.google.com/maps/d/u/0/edit?mid=1vWjsRCzlkrZE3GVnV5RzkejmqO0RX14&amp;usp=sharing" TargetMode="External"/><Relationship Id="rId58" Type="http://schemas.openxmlformats.org/officeDocument/2006/relationships/hyperlink" Target="https://www.google.com/maps/d/edit?mid=15xd_oSvv-ThdQP4DGaFgkxxkjOAGfkU&amp;usp=sharing" TargetMode="External"/><Relationship Id="rId79" Type="http://schemas.openxmlformats.org/officeDocument/2006/relationships/hyperlink" Target="https://www.google.com/maps/d/edit?mid=1sDe51LdH2uZOsYF8tRHJFBKnthwWTww&amp;usp=sharing" TargetMode="External"/><Relationship Id="rId102" Type="http://schemas.openxmlformats.org/officeDocument/2006/relationships/hyperlink" Target="https://www.google.com/maps/d/u/0/edit?mid=18e1LXNLJpAXlal_i_7y0E5ocfn_agso&amp;usp=sharing" TargetMode="External"/><Relationship Id="rId123" Type="http://schemas.openxmlformats.org/officeDocument/2006/relationships/hyperlink" Target="https://www.google.com/maps/d/u/0/edit?mid=12dGZ2sZ1PX0v4aegrWuqB1YBUs39xtw&amp;usp=sharing" TargetMode="External"/><Relationship Id="rId144" Type="http://schemas.openxmlformats.org/officeDocument/2006/relationships/hyperlink" Target="https://www.google.com/maps/d/u/0/edit?mid=1jFurrNXxCfBNRn0-lX4lEGFA_KqFHK0&amp;usp=sharing" TargetMode="External"/><Relationship Id="rId90" Type="http://schemas.openxmlformats.org/officeDocument/2006/relationships/hyperlink" Target="https://www.google.com/maps/d/u/0/edit?mid=14Csxasd1VjSXvD4KP4spCYki-WKX6V4&amp;usp=sharing"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soporte.quito-turismo.gob.ec/front/user.form.php?id=109" TargetMode="External"/><Relationship Id="rId299" Type="http://schemas.openxmlformats.org/officeDocument/2006/relationships/hyperlink" Target="https://soporte.quito-turismo.gob.ec/front/user.form.php?id=39" TargetMode="External"/><Relationship Id="rId21" Type="http://schemas.openxmlformats.org/officeDocument/2006/relationships/hyperlink" Target="https://soporte.quito-turismo.gob.ec/front/user.form.php?id=39" TargetMode="External"/><Relationship Id="rId63" Type="http://schemas.openxmlformats.org/officeDocument/2006/relationships/hyperlink" Target="https://soporte.quito-turismo.gob.ec/front/user.form.php?id=32" TargetMode="External"/><Relationship Id="rId159" Type="http://schemas.openxmlformats.org/officeDocument/2006/relationships/hyperlink" Target="https://soporte.quito-turismo.gob.ec/front/ticket.form.php?id=1994" TargetMode="External"/><Relationship Id="rId324" Type="http://schemas.openxmlformats.org/officeDocument/2006/relationships/hyperlink" Target="https://soporte.quito-turismo.gob.ec/front/ticket.form.php?id=1931" TargetMode="External"/><Relationship Id="rId366" Type="http://schemas.openxmlformats.org/officeDocument/2006/relationships/hyperlink" Target="https://soporte.quito-turismo.gob.ec/front/ticket.form.php?id=1949" TargetMode="External"/><Relationship Id="rId170" Type="http://schemas.openxmlformats.org/officeDocument/2006/relationships/hyperlink" Target="https://soporte.quito-turismo.gob.ec/front/user.form.php?id=31" TargetMode="External"/><Relationship Id="rId226" Type="http://schemas.openxmlformats.org/officeDocument/2006/relationships/hyperlink" Target="https://soporte.quito-turismo.gob.ec/front/ticket.form.php?id=1977" TargetMode="External"/><Relationship Id="rId433" Type="http://schemas.openxmlformats.org/officeDocument/2006/relationships/hyperlink" Target="https://soporte.quito-turismo.gob.ec/front/ticket.form.php?id=1904" TargetMode="External"/><Relationship Id="rId268" Type="http://schemas.openxmlformats.org/officeDocument/2006/relationships/hyperlink" Target="https://soporte.quito-turismo.gob.ec/front/ticket.form.php?id=1928" TargetMode="External"/><Relationship Id="rId32" Type="http://schemas.openxmlformats.org/officeDocument/2006/relationships/hyperlink" Target="https://soporte.quito-turismo.gob.ec/front/user.form.php?id=30" TargetMode="External"/><Relationship Id="rId74" Type="http://schemas.openxmlformats.org/officeDocument/2006/relationships/hyperlink" Target="https://soporte.quito-turismo.gob.ec/front/ticket.form.php?id=2036" TargetMode="External"/><Relationship Id="rId128" Type="http://schemas.openxmlformats.org/officeDocument/2006/relationships/hyperlink" Target="https://soporte.quito-turismo.gob.ec/front/user.form.php?id=31" TargetMode="External"/><Relationship Id="rId335" Type="http://schemas.openxmlformats.org/officeDocument/2006/relationships/hyperlink" Target="https://soporte.quito-turismo.gob.ec/front/user.form.php?id=31" TargetMode="External"/><Relationship Id="rId377" Type="http://schemas.openxmlformats.org/officeDocument/2006/relationships/hyperlink" Target="https://soporte.quito-turismo.gob.ec/front/user.form.php?id=39" TargetMode="External"/><Relationship Id="rId5" Type="http://schemas.openxmlformats.org/officeDocument/2006/relationships/hyperlink" Target="https://soporte.quito-turismo.gob.ec/front/user.form.php?id=67" TargetMode="External"/><Relationship Id="rId181" Type="http://schemas.openxmlformats.org/officeDocument/2006/relationships/hyperlink" Target="https://soporte.quito-turismo.gob.ec/front/user.form.php?id=37" TargetMode="External"/><Relationship Id="rId237" Type="http://schemas.openxmlformats.org/officeDocument/2006/relationships/hyperlink" Target="https://soporte.quito-turismo.gob.ec/front/user.form.php?id=31" TargetMode="External"/><Relationship Id="rId402" Type="http://schemas.openxmlformats.org/officeDocument/2006/relationships/hyperlink" Target="https://soporte.quito-turismo.gob.ec/front/user.form.php?id=39" TargetMode="External"/><Relationship Id="rId279" Type="http://schemas.openxmlformats.org/officeDocument/2006/relationships/hyperlink" Target="https://soporte.quito-turismo.gob.ec/front/ticket.form.php?id=1957" TargetMode="External"/><Relationship Id="rId444" Type="http://schemas.openxmlformats.org/officeDocument/2006/relationships/hyperlink" Target="https://soporte.quito-turismo.gob.ec/front/user.form.php?id=32" TargetMode="External"/><Relationship Id="rId43" Type="http://schemas.openxmlformats.org/officeDocument/2006/relationships/hyperlink" Target="https://soporte.quito-turismo.gob.ec/front/user.form.php?id=31" TargetMode="External"/><Relationship Id="rId139" Type="http://schemas.openxmlformats.org/officeDocument/2006/relationships/hyperlink" Target="https://soporte.quito-turismo.gob.ec/front/user.form.php?id=52" TargetMode="External"/><Relationship Id="rId290" Type="http://schemas.openxmlformats.org/officeDocument/2006/relationships/hyperlink" Target="https://soporte.quito-turismo.gob.ec/front/user.form.php?id=39" TargetMode="External"/><Relationship Id="rId304" Type="http://schemas.openxmlformats.org/officeDocument/2006/relationships/hyperlink" Target="https://soporte.quito-turismo.gob.ec/front/user.form.php?id=30" TargetMode="External"/><Relationship Id="rId346" Type="http://schemas.openxmlformats.org/officeDocument/2006/relationships/hyperlink" Target="https://soporte.quito-turismo.gob.ec/front/user.form.php?id=20" TargetMode="External"/><Relationship Id="rId388" Type="http://schemas.openxmlformats.org/officeDocument/2006/relationships/hyperlink" Target="https://soporte.quito-turismo.gob.ec/front/user.form.php?id=105" TargetMode="External"/><Relationship Id="rId85" Type="http://schemas.openxmlformats.org/officeDocument/2006/relationships/hyperlink" Target="https://soporte.quito-turismo.gob.ec/front/user.form.php?id=31" TargetMode="External"/><Relationship Id="rId150" Type="http://schemas.openxmlformats.org/officeDocument/2006/relationships/hyperlink" Target="https://soporte.quito-turismo.gob.ec/front/ticket.form.php?id=2000" TargetMode="External"/><Relationship Id="rId192" Type="http://schemas.openxmlformats.org/officeDocument/2006/relationships/hyperlink" Target="https://soporte.quito-turismo.gob.ec/front/ticket.form.php?id=2002" TargetMode="External"/><Relationship Id="rId206" Type="http://schemas.openxmlformats.org/officeDocument/2006/relationships/hyperlink" Target="https://soporte.quito-turismo.gob.ec/front/user.form.php?id=39" TargetMode="External"/><Relationship Id="rId413" Type="http://schemas.openxmlformats.org/officeDocument/2006/relationships/hyperlink" Target="https://soporte.quito-turismo.gob.ec/front/user.form.php?id=48" TargetMode="External"/><Relationship Id="rId248" Type="http://schemas.openxmlformats.org/officeDocument/2006/relationships/hyperlink" Target="https://soporte.quito-turismo.gob.ec/front/user.form.php?id=32" TargetMode="External"/><Relationship Id="rId12" Type="http://schemas.openxmlformats.org/officeDocument/2006/relationships/hyperlink" Target="https://soporte.quito-turismo.gob.ec/front/user.form.php?id=39" TargetMode="External"/><Relationship Id="rId108" Type="http://schemas.openxmlformats.org/officeDocument/2006/relationships/hyperlink" Target="https://soporte.quito-turismo.gob.ec/front/user.form.php?id=16" TargetMode="External"/><Relationship Id="rId315" Type="http://schemas.openxmlformats.org/officeDocument/2006/relationships/hyperlink" Target="https://soporte.quito-turismo.gob.ec/front/ticket.form.php?id=1936" TargetMode="External"/><Relationship Id="rId357" Type="http://schemas.openxmlformats.org/officeDocument/2006/relationships/hyperlink" Target="https://soporte.quito-turismo.gob.ec/front/ticket.form.php?id=1900" TargetMode="External"/><Relationship Id="rId54" Type="http://schemas.openxmlformats.org/officeDocument/2006/relationships/hyperlink" Target="https://soporte.quito-turismo.gob.ec/front/user.form.php?id=54" TargetMode="External"/><Relationship Id="rId96" Type="http://schemas.openxmlformats.org/officeDocument/2006/relationships/hyperlink" Target="https://soporte.quito-turismo.gob.ec/front/user.form.php?id=87" TargetMode="External"/><Relationship Id="rId161" Type="http://schemas.openxmlformats.org/officeDocument/2006/relationships/hyperlink" Target="https://soporte.quito-turismo.gob.ec/front/user.form.php?id=31" TargetMode="External"/><Relationship Id="rId217" Type="http://schemas.openxmlformats.org/officeDocument/2006/relationships/hyperlink" Target="https://soporte.quito-turismo.gob.ec/front/user.form.php?id=39" TargetMode="External"/><Relationship Id="rId399" Type="http://schemas.openxmlformats.org/officeDocument/2006/relationships/hyperlink" Target="https://soporte.quito-turismo.gob.ec/front/user.form.php?id=39" TargetMode="External"/><Relationship Id="rId259" Type="http://schemas.openxmlformats.org/officeDocument/2006/relationships/hyperlink" Target="https://soporte.quito-turismo.gob.ec/front/ticket.form.php?id=1958" TargetMode="External"/><Relationship Id="rId424" Type="http://schemas.openxmlformats.org/officeDocument/2006/relationships/hyperlink" Target="https://soporte.quito-turismo.gob.ec/front/ticket.form.php?id=1911" TargetMode="External"/><Relationship Id="rId23" Type="http://schemas.openxmlformats.org/officeDocument/2006/relationships/hyperlink" Target="https://soporte.quito-turismo.gob.ec/front/user.form.php?id=30" TargetMode="External"/><Relationship Id="rId119" Type="http://schemas.openxmlformats.org/officeDocument/2006/relationships/hyperlink" Target="https://soporte.quito-turismo.gob.ec/front/ticket.form.php?id=2015" TargetMode="External"/><Relationship Id="rId270" Type="http://schemas.openxmlformats.org/officeDocument/2006/relationships/hyperlink" Target="https://soporte.quito-turismo.gob.ec/front/user.form.php?id=31" TargetMode="External"/><Relationship Id="rId326" Type="http://schemas.openxmlformats.org/officeDocument/2006/relationships/hyperlink" Target="https://soporte.quito-turismo.gob.ec/front/user.form.php?id=31" TargetMode="External"/><Relationship Id="rId65" Type="http://schemas.openxmlformats.org/officeDocument/2006/relationships/hyperlink" Target="https://soporte.quito-turismo.gob.ec/front/ticket.form.php?id=2030" TargetMode="External"/><Relationship Id="rId130" Type="http://schemas.openxmlformats.org/officeDocument/2006/relationships/hyperlink" Target="https://soporte.quito-turismo.gob.ec/front/user.form.php?id=30" TargetMode="External"/><Relationship Id="rId368" Type="http://schemas.openxmlformats.org/officeDocument/2006/relationships/hyperlink" Target="https://soporte.quito-turismo.gob.ec/front/user.form.php?id=39" TargetMode="External"/><Relationship Id="rId172" Type="http://schemas.openxmlformats.org/officeDocument/2006/relationships/hyperlink" Target="https://soporte.quito-turismo.gob.ec/front/user.form.php?id=75" TargetMode="External"/><Relationship Id="rId228" Type="http://schemas.openxmlformats.org/officeDocument/2006/relationships/hyperlink" Target="https://soporte.quito-turismo.gob.ec/front/user.form.php?id=39" TargetMode="External"/><Relationship Id="rId435" Type="http://schemas.openxmlformats.org/officeDocument/2006/relationships/hyperlink" Target="https://soporte.quito-turismo.gob.ec/front/user.form.php?id=39" TargetMode="External"/><Relationship Id="rId281" Type="http://schemas.openxmlformats.org/officeDocument/2006/relationships/hyperlink" Target="https://soporte.quito-turismo.gob.ec/front/user.form.php?id=98" TargetMode="External"/><Relationship Id="rId337" Type="http://schemas.openxmlformats.org/officeDocument/2006/relationships/hyperlink" Target="https://soporte.quito-turismo.gob.ec/front/user.form.php?id=32" TargetMode="External"/><Relationship Id="rId34" Type="http://schemas.openxmlformats.org/officeDocument/2006/relationships/hyperlink" Target="https://soporte.quito-turismo.gob.ec/front/ticket.form.php?id=2045" TargetMode="External"/><Relationship Id="rId76" Type="http://schemas.openxmlformats.org/officeDocument/2006/relationships/hyperlink" Target="https://soporte.quito-turismo.gob.ec/front/user.form.php?id=31" TargetMode="External"/><Relationship Id="rId141" Type="http://schemas.openxmlformats.org/officeDocument/2006/relationships/hyperlink" Target="https://soporte.quito-turismo.gob.ec/front/ticket.form.php?id=2001" TargetMode="External"/><Relationship Id="rId379" Type="http://schemas.openxmlformats.org/officeDocument/2006/relationships/hyperlink" Target="https://soporte.quito-turismo.gob.ec/front/user.form.php?id=100" TargetMode="External"/><Relationship Id="rId7" Type="http://schemas.openxmlformats.org/officeDocument/2006/relationships/hyperlink" Target="https://soporte.quito-turismo.gob.ec/front/ticket.form.php?id=2052" TargetMode="External"/><Relationship Id="rId183" Type="http://schemas.openxmlformats.org/officeDocument/2006/relationships/hyperlink" Target="https://soporte.quito-turismo.gob.ec/front/ticket.form.php?id=2007" TargetMode="External"/><Relationship Id="rId239" Type="http://schemas.openxmlformats.org/officeDocument/2006/relationships/hyperlink" Target="https://soporte.quito-turismo.gob.ec/front/user.form.php?id=57" TargetMode="External"/><Relationship Id="rId390" Type="http://schemas.openxmlformats.org/officeDocument/2006/relationships/hyperlink" Target="https://soporte.quito-turismo.gob.ec/front/user.form.php?id=77" TargetMode="External"/><Relationship Id="rId404" Type="http://schemas.openxmlformats.org/officeDocument/2006/relationships/hyperlink" Target="https://soporte.quito-turismo.gob.ec/front/user.form.php?id=30" TargetMode="External"/><Relationship Id="rId446" Type="http://schemas.openxmlformats.org/officeDocument/2006/relationships/hyperlink" Target="https://soporte.quito-turismo.gob.ec/front/user.form.php?id=32" TargetMode="External"/><Relationship Id="rId250" Type="http://schemas.openxmlformats.org/officeDocument/2006/relationships/hyperlink" Target="https://soporte.quito-turismo.gob.ec/front/ticket.form.php?id=1974" TargetMode="External"/><Relationship Id="rId292" Type="http://schemas.openxmlformats.org/officeDocument/2006/relationships/hyperlink" Target="https://soporte.quito-turismo.gob.ec/front/user.form.php?id=30" TargetMode="External"/><Relationship Id="rId306" Type="http://schemas.openxmlformats.org/officeDocument/2006/relationships/hyperlink" Target="https://soporte.quito-turismo.gob.ec/front/ticket.form.php?id=1946" TargetMode="External"/><Relationship Id="rId45" Type="http://schemas.openxmlformats.org/officeDocument/2006/relationships/hyperlink" Target="https://soporte.quito-turismo.gob.ec/front/user.form.php?id=32" TargetMode="External"/><Relationship Id="rId87" Type="http://schemas.openxmlformats.org/officeDocument/2006/relationships/hyperlink" Target="https://soporte.quito-turismo.gob.ec/front/user.form.php?id=30" TargetMode="External"/><Relationship Id="rId110" Type="http://schemas.openxmlformats.org/officeDocument/2006/relationships/hyperlink" Target="https://soporte.quito-turismo.gob.ec/front/ticket.form.php?id=1987" TargetMode="External"/><Relationship Id="rId348" Type="http://schemas.openxmlformats.org/officeDocument/2006/relationships/hyperlink" Target="https://soporte.quito-turismo.gob.ec/front/ticket.form.php?id=1910" TargetMode="External"/><Relationship Id="rId152" Type="http://schemas.openxmlformats.org/officeDocument/2006/relationships/hyperlink" Target="https://soporte.quito-turismo.gob.ec/front/user.form.php?id=31" TargetMode="External"/><Relationship Id="rId194" Type="http://schemas.openxmlformats.org/officeDocument/2006/relationships/hyperlink" Target="https://soporte.quito-turismo.gob.ec/front/user.form.php?id=2" TargetMode="External"/><Relationship Id="rId208" Type="http://schemas.openxmlformats.org/officeDocument/2006/relationships/hyperlink" Target="https://soporte.quito-turismo.gob.ec/front/user.form.php?id=87" TargetMode="External"/><Relationship Id="rId415" Type="http://schemas.openxmlformats.org/officeDocument/2006/relationships/hyperlink" Target="https://soporte.quito-turismo.gob.ec/front/ticket.form.php?id=1916" TargetMode="External"/><Relationship Id="rId261" Type="http://schemas.openxmlformats.org/officeDocument/2006/relationships/hyperlink" Target="https://soporte.quito-turismo.gob.ec/front/user.form.php?id=31" TargetMode="External"/><Relationship Id="rId14" Type="http://schemas.openxmlformats.org/officeDocument/2006/relationships/hyperlink" Target="https://soporte.quito-turismo.gob.ec/front/user.form.php?id=30" TargetMode="External"/><Relationship Id="rId56" Type="http://schemas.openxmlformats.org/officeDocument/2006/relationships/hyperlink" Target="https://soporte.quito-turismo.gob.ec/front/ticket.form.php?id=2028" TargetMode="External"/><Relationship Id="rId317" Type="http://schemas.openxmlformats.org/officeDocument/2006/relationships/hyperlink" Target="https://soporte.quito-turismo.gob.ec/front/user.form.php?id=31" TargetMode="External"/><Relationship Id="rId359" Type="http://schemas.openxmlformats.org/officeDocument/2006/relationships/hyperlink" Target="https://soporte.quito-turismo.gob.ec/front/user.form.php?id=31" TargetMode="External"/><Relationship Id="rId98" Type="http://schemas.openxmlformats.org/officeDocument/2006/relationships/hyperlink" Target="https://soporte.quito-turismo.gob.ec/front/ticket.form.php?id=2017" TargetMode="External"/><Relationship Id="rId121" Type="http://schemas.openxmlformats.org/officeDocument/2006/relationships/hyperlink" Target="https://soporte.quito-turismo.gob.ec/front/user.form.php?id=39" TargetMode="External"/><Relationship Id="rId163" Type="http://schemas.openxmlformats.org/officeDocument/2006/relationships/hyperlink" Target="https://soporte.quito-turismo.gob.ec/front/user.form.php?id=32" TargetMode="External"/><Relationship Id="rId219" Type="http://schemas.openxmlformats.org/officeDocument/2006/relationships/hyperlink" Target="https://soporte.quito-turismo.gob.ec/front/user.form.php?id=100" TargetMode="External"/><Relationship Id="rId370" Type="http://schemas.openxmlformats.org/officeDocument/2006/relationships/hyperlink" Target="https://soporte.quito-turismo.gob.ec/front/user.form.php?id=100" TargetMode="External"/><Relationship Id="rId426" Type="http://schemas.openxmlformats.org/officeDocument/2006/relationships/hyperlink" Target="https://soporte.quito-turismo.gob.ec/front/user.form.php?id=39" TargetMode="External"/><Relationship Id="rId230" Type="http://schemas.openxmlformats.org/officeDocument/2006/relationships/hyperlink" Target="https://soporte.quito-turismo.gob.ec/front/user.form.php?id=87" TargetMode="External"/><Relationship Id="rId25" Type="http://schemas.openxmlformats.org/officeDocument/2006/relationships/hyperlink" Target="https://soporte.quito-turismo.gob.ec/front/ticket.form.php?id=2043" TargetMode="External"/><Relationship Id="rId67" Type="http://schemas.openxmlformats.org/officeDocument/2006/relationships/hyperlink" Target="https://soporte.quito-turismo.gob.ec/front/user.form.php?id=31" TargetMode="External"/><Relationship Id="rId272" Type="http://schemas.openxmlformats.org/officeDocument/2006/relationships/hyperlink" Target="https://soporte.quito-turismo.gob.ec/front/user.form.php?id=10" TargetMode="External"/><Relationship Id="rId328" Type="http://schemas.openxmlformats.org/officeDocument/2006/relationships/hyperlink" Target="https://soporte.quito-turismo.gob.ec/front/user.form.php?id=40" TargetMode="External"/><Relationship Id="rId132" Type="http://schemas.openxmlformats.org/officeDocument/2006/relationships/hyperlink" Target="https://soporte.quito-turismo.gob.ec/front/ticket.form.php?id=2009" TargetMode="External"/><Relationship Id="rId174" Type="http://schemas.openxmlformats.org/officeDocument/2006/relationships/hyperlink" Target="https://soporte.quito-turismo.gob.ec/front/ticket.form.php?id=1967" TargetMode="External"/><Relationship Id="rId381" Type="http://schemas.openxmlformats.org/officeDocument/2006/relationships/hyperlink" Target="https://soporte.quito-turismo.gob.ec/front/ticket.form.php?id=1938" TargetMode="External"/><Relationship Id="rId241" Type="http://schemas.openxmlformats.org/officeDocument/2006/relationships/hyperlink" Target="https://soporte.quito-turismo.gob.ec/front/ticket.form.php?id=1962" TargetMode="External"/><Relationship Id="rId437" Type="http://schemas.openxmlformats.org/officeDocument/2006/relationships/hyperlink" Target="https://soporte.quito-turismo.gob.ec/front/user.form.php?id=48" TargetMode="External"/><Relationship Id="rId36" Type="http://schemas.openxmlformats.org/officeDocument/2006/relationships/hyperlink" Target="https://soporte.quito-turismo.gob.ec/front/ticket.form.php?id=2044" TargetMode="External"/><Relationship Id="rId283" Type="http://schemas.openxmlformats.org/officeDocument/2006/relationships/hyperlink" Target="https://soporte.quito-turismo.gob.ec/front/user.form.php?id=107" TargetMode="External"/><Relationship Id="rId339" Type="http://schemas.openxmlformats.org/officeDocument/2006/relationships/hyperlink" Target="https://soporte.quito-turismo.gob.ec/front/ticket.form.php?id=1919" TargetMode="External"/><Relationship Id="rId78" Type="http://schemas.openxmlformats.org/officeDocument/2006/relationships/hyperlink" Target="https://soporte.quito-turismo.gob.ec/front/user.form.php?id=79" TargetMode="External"/><Relationship Id="rId101" Type="http://schemas.openxmlformats.org/officeDocument/2006/relationships/hyperlink" Target="https://soporte.quito-turismo.gob.ec/front/ticket.form.php?id=2016" TargetMode="External"/><Relationship Id="rId143" Type="http://schemas.openxmlformats.org/officeDocument/2006/relationships/hyperlink" Target="https://soporte.quito-turismo.gob.ec/front/user.form.php?id=31" TargetMode="External"/><Relationship Id="rId185" Type="http://schemas.openxmlformats.org/officeDocument/2006/relationships/hyperlink" Target="https://soporte.quito-turismo.gob.ec/front/user.form.php?id=39" TargetMode="External"/><Relationship Id="rId350" Type="http://schemas.openxmlformats.org/officeDocument/2006/relationships/hyperlink" Target="https://soporte.quito-turismo.gob.ec/front/user.form.php?id=31" TargetMode="External"/><Relationship Id="rId406" Type="http://schemas.openxmlformats.org/officeDocument/2006/relationships/hyperlink" Target="https://soporte.quito-turismo.gob.ec/front/ticket.form.php?id=1924" TargetMode="External"/><Relationship Id="rId9" Type="http://schemas.openxmlformats.org/officeDocument/2006/relationships/hyperlink" Target="https://soporte.quito-turismo.gob.ec/front/user.form.php?id=31" TargetMode="External"/><Relationship Id="rId210" Type="http://schemas.openxmlformats.org/officeDocument/2006/relationships/hyperlink" Target="https://soporte.quito-turismo.gob.ec/front/ticket.form.php?id=1996" TargetMode="External"/><Relationship Id="rId392" Type="http://schemas.openxmlformats.org/officeDocument/2006/relationships/hyperlink" Target="https://soporte.quito-turismo.gob.ec/front/ticket.form.php?id=1942" TargetMode="External"/><Relationship Id="rId448" Type="http://schemas.openxmlformats.org/officeDocument/2006/relationships/hyperlink" Target="https://soporte.quito-turismo.gob.ec/front/user.form.php?id=99" TargetMode="External"/><Relationship Id="rId252" Type="http://schemas.openxmlformats.org/officeDocument/2006/relationships/hyperlink" Target="https://soporte.quito-turismo.gob.ec/front/user.form.php?id=31" TargetMode="External"/><Relationship Id="rId294" Type="http://schemas.openxmlformats.org/officeDocument/2006/relationships/hyperlink" Target="https://soporte.quito-turismo.gob.ec/front/ticket.form.php?id=1951" TargetMode="External"/><Relationship Id="rId308" Type="http://schemas.openxmlformats.org/officeDocument/2006/relationships/hyperlink" Target="https://soporte.quito-turismo.gob.ec/front/user.form.php?id=31" TargetMode="External"/><Relationship Id="rId47" Type="http://schemas.openxmlformats.org/officeDocument/2006/relationships/hyperlink" Target="https://soporte.quito-turismo.gob.ec/front/ticket.form.php?id=2024" TargetMode="External"/><Relationship Id="rId89" Type="http://schemas.openxmlformats.org/officeDocument/2006/relationships/hyperlink" Target="https://soporte.quito-turismo.gob.ec/front/ticket.form.php?id=2034" TargetMode="External"/><Relationship Id="rId112" Type="http://schemas.openxmlformats.org/officeDocument/2006/relationships/hyperlink" Target="https://soporte.quito-turismo.gob.ec/front/user.form.php?id=39" TargetMode="External"/><Relationship Id="rId154" Type="http://schemas.openxmlformats.org/officeDocument/2006/relationships/hyperlink" Target="https://soporte.quito-turismo.gob.ec/front/user.form.php?id=47" TargetMode="External"/><Relationship Id="rId361" Type="http://schemas.openxmlformats.org/officeDocument/2006/relationships/hyperlink" Target="https://soporte.quito-turismo.gob.ec/front/user.form.php?id=100" TargetMode="External"/><Relationship Id="rId196" Type="http://schemas.openxmlformats.org/officeDocument/2006/relationships/hyperlink" Target="https://soporte.quito-turismo.gob.ec/front/user.form.php?id=30" TargetMode="External"/><Relationship Id="rId417" Type="http://schemas.openxmlformats.org/officeDocument/2006/relationships/hyperlink" Target="https://soporte.quito-turismo.gob.ec/front/user.form.php?id=39" TargetMode="External"/><Relationship Id="rId16" Type="http://schemas.openxmlformats.org/officeDocument/2006/relationships/hyperlink" Target="https://soporte.quito-turismo.gob.ec/front/ticket.form.php?id=2049" TargetMode="External"/><Relationship Id="rId221" Type="http://schemas.openxmlformats.org/officeDocument/2006/relationships/hyperlink" Target="https://soporte.quito-turismo.gob.ec/front/ticket.form.php?id=1986" TargetMode="External"/><Relationship Id="rId263" Type="http://schemas.openxmlformats.org/officeDocument/2006/relationships/hyperlink" Target="https://soporte.quito-turismo.gob.ec/front/user.form.php?id=79" TargetMode="External"/><Relationship Id="rId319" Type="http://schemas.openxmlformats.org/officeDocument/2006/relationships/hyperlink" Target="https://soporte.quito-turismo.gob.ec/front/user.form.php?id=31" TargetMode="External"/><Relationship Id="rId58" Type="http://schemas.openxmlformats.org/officeDocument/2006/relationships/hyperlink" Target="https://soporte.quito-turismo.gob.ec/front/user.form.php?id=31" TargetMode="External"/><Relationship Id="rId123" Type="http://schemas.openxmlformats.org/officeDocument/2006/relationships/hyperlink" Target="https://soporte.quito-turismo.gob.ec/front/user.form.php?id=16" TargetMode="External"/><Relationship Id="rId330" Type="http://schemas.openxmlformats.org/officeDocument/2006/relationships/hyperlink" Target="https://soporte.quito-turismo.gob.ec/front/ticket.form.php?id=1922" TargetMode="External"/><Relationship Id="rId165" Type="http://schemas.openxmlformats.org/officeDocument/2006/relationships/hyperlink" Target="https://soporte.quito-turismo.gob.ec/front/ticket.form.php?id=1979" TargetMode="External"/><Relationship Id="rId372" Type="http://schemas.openxmlformats.org/officeDocument/2006/relationships/hyperlink" Target="https://soporte.quito-turismo.gob.ec/front/ticket.form.php?id=1944" TargetMode="External"/><Relationship Id="rId428" Type="http://schemas.openxmlformats.org/officeDocument/2006/relationships/hyperlink" Target="https://soporte.quito-turismo.gob.ec/front/user.form.php?id=40" TargetMode="External"/><Relationship Id="rId232" Type="http://schemas.openxmlformats.org/officeDocument/2006/relationships/hyperlink" Target="https://soporte.quito-turismo.gob.ec/front/ticket.form.php?id=1963" TargetMode="External"/><Relationship Id="rId274" Type="http://schemas.openxmlformats.org/officeDocument/2006/relationships/hyperlink" Target="https://soporte.quito-turismo.gob.ec/front/ticket.form.php?id=1908" TargetMode="External"/><Relationship Id="rId27" Type="http://schemas.openxmlformats.org/officeDocument/2006/relationships/hyperlink" Target="https://soporte.quito-turismo.gob.ec/front/user.form.php?id=2" TargetMode="External"/><Relationship Id="rId69" Type="http://schemas.openxmlformats.org/officeDocument/2006/relationships/hyperlink" Target="https://soporte.quito-turismo.gob.ec/front/user.form.php?id=32" TargetMode="External"/><Relationship Id="rId134" Type="http://schemas.openxmlformats.org/officeDocument/2006/relationships/hyperlink" Target="https://soporte.quito-turismo.gob.ec/front/user.form.php?id=31" TargetMode="External"/><Relationship Id="rId80" Type="http://schemas.openxmlformats.org/officeDocument/2006/relationships/hyperlink" Target="https://soporte.quito-turismo.gob.ec/front/ticket.form.php?id=2040" TargetMode="External"/><Relationship Id="rId176" Type="http://schemas.openxmlformats.org/officeDocument/2006/relationships/hyperlink" Target="https://soporte.quito-turismo.gob.ec/front/user.form.php?id=31" TargetMode="External"/><Relationship Id="rId341" Type="http://schemas.openxmlformats.org/officeDocument/2006/relationships/hyperlink" Target="https://soporte.quito-turismo.gob.ec/front/user.form.php?id=31" TargetMode="External"/><Relationship Id="rId383" Type="http://schemas.openxmlformats.org/officeDocument/2006/relationships/hyperlink" Target="https://soporte.quito-turismo.gob.ec/front/user.form.php?id=39" TargetMode="External"/><Relationship Id="rId439" Type="http://schemas.openxmlformats.org/officeDocument/2006/relationships/hyperlink" Target="https://soporte.quito-turismo.gob.ec/front/ticket.form.php?id=1906" TargetMode="External"/><Relationship Id="rId201" Type="http://schemas.openxmlformats.org/officeDocument/2006/relationships/hyperlink" Target="https://soporte.quito-turismo.gob.ec/front/ticket.form.php?id=1995" TargetMode="External"/><Relationship Id="rId243" Type="http://schemas.openxmlformats.org/officeDocument/2006/relationships/hyperlink" Target="https://soporte.quito-turismo.gob.ec/front/user.form.php?id=31" TargetMode="External"/><Relationship Id="rId285" Type="http://schemas.openxmlformats.org/officeDocument/2006/relationships/hyperlink" Target="https://soporte.quito-turismo.gob.ec/front/ticket.form.php?id=1959" TargetMode="External"/><Relationship Id="rId450" Type="http://schemas.openxmlformats.org/officeDocument/2006/relationships/printerSettings" Target="../printerSettings/printerSettings1.bin"/><Relationship Id="rId38" Type="http://schemas.openxmlformats.org/officeDocument/2006/relationships/hyperlink" Target="https://soporte.quito-turismo.gob.ec/front/user.form.php?id=31" TargetMode="External"/><Relationship Id="rId103" Type="http://schemas.openxmlformats.org/officeDocument/2006/relationships/hyperlink" Target="https://soporte.quito-turismo.gob.ec/front/user.form.php?id=39" TargetMode="External"/><Relationship Id="rId310" Type="http://schemas.openxmlformats.org/officeDocument/2006/relationships/hyperlink" Target="https://soporte.quito-turismo.gob.ec/front/user.form.php?id=32" TargetMode="External"/><Relationship Id="rId91" Type="http://schemas.openxmlformats.org/officeDocument/2006/relationships/hyperlink" Target="https://soporte.quito-turismo.gob.ec/front/user.form.php?id=39" TargetMode="External"/><Relationship Id="rId145" Type="http://schemas.openxmlformats.org/officeDocument/2006/relationships/hyperlink" Target="https://soporte.quito-turismo.gob.ec/front/user.form.php?id=50" TargetMode="External"/><Relationship Id="rId187" Type="http://schemas.openxmlformats.org/officeDocument/2006/relationships/hyperlink" Target="https://soporte.quito-turismo.gob.ec/front/user.form.php?id=37" TargetMode="External"/><Relationship Id="rId352" Type="http://schemas.openxmlformats.org/officeDocument/2006/relationships/hyperlink" Target="https://soporte.quito-turismo.gob.ec/front/user.form.php?id=30" TargetMode="External"/><Relationship Id="rId394" Type="http://schemas.openxmlformats.org/officeDocument/2006/relationships/hyperlink" Target="https://soporte.quito-turismo.gob.ec/front/ticket.form.php?id=1930" TargetMode="External"/><Relationship Id="rId408" Type="http://schemas.openxmlformats.org/officeDocument/2006/relationships/hyperlink" Target="https://soporte.quito-turismo.gob.ec/front/user.form.php?id=39" TargetMode="External"/><Relationship Id="rId212" Type="http://schemas.openxmlformats.org/officeDocument/2006/relationships/hyperlink" Target="https://soporte.quito-turismo.gob.ec/front/ticket.form.php?id=1993" TargetMode="External"/><Relationship Id="rId254" Type="http://schemas.openxmlformats.org/officeDocument/2006/relationships/hyperlink" Target="https://soporte.quito-turismo.gob.ec/front/user.form.php?id=16" TargetMode="External"/><Relationship Id="rId49" Type="http://schemas.openxmlformats.org/officeDocument/2006/relationships/hyperlink" Target="https://soporte.quito-turismo.gob.ec/front/user.form.php?id=31" TargetMode="External"/><Relationship Id="rId114" Type="http://schemas.openxmlformats.org/officeDocument/2006/relationships/hyperlink" Target="https://soporte.quito-turismo.gob.ec/front/user.form.php?id=109" TargetMode="External"/><Relationship Id="rId296" Type="http://schemas.openxmlformats.org/officeDocument/2006/relationships/hyperlink" Target="https://soporte.quito-turismo.gob.ec/front/user.form.php?id=39" TargetMode="External"/><Relationship Id="rId60" Type="http://schemas.openxmlformats.org/officeDocument/2006/relationships/hyperlink" Target="https://soporte.quito-turismo.gob.ec/front/user.form.php?id=108" TargetMode="External"/><Relationship Id="rId156" Type="http://schemas.openxmlformats.org/officeDocument/2006/relationships/hyperlink" Target="https://soporte.quito-turismo.gob.ec/front/ticket.form.php?id=1998" TargetMode="External"/><Relationship Id="rId198" Type="http://schemas.openxmlformats.org/officeDocument/2006/relationships/hyperlink" Target="https://soporte.quito-turismo.gob.ec/front/ticket.form.php?id=1983" TargetMode="External"/><Relationship Id="rId321" Type="http://schemas.openxmlformats.org/officeDocument/2006/relationships/hyperlink" Target="https://soporte.quito-turismo.gob.ec/front/ticket.form.php?id=1933" TargetMode="External"/><Relationship Id="rId363" Type="http://schemas.openxmlformats.org/officeDocument/2006/relationships/hyperlink" Target="https://soporte.quito-turismo.gob.ec/front/ticket.form.php?id=1948" TargetMode="External"/><Relationship Id="rId419" Type="http://schemas.openxmlformats.org/officeDocument/2006/relationships/hyperlink" Target="https://soporte.quito-turismo.gob.ec/front/user.form.php?id=61" TargetMode="External"/><Relationship Id="rId223" Type="http://schemas.openxmlformats.org/officeDocument/2006/relationships/hyperlink" Target="https://soporte.quito-turismo.gob.ec/front/user.form.php?id=39" TargetMode="External"/><Relationship Id="rId430" Type="http://schemas.openxmlformats.org/officeDocument/2006/relationships/hyperlink" Target="https://soporte.quito-turismo.gob.ec/front/ticket.form.php?id=1897" TargetMode="External"/><Relationship Id="rId18" Type="http://schemas.openxmlformats.org/officeDocument/2006/relationships/hyperlink" Target="https://soporte.quito-turismo.gob.ec/front/user.form.php?id=31" TargetMode="External"/><Relationship Id="rId265" Type="http://schemas.openxmlformats.org/officeDocument/2006/relationships/hyperlink" Target="https://soporte.quito-turismo.gob.ec/front/ticket.form.php?id=1945" TargetMode="External"/><Relationship Id="rId50" Type="http://schemas.openxmlformats.org/officeDocument/2006/relationships/hyperlink" Target="https://soporte.quito-turismo.gob.ec/front/ticket.form.php?id=2025" TargetMode="External"/><Relationship Id="rId104" Type="http://schemas.openxmlformats.org/officeDocument/2006/relationships/hyperlink" Target="https://soporte.quito-turismo.gob.ec/front/ticket.form.php?id=1997" TargetMode="External"/><Relationship Id="rId125" Type="http://schemas.openxmlformats.org/officeDocument/2006/relationships/hyperlink" Target="https://soporte.quito-turismo.gob.ec/front/user.form.php?id=30" TargetMode="External"/><Relationship Id="rId146" Type="http://schemas.openxmlformats.org/officeDocument/2006/relationships/hyperlink" Target="https://soporte.quito-turismo.gob.ec/front/user.form.php?id=31" TargetMode="External"/><Relationship Id="rId167" Type="http://schemas.openxmlformats.org/officeDocument/2006/relationships/hyperlink" Target="https://soporte.quito-turismo.gob.ec/front/user.form.php?id=31" TargetMode="External"/><Relationship Id="rId188" Type="http://schemas.openxmlformats.org/officeDocument/2006/relationships/hyperlink" Target="https://soporte.quito-turismo.gob.ec/front/user.form.php?id=39" TargetMode="External"/><Relationship Id="rId311" Type="http://schemas.openxmlformats.org/officeDocument/2006/relationships/hyperlink" Target="https://soporte.quito-turismo.gob.ec/front/user.form.php?id=31" TargetMode="External"/><Relationship Id="rId332" Type="http://schemas.openxmlformats.org/officeDocument/2006/relationships/hyperlink" Target="https://soporte.quito-turismo.gob.ec/front/user.form.php?id=31" TargetMode="External"/><Relationship Id="rId353" Type="http://schemas.openxmlformats.org/officeDocument/2006/relationships/hyperlink" Target="https://soporte.quito-turismo.gob.ec/front/user.form.php?id=31" TargetMode="External"/><Relationship Id="rId374" Type="http://schemas.openxmlformats.org/officeDocument/2006/relationships/hyperlink" Target="https://soporte.quito-turismo.gob.ec/front/user.form.php?id=39" TargetMode="External"/><Relationship Id="rId395" Type="http://schemas.openxmlformats.org/officeDocument/2006/relationships/hyperlink" Target="https://soporte.quito-turismo.gob.ec/front/user.form.php?id=69" TargetMode="External"/><Relationship Id="rId409" Type="http://schemas.openxmlformats.org/officeDocument/2006/relationships/hyperlink" Target="https://soporte.quito-turismo.gob.ec/front/ticket.form.php?id=1923" TargetMode="External"/><Relationship Id="rId71" Type="http://schemas.openxmlformats.org/officeDocument/2006/relationships/hyperlink" Target="https://soporte.quito-turismo.gob.ec/front/ticket.form.php?id=2035" TargetMode="External"/><Relationship Id="rId92" Type="http://schemas.openxmlformats.org/officeDocument/2006/relationships/hyperlink" Target="https://soporte.quito-turismo.gob.ec/front/ticket.form.php?id=2019" TargetMode="External"/><Relationship Id="rId213" Type="http://schemas.openxmlformats.org/officeDocument/2006/relationships/hyperlink" Target="mailto:bpacheco@quito-turismo.gob.ec" TargetMode="External"/><Relationship Id="rId234" Type="http://schemas.openxmlformats.org/officeDocument/2006/relationships/hyperlink" Target="https://soporte.quito-turismo.gob.ec/front/user.form.php?id=31" TargetMode="External"/><Relationship Id="rId420" Type="http://schemas.openxmlformats.org/officeDocument/2006/relationships/hyperlink" Target="https://soporte.quito-turismo.gob.ec/front/user.form.php?id=39" TargetMode="External"/><Relationship Id="rId2" Type="http://schemas.openxmlformats.org/officeDocument/2006/relationships/hyperlink" Target="https://soporte.quito-turismo.gob.ec/front/user.form.php?id=32" TargetMode="External"/><Relationship Id="rId29" Type="http://schemas.openxmlformats.org/officeDocument/2006/relationships/hyperlink" Target="https://soporte.quito-turismo.gob.ec/front/user.form.php?id=110" TargetMode="External"/><Relationship Id="rId255" Type="http://schemas.openxmlformats.org/officeDocument/2006/relationships/hyperlink" Target="https://soporte.quito-turismo.gob.ec/front/user.form.php?id=31" TargetMode="External"/><Relationship Id="rId276" Type="http://schemas.openxmlformats.org/officeDocument/2006/relationships/hyperlink" Target="https://soporte.quito-turismo.gob.ec/front/ticket.form.php?id=1953" TargetMode="External"/><Relationship Id="rId297" Type="http://schemas.openxmlformats.org/officeDocument/2006/relationships/hyperlink" Target="https://soporte.quito-turismo.gob.ec/front/ticket.form.php?id=1956" TargetMode="External"/><Relationship Id="rId441" Type="http://schemas.openxmlformats.org/officeDocument/2006/relationships/hyperlink" Target="https://soporte.quito-turismo.gob.ec/front/ticket.form.php?id=1901" TargetMode="External"/><Relationship Id="rId40" Type="http://schemas.openxmlformats.org/officeDocument/2006/relationships/hyperlink" Target="https://soporte.quito-turismo.gob.ec/front/user.form.php?id=16" TargetMode="External"/><Relationship Id="rId115" Type="http://schemas.openxmlformats.org/officeDocument/2006/relationships/hyperlink" Target="https://soporte.quito-turismo.gob.ec/front/user.form.php?id=39" TargetMode="External"/><Relationship Id="rId136" Type="http://schemas.openxmlformats.org/officeDocument/2006/relationships/hyperlink" Target="https://soporte.quito-turismo.gob.ec/front/user.form.php?id=26" TargetMode="External"/><Relationship Id="rId157" Type="http://schemas.openxmlformats.org/officeDocument/2006/relationships/hyperlink" Target="https://soporte.quito-turismo.gob.ec/front/user.form.php?id=79" TargetMode="External"/><Relationship Id="rId178" Type="http://schemas.openxmlformats.org/officeDocument/2006/relationships/hyperlink" Target="https://soporte.quito-turismo.gob.ec/front/user.form.php?id=85" TargetMode="External"/><Relationship Id="rId301" Type="http://schemas.openxmlformats.org/officeDocument/2006/relationships/hyperlink" Target="https://soporte.quito-turismo.gob.ec/front/user.form.php?id=30" TargetMode="External"/><Relationship Id="rId322" Type="http://schemas.openxmlformats.org/officeDocument/2006/relationships/hyperlink" Target="https://soporte.quito-turismo.gob.ec/front/user.form.php?id=20" TargetMode="External"/><Relationship Id="rId343" Type="http://schemas.openxmlformats.org/officeDocument/2006/relationships/hyperlink" Target="https://soporte.quito-turismo.gob.ec/front/user.form.php?id=35" TargetMode="External"/><Relationship Id="rId364" Type="http://schemas.openxmlformats.org/officeDocument/2006/relationships/hyperlink" Target="https://soporte.quito-turismo.gob.ec/front/user.form.php?id=48" TargetMode="External"/><Relationship Id="rId61" Type="http://schemas.openxmlformats.org/officeDocument/2006/relationships/hyperlink" Target="https://soporte.quito-turismo.gob.ec/front/user.form.php?id=31" TargetMode="External"/><Relationship Id="rId82" Type="http://schemas.openxmlformats.org/officeDocument/2006/relationships/hyperlink" Target="https://soporte.quito-turismo.gob.ec/front/user.form.php?id=31" TargetMode="External"/><Relationship Id="rId199" Type="http://schemas.openxmlformats.org/officeDocument/2006/relationships/hyperlink" Target="https://soporte.quito-turismo.gob.ec/front/user.form.php?id=52" TargetMode="External"/><Relationship Id="rId203" Type="http://schemas.openxmlformats.org/officeDocument/2006/relationships/hyperlink" Target="https://soporte.quito-turismo.gob.ec/front/user.form.php?id=39" TargetMode="External"/><Relationship Id="rId385" Type="http://schemas.openxmlformats.org/officeDocument/2006/relationships/hyperlink" Target="https://soporte.quito-turismo.gob.ec/front/user.form.php?id=61" TargetMode="External"/><Relationship Id="rId19" Type="http://schemas.openxmlformats.org/officeDocument/2006/relationships/hyperlink" Target="https://soporte.quito-turismo.gob.ec/front/ticket.form.php?id=2047" TargetMode="External"/><Relationship Id="rId224" Type="http://schemas.openxmlformats.org/officeDocument/2006/relationships/hyperlink" Target="https://soporte.quito-turismo.gob.ec/front/ticket.form.php?id=1982" TargetMode="External"/><Relationship Id="rId245" Type="http://schemas.openxmlformats.org/officeDocument/2006/relationships/hyperlink" Target="https://soporte.quito-turismo.gob.ec/front/user.form.php?id=79" TargetMode="External"/><Relationship Id="rId266" Type="http://schemas.openxmlformats.org/officeDocument/2006/relationships/hyperlink" Target="https://soporte.quito-turismo.gob.ec/front/user.form.php?id=30" TargetMode="External"/><Relationship Id="rId287" Type="http://schemas.openxmlformats.org/officeDocument/2006/relationships/hyperlink" Target="https://soporte.quito-turismo.gob.ec/front/user.form.php?id=39" TargetMode="External"/><Relationship Id="rId410" Type="http://schemas.openxmlformats.org/officeDocument/2006/relationships/hyperlink" Target="https://soporte.quito-turismo.gob.ec/front/user.form.php?id=100" TargetMode="External"/><Relationship Id="rId431" Type="http://schemas.openxmlformats.org/officeDocument/2006/relationships/hyperlink" Target="https://soporte.quito-turismo.gob.ec/front/user.form.php?id=30" TargetMode="External"/><Relationship Id="rId30" Type="http://schemas.openxmlformats.org/officeDocument/2006/relationships/hyperlink" Target="https://soporte.quito-turismo.gob.ec/front/user.form.php?id=31" TargetMode="External"/><Relationship Id="rId105" Type="http://schemas.openxmlformats.org/officeDocument/2006/relationships/hyperlink" Target="https://soporte.quito-turismo.gob.ec/front/user.form.php?id=87" TargetMode="External"/><Relationship Id="rId126" Type="http://schemas.openxmlformats.org/officeDocument/2006/relationships/hyperlink" Target="https://soporte.quito-turismo.gob.ec/front/ticket.form.php?id=2008" TargetMode="External"/><Relationship Id="rId147" Type="http://schemas.openxmlformats.org/officeDocument/2006/relationships/hyperlink" Target="https://soporte.quito-turismo.gob.ec/front/ticket.form.php?id=1984" TargetMode="External"/><Relationship Id="rId168" Type="http://schemas.openxmlformats.org/officeDocument/2006/relationships/hyperlink" Target="https://soporte.quito-turismo.gob.ec/front/ticket.form.php?id=1978" TargetMode="External"/><Relationship Id="rId312" Type="http://schemas.openxmlformats.org/officeDocument/2006/relationships/hyperlink" Target="https://soporte.quito-turismo.gob.ec/front/ticket.form.php?id=1939" TargetMode="External"/><Relationship Id="rId333" Type="http://schemas.openxmlformats.org/officeDocument/2006/relationships/hyperlink" Target="https://soporte.quito-turismo.gob.ec/front/ticket.form.php?id=1921" TargetMode="External"/><Relationship Id="rId354" Type="http://schemas.openxmlformats.org/officeDocument/2006/relationships/hyperlink" Target="https://soporte.quito-turismo.gob.ec/front/ticket.form.php?id=1905" TargetMode="External"/><Relationship Id="rId51" Type="http://schemas.openxmlformats.org/officeDocument/2006/relationships/hyperlink" Target="https://soporte.quito-turismo.gob.ec/front/user.form.php?id=88" TargetMode="External"/><Relationship Id="rId72" Type="http://schemas.openxmlformats.org/officeDocument/2006/relationships/hyperlink" Target="https://soporte.quito-turismo.gob.ec/front/user.form.php?id=32" TargetMode="External"/><Relationship Id="rId93" Type="http://schemas.openxmlformats.org/officeDocument/2006/relationships/hyperlink" Target="https://soporte.quito-turismo.gob.ec/front/user.form.php?id=87" TargetMode="External"/><Relationship Id="rId189" Type="http://schemas.openxmlformats.org/officeDocument/2006/relationships/hyperlink" Target="https://soporte.quito-turismo.gob.ec/front/ticket.form.php?id=2005" TargetMode="External"/><Relationship Id="rId375" Type="http://schemas.openxmlformats.org/officeDocument/2006/relationships/hyperlink" Target="https://soporte.quito-turismo.gob.ec/front/ticket.form.php?id=1934" TargetMode="External"/><Relationship Id="rId396" Type="http://schemas.openxmlformats.org/officeDocument/2006/relationships/hyperlink" Target="https://soporte.quito-turismo.gob.ec/front/user.form.php?id=39" TargetMode="External"/><Relationship Id="rId3" Type="http://schemas.openxmlformats.org/officeDocument/2006/relationships/hyperlink" Target="https://soporte.quito-turismo.gob.ec/front/user.form.php?id=31" TargetMode="External"/><Relationship Id="rId214" Type="http://schemas.openxmlformats.org/officeDocument/2006/relationships/hyperlink" Target="https://soporte.quito-turismo.gob.ec/front/user.form.php?id=39" TargetMode="External"/><Relationship Id="rId235" Type="http://schemas.openxmlformats.org/officeDocument/2006/relationships/hyperlink" Target="https://soporte.quito-turismo.gob.ec/front/ticket.form.php?id=1972" TargetMode="External"/><Relationship Id="rId256" Type="http://schemas.openxmlformats.org/officeDocument/2006/relationships/hyperlink" Target="https://soporte.quito-turismo.gob.ec/front/ticket.form.php?id=1960" TargetMode="External"/><Relationship Id="rId277" Type="http://schemas.openxmlformats.org/officeDocument/2006/relationships/hyperlink" Target="https://soporte.quito-turismo.gob.ec/front/user.form.php?id=106" TargetMode="External"/><Relationship Id="rId298" Type="http://schemas.openxmlformats.org/officeDocument/2006/relationships/hyperlink" Target="https://soporte.quito-turismo.gob.ec/front/user.form.php?id=30" TargetMode="External"/><Relationship Id="rId400" Type="http://schemas.openxmlformats.org/officeDocument/2006/relationships/hyperlink" Target="https://soporte.quito-turismo.gob.ec/front/ticket.form.php?id=1927" TargetMode="External"/><Relationship Id="rId421" Type="http://schemas.openxmlformats.org/officeDocument/2006/relationships/hyperlink" Target="https://soporte.quito-turismo.gob.ec/front/ticket.form.php?id=1914" TargetMode="External"/><Relationship Id="rId442" Type="http://schemas.openxmlformats.org/officeDocument/2006/relationships/hyperlink" Target="https://soporte.quito-turismo.gob.ec/front/user.form.php?id=30" TargetMode="External"/><Relationship Id="rId116" Type="http://schemas.openxmlformats.org/officeDocument/2006/relationships/hyperlink" Target="https://soporte.quito-turismo.gob.ec/front/ticket.form.php?id=2022" TargetMode="External"/><Relationship Id="rId137" Type="http://schemas.openxmlformats.org/officeDocument/2006/relationships/hyperlink" Target="https://soporte.quito-turismo.gob.ec/front/user.form.php?id=31" TargetMode="External"/><Relationship Id="rId158" Type="http://schemas.openxmlformats.org/officeDocument/2006/relationships/hyperlink" Target="https://soporte.quito-turismo.gob.ec/front/user.form.php?id=31" TargetMode="External"/><Relationship Id="rId302" Type="http://schemas.openxmlformats.org/officeDocument/2006/relationships/hyperlink" Target="https://soporte.quito-turismo.gob.ec/front/user.form.php?id=39" TargetMode="External"/><Relationship Id="rId323" Type="http://schemas.openxmlformats.org/officeDocument/2006/relationships/hyperlink" Target="https://soporte.quito-turismo.gob.ec/front/user.form.php?id=31" TargetMode="External"/><Relationship Id="rId344" Type="http://schemas.openxmlformats.org/officeDocument/2006/relationships/hyperlink" Target="https://soporte.quito-turismo.gob.ec/front/user.form.php?id=31" TargetMode="External"/><Relationship Id="rId20" Type="http://schemas.openxmlformats.org/officeDocument/2006/relationships/hyperlink" Target="https://soporte.quito-turismo.gob.ec/front/user.form.php?id=30" TargetMode="External"/><Relationship Id="rId41" Type="http://schemas.openxmlformats.org/officeDocument/2006/relationships/hyperlink" Target="https://soporte.quito-turismo.gob.ec/front/ticket.form.php?id=2014" TargetMode="External"/><Relationship Id="rId62" Type="http://schemas.openxmlformats.org/officeDocument/2006/relationships/hyperlink" Target="https://soporte.quito-turismo.gob.ec/front/ticket.form.php?id=2029" TargetMode="External"/><Relationship Id="rId83" Type="http://schemas.openxmlformats.org/officeDocument/2006/relationships/hyperlink" Target="https://soporte.quito-turismo.gob.ec/front/ticket.form.php?id=2042" TargetMode="External"/><Relationship Id="rId179" Type="http://schemas.openxmlformats.org/officeDocument/2006/relationships/hyperlink" Target="https://soporte.quito-turismo.gob.ec/front/user.form.php?id=39" TargetMode="External"/><Relationship Id="rId365" Type="http://schemas.openxmlformats.org/officeDocument/2006/relationships/hyperlink" Target="https://soporte.quito-turismo.gob.ec/front/user.form.php?id=39" TargetMode="External"/><Relationship Id="rId386" Type="http://schemas.openxmlformats.org/officeDocument/2006/relationships/hyperlink" Target="https://soporte.quito-turismo.gob.ec/front/user.form.php?id=39" TargetMode="External"/><Relationship Id="rId190" Type="http://schemas.openxmlformats.org/officeDocument/2006/relationships/hyperlink" Target="https://soporte.quito-turismo.gob.ec/front/user.form.php?id=30" TargetMode="External"/><Relationship Id="rId204" Type="http://schemas.openxmlformats.org/officeDocument/2006/relationships/hyperlink" Target="https://soporte.quito-turismo.gob.ec/front/ticket.form.php?id=1980" TargetMode="External"/><Relationship Id="rId225" Type="http://schemas.openxmlformats.org/officeDocument/2006/relationships/hyperlink" Target="https://soporte.quito-turismo.gob.ec/front/user.form.php?id=52" TargetMode="External"/><Relationship Id="rId246" Type="http://schemas.openxmlformats.org/officeDocument/2006/relationships/hyperlink" Target="https://soporte.quito-turismo.gob.ec/front/user.form.php?id=31" TargetMode="External"/><Relationship Id="rId267" Type="http://schemas.openxmlformats.org/officeDocument/2006/relationships/hyperlink" Target="https://soporte.quito-turismo.gob.ec/front/user.form.php?id=31" TargetMode="External"/><Relationship Id="rId288" Type="http://schemas.openxmlformats.org/officeDocument/2006/relationships/hyperlink" Target="https://soporte.quito-turismo.gob.ec/front/ticket.form.php?id=1895" TargetMode="External"/><Relationship Id="rId411" Type="http://schemas.openxmlformats.org/officeDocument/2006/relationships/hyperlink" Target="https://soporte.quito-turismo.gob.ec/front/user.form.php?id=39" TargetMode="External"/><Relationship Id="rId432" Type="http://schemas.openxmlformats.org/officeDocument/2006/relationships/hyperlink" Target="https://soporte.quito-turismo.gob.ec/front/user.form.php?id=39" TargetMode="External"/><Relationship Id="rId106" Type="http://schemas.openxmlformats.org/officeDocument/2006/relationships/hyperlink" Target="https://soporte.quito-turismo.gob.ec/front/user.form.php?id=39" TargetMode="External"/><Relationship Id="rId127" Type="http://schemas.openxmlformats.org/officeDocument/2006/relationships/hyperlink" Target="https://soporte.quito-turismo.gob.ec/front/user.form.php?id=32" TargetMode="External"/><Relationship Id="rId313" Type="http://schemas.openxmlformats.org/officeDocument/2006/relationships/hyperlink" Target="https://soporte.quito-turismo.gob.ec/front/user.form.php?id=32" TargetMode="External"/><Relationship Id="rId10" Type="http://schemas.openxmlformats.org/officeDocument/2006/relationships/hyperlink" Target="https://soporte.quito-turismo.gob.ec/front/ticket.form.php?id=2051" TargetMode="External"/><Relationship Id="rId31" Type="http://schemas.openxmlformats.org/officeDocument/2006/relationships/hyperlink" Target="https://soporte.quito-turismo.gob.ec/front/ticket.form.php?id=2011" TargetMode="External"/><Relationship Id="rId52" Type="http://schemas.openxmlformats.org/officeDocument/2006/relationships/hyperlink" Target="https://soporte.quito-turismo.gob.ec/front/user.form.php?id=31" TargetMode="External"/><Relationship Id="rId73" Type="http://schemas.openxmlformats.org/officeDocument/2006/relationships/hyperlink" Target="https://soporte.quito-turismo.gob.ec/front/user.form.php?id=31" TargetMode="External"/><Relationship Id="rId94" Type="http://schemas.openxmlformats.org/officeDocument/2006/relationships/hyperlink" Target="https://soporte.quito-turismo.gob.ec/front/user.form.php?id=39" TargetMode="External"/><Relationship Id="rId148" Type="http://schemas.openxmlformats.org/officeDocument/2006/relationships/hyperlink" Target="https://soporte.quito-turismo.gob.ec/front/user.form.php?id=47" TargetMode="External"/><Relationship Id="rId169" Type="http://schemas.openxmlformats.org/officeDocument/2006/relationships/hyperlink" Target="https://soporte.quito-turismo.gob.ec/front/user.form.php?id=79" TargetMode="External"/><Relationship Id="rId334" Type="http://schemas.openxmlformats.org/officeDocument/2006/relationships/hyperlink" Target="https://soporte.quito-turismo.gob.ec/front/user.form.php?id=32" TargetMode="External"/><Relationship Id="rId355" Type="http://schemas.openxmlformats.org/officeDocument/2006/relationships/hyperlink" Target="https://soporte.quito-turismo.gob.ec/front/user.form.php?id=40" TargetMode="External"/><Relationship Id="rId376" Type="http://schemas.openxmlformats.org/officeDocument/2006/relationships/hyperlink" Target="https://soporte.quito-turismo.gob.ec/front/user.form.php?id=17" TargetMode="External"/><Relationship Id="rId397" Type="http://schemas.openxmlformats.org/officeDocument/2006/relationships/hyperlink" Target="https://soporte.quito-turismo.gob.ec/front/ticket.form.php?id=1929" TargetMode="External"/><Relationship Id="rId4" Type="http://schemas.openxmlformats.org/officeDocument/2006/relationships/hyperlink" Target="https://soporte.quito-turismo.gob.ec/front/ticket.form.php?id=2053" TargetMode="External"/><Relationship Id="rId180" Type="http://schemas.openxmlformats.org/officeDocument/2006/relationships/hyperlink" Target="https://soporte.quito-turismo.gob.ec/front/ticket.form.php?id=2012" TargetMode="External"/><Relationship Id="rId215" Type="http://schemas.openxmlformats.org/officeDocument/2006/relationships/hyperlink" Target="https://soporte.quito-turismo.gob.ec/front/ticket.form.php?id=1988" TargetMode="External"/><Relationship Id="rId236" Type="http://schemas.openxmlformats.org/officeDocument/2006/relationships/hyperlink" Target="https://soporte.quito-turismo.gob.ec/front/user.form.php?id=32" TargetMode="External"/><Relationship Id="rId257" Type="http://schemas.openxmlformats.org/officeDocument/2006/relationships/hyperlink" Target="https://soporte.quito-turismo.gob.ec/front/user.form.php?id=32" TargetMode="External"/><Relationship Id="rId278" Type="http://schemas.openxmlformats.org/officeDocument/2006/relationships/hyperlink" Target="https://soporte.quito-turismo.gob.ec/front/user.form.php?id=39" TargetMode="External"/><Relationship Id="rId401" Type="http://schemas.openxmlformats.org/officeDocument/2006/relationships/hyperlink" Target="https://soporte.quito-turismo.gob.ec/front/user.form.php?id=29" TargetMode="External"/><Relationship Id="rId422" Type="http://schemas.openxmlformats.org/officeDocument/2006/relationships/hyperlink" Target="https://soporte.quito-turismo.gob.ec/front/user.form.php?id=61" TargetMode="External"/><Relationship Id="rId443" Type="http://schemas.openxmlformats.org/officeDocument/2006/relationships/hyperlink" Target="https://soporte.quito-turismo.gob.ec/front/ticket.form.php?id=1899" TargetMode="External"/><Relationship Id="rId303" Type="http://schemas.openxmlformats.org/officeDocument/2006/relationships/hyperlink" Target="https://soporte.quito-turismo.gob.ec/front/ticket.form.php?id=1952" TargetMode="External"/><Relationship Id="rId42" Type="http://schemas.openxmlformats.org/officeDocument/2006/relationships/hyperlink" Target="https://soporte.quito-turismo.gob.ec/front/user.form.php?id=30" TargetMode="External"/><Relationship Id="rId84" Type="http://schemas.openxmlformats.org/officeDocument/2006/relationships/hyperlink" Target="https://soporte.quito-turismo.gob.ec/front/user.form.php?id=35" TargetMode="External"/><Relationship Id="rId138" Type="http://schemas.openxmlformats.org/officeDocument/2006/relationships/hyperlink" Target="https://soporte.quito-turismo.gob.ec/front/ticket.form.php?id=1985" TargetMode="External"/><Relationship Id="rId345" Type="http://schemas.openxmlformats.org/officeDocument/2006/relationships/hyperlink" Target="https://soporte.quito-turismo.gob.ec/front/ticket.form.php?id=1913" TargetMode="External"/><Relationship Id="rId387" Type="http://schemas.openxmlformats.org/officeDocument/2006/relationships/hyperlink" Target="https://soporte.quito-turismo.gob.ec/front/ticket.form.php?id=1943" TargetMode="External"/><Relationship Id="rId191" Type="http://schemas.openxmlformats.org/officeDocument/2006/relationships/hyperlink" Target="https://soporte.quito-turismo.gob.ec/front/user.form.php?id=39" TargetMode="External"/><Relationship Id="rId205" Type="http://schemas.openxmlformats.org/officeDocument/2006/relationships/hyperlink" Target="https://soporte.quito-turismo.gob.ec/front/user.form.php?id=61" TargetMode="External"/><Relationship Id="rId247" Type="http://schemas.openxmlformats.org/officeDocument/2006/relationships/hyperlink" Target="https://soporte.quito-turismo.gob.ec/front/ticket.form.php?id=1976" TargetMode="External"/><Relationship Id="rId412" Type="http://schemas.openxmlformats.org/officeDocument/2006/relationships/hyperlink" Target="https://soporte.quito-turismo.gob.ec/front/ticket.form.php?id=1918" TargetMode="External"/><Relationship Id="rId107" Type="http://schemas.openxmlformats.org/officeDocument/2006/relationships/hyperlink" Target="https://soporte.quito-turismo.gob.ec/front/ticket.form.php?id=2032" TargetMode="External"/><Relationship Id="rId289" Type="http://schemas.openxmlformats.org/officeDocument/2006/relationships/hyperlink" Target="https://soporte.quito-turismo.gob.ec/front/user.form.php?id=30" TargetMode="External"/><Relationship Id="rId11" Type="http://schemas.openxmlformats.org/officeDocument/2006/relationships/hyperlink" Target="https://soporte.quito-turismo.gob.ec/front/user.form.php?id=12" TargetMode="External"/><Relationship Id="rId53" Type="http://schemas.openxmlformats.org/officeDocument/2006/relationships/hyperlink" Target="https://soporte.quito-turismo.gob.ec/front/ticket.form.php?id=2026" TargetMode="External"/><Relationship Id="rId149" Type="http://schemas.openxmlformats.org/officeDocument/2006/relationships/hyperlink" Target="https://soporte.quito-turismo.gob.ec/front/user.form.php?id=31" TargetMode="External"/><Relationship Id="rId314" Type="http://schemas.openxmlformats.org/officeDocument/2006/relationships/hyperlink" Target="https://soporte.quito-turismo.gob.ec/front/user.form.php?id=31" TargetMode="External"/><Relationship Id="rId356" Type="http://schemas.openxmlformats.org/officeDocument/2006/relationships/hyperlink" Target="https://soporte.quito-turismo.gob.ec/front/user.form.php?id=31" TargetMode="External"/><Relationship Id="rId398" Type="http://schemas.openxmlformats.org/officeDocument/2006/relationships/hyperlink" Target="https://soporte.quito-turismo.gob.ec/front/user.form.php?id=30" TargetMode="External"/><Relationship Id="rId95" Type="http://schemas.openxmlformats.org/officeDocument/2006/relationships/hyperlink" Target="https://soporte.quito-turismo.gob.ec/front/ticket.form.php?id=2018" TargetMode="External"/><Relationship Id="rId160" Type="http://schemas.openxmlformats.org/officeDocument/2006/relationships/hyperlink" Target="https://soporte.quito-turismo.gob.ec/front/user.form.php?id=32" TargetMode="External"/><Relationship Id="rId216" Type="http://schemas.openxmlformats.org/officeDocument/2006/relationships/hyperlink" Target="https://soporte.quito-turismo.gob.ec/front/user.form.php?id=69" TargetMode="External"/><Relationship Id="rId423" Type="http://schemas.openxmlformats.org/officeDocument/2006/relationships/hyperlink" Target="https://soporte.quito-turismo.gob.ec/front/user.form.php?id=39" TargetMode="External"/><Relationship Id="rId258" Type="http://schemas.openxmlformats.org/officeDocument/2006/relationships/hyperlink" Target="https://soporte.quito-turismo.gob.ec/front/user.form.php?id=31" TargetMode="External"/><Relationship Id="rId22" Type="http://schemas.openxmlformats.org/officeDocument/2006/relationships/hyperlink" Target="https://soporte.quito-turismo.gob.ec/front/ticket.form.php?id=2048" TargetMode="External"/><Relationship Id="rId64" Type="http://schemas.openxmlformats.org/officeDocument/2006/relationships/hyperlink" Target="https://soporte.quito-turismo.gob.ec/front/user.form.php?id=31" TargetMode="External"/><Relationship Id="rId118" Type="http://schemas.openxmlformats.org/officeDocument/2006/relationships/hyperlink" Target="https://soporte.quito-turismo.gob.ec/front/user.form.php?id=39" TargetMode="External"/><Relationship Id="rId325" Type="http://schemas.openxmlformats.org/officeDocument/2006/relationships/hyperlink" Target="https://soporte.quito-turismo.gob.ec/front/user.form.php?id=88" TargetMode="External"/><Relationship Id="rId367" Type="http://schemas.openxmlformats.org/officeDocument/2006/relationships/hyperlink" Target="https://soporte.quito-turismo.gob.ec/front/user.form.php?id=48" TargetMode="External"/><Relationship Id="rId171" Type="http://schemas.openxmlformats.org/officeDocument/2006/relationships/hyperlink" Target="https://soporte.quito-turismo.gob.ec/front/ticket.form.php?id=1971" TargetMode="External"/><Relationship Id="rId227" Type="http://schemas.openxmlformats.org/officeDocument/2006/relationships/hyperlink" Target="https://soporte.quito-turismo.gob.ec/front/user.form.php?id=37" TargetMode="External"/><Relationship Id="rId269" Type="http://schemas.openxmlformats.org/officeDocument/2006/relationships/hyperlink" Target="mailto:bpacheco@quito-turismo.gob.ec" TargetMode="External"/><Relationship Id="rId434" Type="http://schemas.openxmlformats.org/officeDocument/2006/relationships/hyperlink" Target="https://soporte.quito-turismo.gob.ec/front/user.form.php?id=30" TargetMode="External"/><Relationship Id="rId33" Type="http://schemas.openxmlformats.org/officeDocument/2006/relationships/hyperlink" Target="https://soporte.quito-turismo.gob.ec/front/user.form.php?id=39" TargetMode="External"/><Relationship Id="rId129" Type="http://schemas.openxmlformats.org/officeDocument/2006/relationships/hyperlink" Target="https://soporte.quito-turismo.gob.ec/front/ticket.form.php?id=2010" TargetMode="External"/><Relationship Id="rId280" Type="http://schemas.openxmlformats.org/officeDocument/2006/relationships/hyperlink" Target="https://soporte.quito-turismo.gob.ec/front/user.form.php?id=50" TargetMode="External"/><Relationship Id="rId336" Type="http://schemas.openxmlformats.org/officeDocument/2006/relationships/hyperlink" Target="https://soporte.quito-turismo.gob.ec/front/ticket.form.php?id=1920" TargetMode="External"/><Relationship Id="rId75" Type="http://schemas.openxmlformats.org/officeDocument/2006/relationships/hyperlink" Target="https://soporte.quito-turismo.gob.ec/front/user.form.php?id=32" TargetMode="External"/><Relationship Id="rId140" Type="http://schemas.openxmlformats.org/officeDocument/2006/relationships/hyperlink" Target="https://soporte.quito-turismo.gob.ec/front/user.form.php?id=31" TargetMode="External"/><Relationship Id="rId182" Type="http://schemas.openxmlformats.org/officeDocument/2006/relationships/hyperlink" Target="https://soporte.quito-turismo.gob.ec/front/user.form.php?id=39" TargetMode="External"/><Relationship Id="rId378" Type="http://schemas.openxmlformats.org/officeDocument/2006/relationships/hyperlink" Target="https://soporte.quito-turismo.gob.ec/front/ticket.form.php?id=1937" TargetMode="External"/><Relationship Id="rId403" Type="http://schemas.openxmlformats.org/officeDocument/2006/relationships/hyperlink" Target="https://soporte.quito-turismo.gob.ec/front/ticket.form.php?id=1925" TargetMode="External"/><Relationship Id="rId6" Type="http://schemas.openxmlformats.org/officeDocument/2006/relationships/hyperlink" Target="https://soporte.quito-turismo.gob.ec/front/user.form.php?id=31" TargetMode="External"/><Relationship Id="rId238" Type="http://schemas.openxmlformats.org/officeDocument/2006/relationships/hyperlink" Target="https://soporte.quito-turismo.gob.ec/front/ticket.form.php?id=1965" TargetMode="External"/><Relationship Id="rId445" Type="http://schemas.openxmlformats.org/officeDocument/2006/relationships/hyperlink" Target="https://soporte.quito-turismo.gob.ec/front/ticket.form.php?id=1898" TargetMode="External"/><Relationship Id="rId291" Type="http://schemas.openxmlformats.org/officeDocument/2006/relationships/hyperlink" Target="https://soporte.quito-turismo.gob.ec/front/ticket.form.php?id=1912" TargetMode="External"/><Relationship Id="rId305" Type="http://schemas.openxmlformats.org/officeDocument/2006/relationships/hyperlink" Target="https://soporte.quito-turismo.gob.ec/front/user.form.php?id=31" TargetMode="External"/><Relationship Id="rId347" Type="http://schemas.openxmlformats.org/officeDocument/2006/relationships/hyperlink" Target="https://soporte.quito-turismo.gob.ec/front/user.form.php?id=31" TargetMode="External"/><Relationship Id="rId44" Type="http://schemas.openxmlformats.org/officeDocument/2006/relationships/hyperlink" Target="https://soporte.quito-turismo.gob.ec/front/ticket.form.php?id=2021" TargetMode="External"/><Relationship Id="rId86" Type="http://schemas.openxmlformats.org/officeDocument/2006/relationships/hyperlink" Target="https://soporte.quito-turismo.gob.ec/front/ticket.form.php?id=2041" TargetMode="External"/><Relationship Id="rId151" Type="http://schemas.openxmlformats.org/officeDocument/2006/relationships/hyperlink" Target="https://soporte.quito-turismo.gob.ec/front/user.form.php?id=79" TargetMode="External"/><Relationship Id="rId389" Type="http://schemas.openxmlformats.org/officeDocument/2006/relationships/hyperlink" Target="https://soporte.quito-turismo.gob.ec/front/ticket.form.php?id=1932" TargetMode="External"/><Relationship Id="rId193" Type="http://schemas.openxmlformats.org/officeDocument/2006/relationships/hyperlink" Target="mailto:mburbano@quito-turismo.gob.ec" TargetMode="External"/><Relationship Id="rId207" Type="http://schemas.openxmlformats.org/officeDocument/2006/relationships/hyperlink" Target="https://soporte.quito-turismo.gob.ec/front/ticket.form.php?id=1991" TargetMode="External"/><Relationship Id="rId249" Type="http://schemas.openxmlformats.org/officeDocument/2006/relationships/hyperlink" Target="https://soporte.quito-turismo.gob.ec/front/user.form.php?id=31" TargetMode="External"/><Relationship Id="rId414" Type="http://schemas.openxmlformats.org/officeDocument/2006/relationships/hyperlink" Target="https://soporte.quito-turismo.gob.ec/front/user.form.php?id=39" TargetMode="External"/><Relationship Id="rId13" Type="http://schemas.openxmlformats.org/officeDocument/2006/relationships/hyperlink" Target="https://soporte.quito-turismo.gob.ec/front/ticket.form.php?id=2050&amp;forcetab=Ticket$2" TargetMode="External"/><Relationship Id="rId109" Type="http://schemas.openxmlformats.org/officeDocument/2006/relationships/hyperlink" Target="https://soporte.quito-turismo.gob.ec/front/user.form.php?id=39" TargetMode="External"/><Relationship Id="rId260" Type="http://schemas.openxmlformats.org/officeDocument/2006/relationships/hyperlink" Target="https://soporte.quito-turismo.gob.ec/front/user.form.php?id=30" TargetMode="External"/><Relationship Id="rId316" Type="http://schemas.openxmlformats.org/officeDocument/2006/relationships/hyperlink" Target="https://soporte.quito-turismo.gob.ec/front/user.form.php?id=32" TargetMode="External"/><Relationship Id="rId55" Type="http://schemas.openxmlformats.org/officeDocument/2006/relationships/hyperlink" Target="https://soporte.quito-turismo.gob.ec/front/user.form.php?id=31" TargetMode="External"/><Relationship Id="rId97" Type="http://schemas.openxmlformats.org/officeDocument/2006/relationships/hyperlink" Target="https://soporte.quito-turismo.gob.ec/front/user.form.php?id=39" TargetMode="External"/><Relationship Id="rId120" Type="http://schemas.openxmlformats.org/officeDocument/2006/relationships/hyperlink" Target="https://soporte.quito-turismo.gob.ec/front/user.form.php?id=16" TargetMode="External"/><Relationship Id="rId358" Type="http://schemas.openxmlformats.org/officeDocument/2006/relationships/hyperlink" Target="https://soporte.quito-turismo.gob.ec/front/user.form.php?id=20" TargetMode="External"/><Relationship Id="rId162" Type="http://schemas.openxmlformats.org/officeDocument/2006/relationships/hyperlink" Target="https://soporte.quito-turismo.gob.ec/front/ticket.form.php?id=1981" TargetMode="External"/><Relationship Id="rId218" Type="http://schemas.openxmlformats.org/officeDocument/2006/relationships/hyperlink" Target="https://soporte.quito-turismo.gob.ec/front/ticket.form.php?id=1990" TargetMode="External"/><Relationship Id="rId425" Type="http://schemas.openxmlformats.org/officeDocument/2006/relationships/hyperlink" Target="https://soporte.quito-turismo.gob.ec/front/user.form.php?id=48" TargetMode="External"/><Relationship Id="rId271" Type="http://schemas.openxmlformats.org/officeDocument/2006/relationships/hyperlink" Target="https://soporte.quito-turismo.gob.ec/front/ticket.form.php?id=1966" TargetMode="External"/><Relationship Id="rId24" Type="http://schemas.openxmlformats.org/officeDocument/2006/relationships/hyperlink" Target="https://soporte.quito-turismo.gob.ec/front/user.form.php?id=39" TargetMode="External"/><Relationship Id="rId66" Type="http://schemas.openxmlformats.org/officeDocument/2006/relationships/hyperlink" Target="https://soporte.quito-turismo.gob.ec/front/user.form.php?id=32" TargetMode="External"/><Relationship Id="rId131" Type="http://schemas.openxmlformats.org/officeDocument/2006/relationships/hyperlink" Target="https://soporte.quito-turismo.gob.ec/front/user.form.php?id=31" TargetMode="External"/><Relationship Id="rId327" Type="http://schemas.openxmlformats.org/officeDocument/2006/relationships/hyperlink" Target="https://soporte.quito-turismo.gob.ec/front/ticket.form.php?id=1926" TargetMode="External"/><Relationship Id="rId369" Type="http://schemas.openxmlformats.org/officeDocument/2006/relationships/hyperlink" Target="https://soporte.quito-turismo.gob.ec/front/ticket.form.php?id=1947" TargetMode="External"/><Relationship Id="rId173" Type="http://schemas.openxmlformats.org/officeDocument/2006/relationships/hyperlink" Target="https://soporte.quito-turismo.gob.ec/front/user.form.php?id=31" TargetMode="External"/><Relationship Id="rId229" Type="http://schemas.openxmlformats.org/officeDocument/2006/relationships/hyperlink" Target="https://soporte.quito-turismo.gob.ec/front/ticket.form.php?id=1968" TargetMode="External"/><Relationship Id="rId380" Type="http://schemas.openxmlformats.org/officeDocument/2006/relationships/hyperlink" Target="https://soporte.quito-turismo.gob.ec/front/user.form.php?id=39" TargetMode="External"/><Relationship Id="rId436" Type="http://schemas.openxmlformats.org/officeDocument/2006/relationships/hyperlink" Target="https://soporte.quito-turismo.gob.ec/front/ticket.form.php?id=1909" TargetMode="External"/><Relationship Id="rId240" Type="http://schemas.openxmlformats.org/officeDocument/2006/relationships/hyperlink" Target="https://soporte.quito-turismo.gob.ec/front/user.form.php?id=31" TargetMode="External"/><Relationship Id="rId35" Type="http://schemas.openxmlformats.org/officeDocument/2006/relationships/hyperlink" Target="https://soporte.quito-turismo.gob.ec/front/user.form.php?id=79" TargetMode="External"/><Relationship Id="rId77" Type="http://schemas.openxmlformats.org/officeDocument/2006/relationships/hyperlink" Target="https://soporte.quito-turismo.gob.ec/front/ticket.form.php?id=2039" TargetMode="External"/><Relationship Id="rId100" Type="http://schemas.openxmlformats.org/officeDocument/2006/relationships/hyperlink" Target="https://soporte.quito-turismo.gob.ec/front/user.form.php?id=39" TargetMode="External"/><Relationship Id="rId282" Type="http://schemas.openxmlformats.org/officeDocument/2006/relationships/hyperlink" Target="https://soporte.quito-turismo.gob.ec/front/ticket.form.php?id=1961" TargetMode="External"/><Relationship Id="rId338" Type="http://schemas.openxmlformats.org/officeDocument/2006/relationships/hyperlink" Target="https://soporte.quito-turismo.gob.ec/front/user.form.php?id=31" TargetMode="External"/><Relationship Id="rId8" Type="http://schemas.openxmlformats.org/officeDocument/2006/relationships/hyperlink" Target="https://soporte.quito-turismo.gob.ec/front/user.form.php?id=79" TargetMode="External"/><Relationship Id="rId142" Type="http://schemas.openxmlformats.org/officeDocument/2006/relationships/hyperlink" Target="https://soporte.quito-turismo.gob.ec/front/user.form.php?id=32" TargetMode="External"/><Relationship Id="rId184" Type="http://schemas.openxmlformats.org/officeDocument/2006/relationships/hyperlink" Target="mailto:mvaldiviezo@quito-turismo.gob.ec" TargetMode="External"/><Relationship Id="rId391" Type="http://schemas.openxmlformats.org/officeDocument/2006/relationships/hyperlink" Target="https://soporte.quito-turismo.gob.ec/front/user.form.php?id=39" TargetMode="External"/><Relationship Id="rId405" Type="http://schemas.openxmlformats.org/officeDocument/2006/relationships/hyperlink" Target="https://soporte.quito-turismo.gob.ec/front/user.form.php?id=39" TargetMode="External"/><Relationship Id="rId447" Type="http://schemas.openxmlformats.org/officeDocument/2006/relationships/hyperlink" Target="https://soporte.quito-turismo.gob.ec/front/ticket.form.php?id=1868" TargetMode="External"/><Relationship Id="rId251" Type="http://schemas.openxmlformats.org/officeDocument/2006/relationships/hyperlink" Target="https://soporte.quito-turismo.gob.ec/front/user.form.php?id=32" TargetMode="External"/><Relationship Id="rId46" Type="http://schemas.openxmlformats.org/officeDocument/2006/relationships/hyperlink" Target="https://soporte.quito-turismo.gob.ec/front/user.form.php?id=31" TargetMode="External"/><Relationship Id="rId293" Type="http://schemas.openxmlformats.org/officeDocument/2006/relationships/hyperlink" Target="https://soporte.quito-turismo.gob.ec/front/user.form.php?id=39" TargetMode="External"/><Relationship Id="rId307" Type="http://schemas.openxmlformats.org/officeDocument/2006/relationships/hyperlink" Target="https://soporte.quito-turismo.gob.ec/front/user.form.php?id=20" TargetMode="External"/><Relationship Id="rId349" Type="http://schemas.openxmlformats.org/officeDocument/2006/relationships/hyperlink" Target="https://soporte.quito-turismo.gob.ec/front/user.form.php?id=30" TargetMode="External"/><Relationship Id="rId88" Type="http://schemas.openxmlformats.org/officeDocument/2006/relationships/hyperlink" Target="https://soporte.quito-turismo.gob.ec/front/user.form.php?id=39" TargetMode="External"/><Relationship Id="rId111" Type="http://schemas.openxmlformats.org/officeDocument/2006/relationships/hyperlink" Target="https://soporte.quito-turismo.gob.ec/front/user.form.php?id=30" TargetMode="External"/><Relationship Id="rId153" Type="http://schemas.openxmlformats.org/officeDocument/2006/relationships/hyperlink" Target="https://soporte.quito-turismo.gob.ec/front/ticket.form.php?id=1999" TargetMode="External"/><Relationship Id="rId195" Type="http://schemas.openxmlformats.org/officeDocument/2006/relationships/hyperlink" Target="https://soporte.quito-turismo.gob.ec/front/ticket.form.php?id=1992" TargetMode="External"/><Relationship Id="rId209" Type="http://schemas.openxmlformats.org/officeDocument/2006/relationships/hyperlink" Target="https://soporte.quito-turismo.gob.ec/front/user.form.php?id=39" TargetMode="External"/><Relationship Id="rId360" Type="http://schemas.openxmlformats.org/officeDocument/2006/relationships/hyperlink" Target="https://soporte.quito-turismo.gob.ec/front/ticket.form.php?id=1950" TargetMode="External"/><Relationship Id="rId416" Type="http://schemas.openxmlformats.org/officeDocument/2006/relationships/hyperlink" Target="https://soporte.quito-turismo.gob.ec/front/user.form.php?id=48" TargetMode="External"/><Relationship Id="rId220" Type="http://schemas.openxmlformats.org/officeDocument/2006/relationships/hyperlink" Target="https://soporte.quito-turismo.gob.ec/front/user.form.php?id=39" TargetMode="External"/><Relationship Id="rId15" Type="http://schemas.openxmlformats.org/officeDocument/2006/relationships/hyperlink" Target="https://soporte.quito-turismo.gob.ec/front/user.form.php?id=39" TargetMode="External"/><Relationship Id="rId57" Type="http://schemas.openxmlformats.org/officeDocument/2006/relationships/hyperlink" Target="https://soporte.quito-turismo.gob.ec/front/user.form.php?id=32" TargetMode="External"/><Relationship Id="rId262" Type="http://schemas.openxmlformats.org/officeDocument/2006/relationships/hyperlink" Target="https://soporte.quito-turismo.gob.ec/front/ticket.form.php?id=1955" TargetMode="External"/><Relationship Id="rId318" Type="http://schemas.openxmlformats.org/officeDocument/2006/relationships/hyperlink" Target="https://soporte.quito-turismo.gob.ec/front/ticket.form.php?id=1935" TargetMode="External"/><Relationship Id="rId99" Type="http://schemas.openxmlformats.org/officeDocument/2006/relationships/hyperlink" Target="https://soporte.quito-turismo.gob.ec/front/user.form.php?id=87" TargetMode="External"/><Relationship Id="rId122" Type="http://schemas.openxmlformats.org/officeDocument/2006/relationships/hyperlink" Target="https://soporte.quito-turismo.gob.ec/front/ticket.form.php?id=2020" TargetMode="External"/><Relationship Id="rId164" Type="http://schemas.openxmlformats.org/officeDocument/2006/relationships/hyperlink" Target="https://soporte.quito-turismo.gob.ec/front/user.form.php?id=31" TargetMode="External"/><Relationship Id="rId371" Type="http://schemas.openxmlformats.org/officeDocument/2006/relationships/hyperlink" Target="https://soporte.quito-turismo.gob.ec/front/user.form.php?id=39" TargetMode="External"/><Relationship Id="rId427" Type="http://schemas.openxmlformats.org/officeDocument/2006/relationships/hyperlink" Target="https://soporte.quito-turismo.gob.ec/front/ticket.form.php?id=1892" TargetMode="External"/><Relationship Id="rId26" Type="http://schemas.openxmlformats.org/officeDocument/2006/relationships/hyperlink" Target="https://soporte.quito-turismo.gob.ec/front/user.form.php?id=16" TargetMode="External"/><Relationship Id="rId231" Type="http://schemas.openxmlformats.org/officeDocument/2006/relationships/hyperlink" Target="https://soporte.quito-turismo.gob.ec/front/user.form.php?id=39" TargetMode="External"/><Relationship Id="rId273" Type="http://schemas.openxmlformats.org/officeDocument/2006/relationships/hyperlink" Target="https://soporte.quito-turismo.gob.ec/front/user.form.php?id=2" TargetMode="External"/><Relationship Id="rId329" Type="http://schemas.openxmlformats.org/officeDocument/2006/relationships/hyperlink" Target="https://soporte.quito-turismo.gob.ec/front/user.form.php?id=31" TargetMode="External"/><Relationship Id="rId68" Type="http://schemas.openxmlformats.org/officeDocument/2006/relationships/hyperlink" Target="https://soporte.quito-turismo.gob.ec/front/ticket.form.php?id=2033" TargetMode="External"/><Relationship Id="rId133" Type="http://schemas.openxmlformats.org/officeDocument/2006/relationships/hyperlink" Target="https://soporte.quito-turismo.gob.ec/front/user.form.php?id=32" TargetMode="External"/><Relationship Id="rId175" Type="http://schemas.openxmlformats.org/officeDocument/2006/relationships/hyperlink" Target="https://soporte.quito-turismo.gob.ec/front/user.form.php?id=20" TargetMode="External"/><Relationship Id="rId340" Type="http://schemas.openxmlformats.org/officeDocument/2006/relationships/hyperlink" Target="https://soporte.quito-turismo.gob.ec/front/user.form.php?id=75" TargetMode="External"/><Relationship Id="rId200" Type="http://schemas.openxmlformats.org/officeDocument/2006/relationships/hyperlink" Target="https://soporte.quito-turismo.gob.ec/front/user.form.php?id=39" TargetMode="External"/><Relationship Id="rId382" Type="http://schemas.openxmlformats.org/officeDocument/2006/relationships/hyperlink" Target="https://soporte.quito-turismo.gob.ec/front/user.form.php?id=61" TargetMode="External"/><Relationship Id="rId438" Type="http://schemas.openxmlformats.org/officeDocument/2006/relationships/hyperlink" Target="https://soporte.quito-turismo.gob.ec/front/user.form.php?id=39" TargetMode="External"/><Relationship Id="rId242" Type="http://schemas.openxmlformats.org/officeDocument/2006/relationships/hyperlink" Target="https://soporte.quito-turismo.gob.ec/front/user.form.php?id=54" TargetMode="External"/><Relationship Id="rId284" Type="http://schemas.openxmlformats.org/officeDocument/2006/relationships/hyperlink" Target="https://soporte.quito-turismo.gob.ec/front/user.form.php?id=39" TargetMode="External"/><Relationship Id="rId37" Type="http://schemas.openxmlformats.org/officeDocument/2006/relationships/hyperlink" Target="https://soporte.quito-turismo.gob.ec/front/user.form.php?id=79" TargetMode="External"/><Relationship Id="rId79" Type="http://schemas.openxmlformats.org/officeDocument/2006/relationships/hyperlink" Target="https://soporte.quito-turismo.gob.ec/front/user.form.php?id=31" TargetMode="External"/><Relationship Id="rId102" Type="http://schemas.openxmlformats.org/officeDocument/2006/relationships/hyperlink" Target="https://soporte.quito-turismo.gob.ec/front/user.form.php?id=87" TargetMode="External"/><Relationship Id="rId144" Type="http://schemas.openxmlformats.org/officeDocument/2006/relationships/hyperlink" Target="https://soporte.quito-turismo.gob.ec/front/ticket.form.php?id=1969" TargetMode="External"/><Relationship Id="rId90" Type="http://schemas.openxmlformats.org/officeDocument/2006/relationships/hyperlink" Target="https://soporte.quito-turismo.gob.ec/front/user.form.php?id=87" TargetMode="External"/><Relationship Id="rId186" Type="http://schemas.openxmlformats.org/officeDocument/2006/relationships/hyperlink" Target="https://soporte.quito-turismo.gob.ec/front/ticket.form.php?id=2006" TargetMode="External"/><Relationship Id="rId351" Type="http://schemas.openxmlformats.org/officeDocument/2006/relationships/hyperlink" Target="https://soporte.quito-turismo.gob.ec/front/ticket.form.php?id=1907" TargetMode="External"/><Relationship Id="rId393" Type="http://schemas.openxmlformats.org/officeDocument/2006/relationships/hyperlink" Target="https://soporte.quito-turismo.gob.ec/front/user.form.php?id=105" TargetMode="External"/><Relationship Id="rId407" Type="http://schemas.openxmlformats.org/officeDocument/2006/relationships/hyperlink" Target="https://soporte.quito-turismo.gob.ec/front/user.form.php?id=61" TargetMode="External"/><Relationship Id="rId449" Type="http://schemas.openxmlformats.org/officeDocument/2006/relationships/hyperlink" Target="https://soporte.quito-turismo.gob.ec/front/user.form.php?id=31" TargetMode="External"/><Relationship Id="rId211" Type="http://schemas.openxmlformats.org/officeDocument/2006/relationships/hyperlink" Target="https://soporte.quito-turismo.gob.ec/front/user.form.php?id=50" TargetMode="External"/><Relationship Id="rId253" Type="http://schemas.openxmlformats.org/officeDocument/2006/relationships/hyperlink" Target="https://soporte.quito-turismo.gob.ec/front/ticket.form.php?id=1964" TargetMode="External"/><Relationship Id="rId295" Type="http://schemas.openxmlformats.org/officeDocument/2006/relationships/hyperlink" Target="https://soporte.quito-turismo.gob.ec/front/user.form.php?id=48" TargetMode="External"/><Relationship Id="rId309" Type="http://schemas.openxmlformats.org/officeDocument/2006/relationships/hyperlink" Target="https://soporte.quito-turismo.gob.ec/front/ticket.form.php?id=1940" TargetMode="External"/><Relationship Id="rId48" Type="http://schemas.openxmlformats.org/officeDocument/2006/relationships/hyperlink" Target="https://soporte.quito-turismo.gob.ec/front/user.form.php?id=32" TargetMode="External"/><Relationship Id="rId113" Type="http://schemas.openxmlformats.org/officeDocument/2006/relationships/hyperlink" Target="https://soporte.quito-turismo.gob.ec/front/ticket.form.php?id=2023" TargetMode="External"/><Relationship Id="rId320" Type="http://schemas.openxmlformats.org/officeDocument/2006/relationships/hyperlink" Target="https://soporte.quito-turismo.gob.ec/front/user.form.php?id=31" TargetMode="External"/><Relationship Id="rId155" Type="http://schemas.openxmlformats.org/officeDocument/2006/relationships/hyperlink" Target="https://soporte.quito-turismo.gob.ec/front/user.form.php?id=31" TargetMode="External"/><Relationship Id="rId197" Type="http://schemas.openxmlformats.org/officeDocument/2006/relationships/hyperlink" Target="https://soporte.quito-turismo.gob.ec/front/user.form.php?id=39" TargetMode="External"/><Relationship Id="rId362" Type="http://schemas.openxmlformats.org/officeDocument/2006/relationships/hyperlink" Target="https://soporte.quito-turismo.gob.ec/front/user.form.php?id=39" TargetMode="External"/><Relationship Id="rId418" Type="http://schemas.openxmlformats.org/officeDocument/2006/relationships/hyperlink" Target="https://soporte.quito-turismo.gob.ec/front/ticket.form.php?id=1915" TargetMode="External"/><Relationship Id="rId222" Type="http://schemas.openxmlformats.org/officeDocument/2006/relationships/hyperlink" Target="https://soporte.quito-turismo.gob.ec/front/user.form.php?id=16" TargetMode="External"/><Relationship Id="rId264" Type="http://schemas.openxmlformats.org/officeDocument/2006/relationships/hyperlink" Target="https://soporte.quito-turismo.gob.ec/front/user.form.php?id=31" TargetMode="External"/><Relationship Id="rId17" Type="http://schemas.openxmlformats.org/officeDocument/2006/relationships/hyperlink" Target="https://soporte.quito-turismo.gob.ec/front/user.form.php?id=79" TargetMode="External"/><Relationship Id="rId59" Type="http://schemas.openxmlformats.org/officeDocument/2006/relationships/hyperlink" Target="https://soporte.quito-turismo.gob.ec/front/ticket.form.php?id=2027" TargetMode="External"/><Relationship Id="rId124" Type="http://schemas.openxmlformats.org/officeDocument/2006/relationships/hyperlink" Target="https://soporte.quito-turismo.gob.ec/front/ticket.form.php?id=2013" TargetMode="External"/><Relationship Id="rId70" Type="http://schemas.openxmlformats.org/officeDocument/2006/relationships/hyperlink" Target="https://soporte.quito-turismo.gob.ec/front/user.form.php?id=31" TargetMode="External"/><Relationship Id="rId166" Type="http://schemas.openxmlformats.org/officeDocument/2006/relationships/hyperlink" Target="https://soporte.quito-turismo.gob.ec/front/user.form.php?id=79" TargetMode="External"/><Relationship Id="rId331" Type="http://schemas.openxmlformats.org/officeDocument/2006/relationships/hyperlink" Target="https://soporte.quito-turismo.gob.ec/front/user.form.php?id=30" TargetMode="External"/><Relationship Id="rId373" Type="http://schemas.openxmlformats.org/officeDocument/2006/relationships/hyperlink" Target="https://soporte.quito-turismo.gob.ec/front/user.form.php?id=38" TargetMode="External"/><Relationship Id="rId429" Type="http://schemas.openxmlformats.org/officeDocument/2006/relationships/hyperlink" Target="https://soporte.quito-turismo.gob.ec/front/user.form.php?id=39" TargetMode="External"/><Relationship Id="rId1" Type="http://schemas.openxmlformats.org/officeDocument/2006/relationships/hyperlink" Target="https://soporte.quito-turismo.gob.ec/front/ticket.form.php?id=2054" TargetMode="External"/><Relationship Id="rId233" Type="http://schemas.openxmlformats.org/officeDocument/2006/relationships/hyperlink" Target="https://soporte.quito-turismo.gob.ec/front/user.form.php?id=107" TargetMode="External"/><Relationship Id="rId440" Type="http://schemas.openxmlformats.org/officeDocument/2006/relationships/hyperlink" Target="https://soporte.quito-turismo.gob.ec/front/user.form.php?id=31" TargetMode="External"/><Relationship Id="rId28" Type="http://schemas.openxmlformats.org/officeDocument/2006/relationships/hyperlink" Target="https://soporte.quito-turismo.gob.ec/front/ticket.form.php?id=2046" TargetMode="External"/><Relationship Id="rId275" Type="http://schemas.openxmlformats.org/officeDocument/2006/relationships/hyperlink" Target="https://soporte.quito-turismo.gob.ec/front/user.form.php?id=75" TargetMode="External"/><Relationship Id="rId300" Type="http://schemas.openxmlformats.org/officeDocument/2006/relationships/hyperlink" Target="https://soporte.quito-turismo.gob.ec/front/ticket.form.php?id=1954" TargetMode="External"/><Relationship Id="rId81" Type="http://schemas.openxmlformats.org/officeDocument/2006/relationships/hyperlink" Target="https://soporte.quito-turismo.gob.ec/front/user.form.php?id=79" TargetMode="External"/><Relationship Id="rId135" Type="http://schemas.openxmlformats.org/officeDocument/2006/relationships/hyperlink" Target="https://soporte.quito-turismo.gob.ec/front/ticket.form.php?id=2003" TargetMode="External"/><Relationship Id="rId177" Type="http://schemas.openxmlformats.org/officeDocument/2006/relationships/hyperlink" Target="https://soporte.quito-turismo.gob.ec/front/ticket.form.php?id=2004" TargetMode="External"/><Relationship Id="rId342" Type="http://schemas.openxmlformats.org/officeDocument/2006/relationships/hyperlink" Target="https://soporte.quito-turismo.gob.ec/front/ticket.form.php?id=1917" TargetMode="External"/><Relationship Id="rId384" Type="http://schemas.openxmlformats.org/officeDocument/2006/relationships/hyperlink" Target="https://soporte.quito-turismo.gob.ec/front/ticket.form.php?id=1941" TargetMode="External"/><Relationship Id="rId202" Type="http://schemas.openxmlformats.org/officeDocument/2006/relationships/hyperlink" Target="https://soporte.quito-turismo.gob.ec/front/user.form.php?id=12" TargetMode="External"/><Relationship Id="rId244" Type="http://schemas.openxmlformats.org/officeDocument/2006/relationships/hyperlink" Target="https://soporte.quito-turismo.gob.ec/front/ticket.form.php?id=1975" TargetMode="External"/><Relationship Id="rId39" Type="http://schemas.openxmlformats.org/officeDocument/2006/relationships/hyperlink" Target="https://soporte.quito-turismo.gob.ec/front/ticket.form.php?id=2038" TargetMode="External"/><Relationship Id="rId286" Type="http://schemas.openxmlformats.org/officeDocument/2006/relationships/hyperlink" Target="https://soporte.quito-turismo.gob.ec/front/user.form.php?id=30" TargetMode="External"/><Relationship Id="rId45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zoomScale="145" zoomScaleNormal="145" workbookViewId="0"/>
  </sheetViews>
  <sheetFormatPr baseColWidth="10" defaultColWidth="12.5703125" defaultRowHeight="15" customHeight="1" x14ac:dyDescent="0.2"/>
  <cols>
    <col min="1" max="1" width="110.7109375" customWidth="1"/>
    <col min="2" max="25" width="9.42578125" customWidth="1"/>
  </cols>
  <sheetData>
    <row r="1" spans="1:1" x14ac:dyDescent="0.2">
      <c r="A1" s="1" t="s">
        <v>0</v>
      </c>
    </row>
    <row r="2" spans="1:1" x14ac:dyDescent="0.25">
      <c r="A2" s="2"/>
    </row>
    <row r="3" spans="1:1" x14ac:dyDescent="0.2">
      <c r="A3" s="3" t="s">
        <v>1</v>
      </c>
    </row>
    <row r="4" spans="1:1" x14ac:dyDescent="0.25">
      <c r="A4" s="2"/>
    </row>
    <row r="5" spans="1:1" ht="30" x14ac:dyDescent="0.2">
      <c r="A5" s="4" t="s">
        <v>2</v>
      </c>
    </row>
    <row r="6" spans="1:1" x14ac:dyDescent="0.25">
      <c r="A6" s="2"/>
    </row>
    <row r="7" spans="1:1" ht="30" x14ac:dyDescent="0.2">
      <c r="A7" s="5" t="s">
        <v>3</v>
      </c>
    </row>
    <row r="8" spans="1:1" ht="12.75" x14ac:dyDescent="0.2">
      <c r="A8" s="6" t="s">
        <v>4</v>
      </c>
    </row>
    <row r="9" spans="1:1" ht="30" x14ac:dyDescent="0.2">
      <c r="A9" s="5" t="s">
        <v>5</v>
      </c>
    </row>
    <row r="10" spans="1:1" ht="30" x14ac:dyDescent="0.2">
      <c r="A10" s="5" t="s">
        <v>6</v>
      </c>
    </row>
    <row r="11" spans="1:1" x14ac:dyDescent="0.2">
      <c r="A11" s="5"/>
    </row>
    <row r="13" spans="1:1" x14ac:dyDescent="0.25">
      <c r="A13" s="2"/>
    </row>
    <row r="14" spans="1:1" x14ac:dyDescent="0.25">
      <c r="A14" s="2"/>
    </row>
    <row r="15" spans="1:1" x14ac:dyDescent="0.25">
      <c r="A15" s="2"/>
    </row>
    <row r="16" spans="1:1" x14ac:dyDescent="0.25">
      <c r="A16" s="2" t="s">
        <v>7</v>
      </c>
    </row>
    <row r="17" spans="1:1" x14ac:dyDescent="0.25">
      <c r="A17" s="2" t="s">
        <v>8</v>
      </c>
    </row>
    <row r="18" spans="1:1" x14ac:dyDescent="0.25">
      <c r="A18" s="2"/>
    </row>
    <row r="20" spans="1:1" ht="103.5" customHeight="1" x14ac:dyDescent="0.25">
      <c r="A20" s="2"/>
    </row>
    <row r="21" spans="1:1" ht="15.75" customHeight="1" x14ac:dyDescent="0.25">
      <c r="A21" s="2"/>
    </row>
    <row r="22" spans="1:1" ht="15.75" customHeight="1" x14ac:dyDescent="0.25">
      <c r="A22" s="2"/>
    </row>
    <row r="23" spans="1:1" ht="15.75" customHeight="1" x14ac:dyDescent="0.25">
      <c r="A23" s="2"/>
    </row>
    <row r="24" spans="1:1" ht="15.75" customHeight="1" x14ac:dyDescent="0.25">
      <c r="A24" s="2"/>
    </row>
    <row r="25" spans="1:1" ht="15.75" customHeight="1" x14ac:dyDescent="0.25">
      <c r="A25" s="2"/>
    </row>
    <row r="26" spans="1:1" ht="15.75" customHeight="1" x14ac:dyDescent="0.25">
      <c r="A26" s="2"/>
    </row>
    <row r="27" spans="1:1" ht="15.75" customHeight="1" x14ac:dyDescent="0.25">
      <c r="A27" s="2"/>
    </row>
    <row r="28" spans="1:1" ht="27.75" customHeight="1" x14ac:dyDescent="0.25">
      <c r="A28" s="2"/>
    </row>
    <row r="29" spans="1:1" ht="15.75" customHeight="1" x14ac:dyDescent="0.2"/>
    <row r="30" spans="1:1" ht="15.75" customHeight="1" x14ac:dyDescent="0.2"/>
    <row r="31" spans="1:1" ht="15.75" customHeight="1" x14ac:dyDescent="0.2"/>
    <row r="32" spans="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colBreaks count="1" manualBreakCount="1">
    <brk man="1"/>
  </col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baseColWidth="10" defaultColWidth="12.5703125" defaultRowHeight="15" customHeight="1" x14ac:dyDescent="0.2"/>
  <cols>
    <col min="1" max="1" width="14" customWidth="1"/>
    <col min="2" max="2" width="24" customWidth="1"/>
    <col min="3" max="3" width="18" customWidth="1"/>
    <col min="4" max="4" width="16.85546875" customWidth="1"/>
    <col min="5" max="5" width="24.28515625" customWidth="1"/>
    <col min="6" max="6" width="19.42578125" customWidth="1"/>
    <col min="7" max="7" width="24.28515625" customWidth="1"/>
    <col min="8" max="8" width="22.140625" customWidth="1"/>
    <col min="9" max="9" width="28" customWidth="1"/>
    <col min="10" max="26" width="14.42578125" customWidth="1"/>
  </cols>
  <sheetData>
    <row r="1" spans="1:26" x14ac:dyDescent="0.25">
      <c r="A1" s="7"/>
      <c r="B1" s="8" t="s">
        <v>9</v>
      </c>
      <c r="C1" s="8" t="s">
        <v>10</v>
      </c>
      <c r="D1" s="9"/>
      <c r="E1" s="10" t="s">
        <v>11</v>
      </c>
      <c r="F1" s="10" t="s">
        <v>12</v>
      </c>
      <c r="G1" s="11"/>
      <c r="H1" s="8" t="s">
        <v>13</v>
      </c>
      <c r="I1" s="11"/>
      <c r="J1" s="9"/>
      <c r="K1" s="9"/>
      <c r="L1" s="9"/>
      <c r="M1" s="9"/>
      <c r="N1" s="9"/>
      <c r="O1" s="9"/>
      <c r="P1" s="9"/>
      <c r="Q1" s="9"/>
      <c r="R1" s="9"/>
      <c r="S1" s="11"/>
      <c r="T1" s="11"/>
      <c r="U1" s="11"/>
      <c r="V1" s="11"/>
      <c r="W1" s="11"/>
      <c r="X1" s="11"/>
      <c r="Y1" s="11"/>
      <c r="Z1" s="11"/>
    </row>
    <row r="2" spans="1:26" x14ac:dyDescent="0.25">
      <c r="A2" s="9"/>
      <c r="B2" s="12" t="s">
        <v>14</v>
      </c>
      <c r="C2" s="13" t="s">
        <v>15</v>
      </c>
      <c r="D2" s="9"/>
      <c r="E2" s="14" t="s">
        <v>16</v>
      </c>
      <c r="F2" s="15" t="s">
        <v>15</v>
      </c>
      <c r="G2" s="11"/>
      <c r="H2" s="16" t="s">
        <v>17</v>
      </c>
      <c r="I2" s="11"/>
      <c r="J2" s="9"/>
      <c r="K2" s="9"/>
      <c r="L2" s="9"/>
      <c r="M2" s="9"/>
      <c r="N2" s="9"/>
      <c r="O2" s="9"/>
      <c r="P2" s="9"/>
      <c r="Q2" s="9"/>
      <c r="R2" s="9"/>
      <c r="S2" s="11"/>
      <c r="T2" s="11"/>
      <c r="U2" s="11"/>
      <c r="V2" s="11"/>
      <c r="W2" s="11"/>
      <c r="X2" s="11"/>
      <c r="Y2" s="11"/>
      <c r="Z2" s="11"/>
    </row>
    <row r="3" spans="1:26" x14ac:dyDescent="0.25">
      <c r="A3" s="9"/>
      <c r="B3" s="12" t="s">
        <v>18</v>
      </c>
      <c r="C3" s="13" t="s">
        <v>19</v>
      </c>
      <c r="D3" s="9"/>
      <c r="E3" s="14" t="s">
        <v>20</v>
      </c>
      <c r="F3" s="17" t="s">
        <v>19</v>
      </c>
      <c r="G3" s="11"/>
      <c r="H3" s="16" t="s">
        <v>21</v>
      </c>
      <c r="I3" s="11"/>
      <c r="J3" s="9"/>
      <c r="K3" s="9"/>
      <c r="L3" s="9"/>
      <c r="M3" s="9"/>
      <c r="N3" s="9"/>
      <c r="O3" s="9"/>
      <c r="P3" s="9"/>
      <c r="Q3" s="9"/>
      <c r="R3" s="9"/>
      <c r="S3" s="11"/>
      <c r="T3" s="11"/>
      <c r="U3" s="11"/>
      <c r="V3" s="11"/>
      <c r="W3" s="11"/>
      <c r="X3" s="11"/>
      <c r="Y3" s="11"/>
      <c r="Z3" s="11"/>
    </row>
    <row r="4" spans="1:26" x14ac:dyDescent="0.25">
      <c r="A4" s="9"/>
      <c r="B4" s="9"/>
      <c r="C4" s="9"/>
      <c r="D4" s="9"/>
      <c r="E4" s="14" t="s">
        <v>22</v>
      </c>
      <c r="F4" s="18" t="s">
        <v>23</v>
      </c>
      <c r="G4" s="11"/>
      <c r="H4" s="11"/>
      <c r="I4" s="11"/>
      <c r="J4" s="9"/>
      <c r="K4" s="9"/>
      <c r="L4" s="9"/>
      <c r="M4" s="9"/>
      <c r="N4" s="9"/>
      <c r="O4" s="9"/>
      <c r="P4" s="9"/>
      <c r="Q4" s="9"/>
      <c r="R4" s="9"/>
      <c r="S4" s="11"/>
      <c r="T4" s="11"/>
      <c r="U4" s="11"/>
      <c r="V4" s="11"/>
      <c r="W4" s="11"/>
      <c r="X4" s="11"/>
      <c r="Y4" s="11"/>
      <c r="Z4" s="11"/>
    </row>
    <row r="5" spans="1:26" x14ac:dyDescent="0.25">
      <c r="A5" s="9"/>
      <c r="B5" s="9"/>
      <c r="C5" s="9"/>
      <c r="D5" s="9"/>
      <c r="E5" s="14" t="s">
        <v>24</v>
      </c>
      <c r="F5" s="19" t="s">
        <v>25</v>
      </c>
      <c r="G5" s="11"/>
      <c r="H5" s="11"/>
      <c r="I5" s="11"/>
      <c r="J5" s="9"/>
      <c r="K5" s="9"/>
      <c r="L5" s="9"/>
      <c r="M5" s="9"/>
      <c r="N5" s="9"/>
      <c r="O5" s="9"/>
      <c r="P5" s="9"/>
      <c r="Q5" s="9"/>
      <c r="R5" s="9"/>
      <c r="S5" s="11"/>
      <c r="T5" s="11"/>
      <c r="U5" s="11"/>
      <c r="V5" s="11"/>
      <c r="W5" s="11"/>
      <c r="X5" s="11"/>
      <c r="Y5" s="11"/>
      <c r="Z5" s="11"/>
    </row>
    <row r="6" spans="1:26" x14ac:dyDescent="0.25">
      <c r="A6" s="9"/>
      <c r="B6" s="9"/>
      <c r="C6" s="9"/>
      <c r="D6" s="9"/>
      <c r="E6" s="14" t="s">
        <v>26</v>
      </c>
      <c r="F6" s="18" t="s">
        <v>27</v>
      </c>
      <c r="G6" s="11"/>
      <c r="H6" s="11"/>
      <c r="I6" s="11"/>
      <c r="J6" s="9"/>
      <c r="K6" s="9"/>
      <c r="L6" s="9"/>
      <c r="M6" s="9"/>
      <c r="N6" s="9"/>
      <c r="O6" s="9"/>
      <c r="P6" s="9"/>
      <c r="Q6" s="9"/>
      <c r="R6" s="9"/>
      <c r="S6" s="11"/>
      <c r="T6" s="11"/>
      <c r="U6" s="11"/>
      <c r="V6" s="11"/>
      <c r="W6" s="11"/>
      <c r="X6" s="11"/>
      <c r="Y6" s="11"/>
      <c r="Z6" s="11"/>
    </row>
    <row r="7" spans="1:26" x14ac:dyDescent="0.25">
      <c r="A7" s="9"/>
      <c r="B7" s="9"/>
      <c r="C7" s="9"/>
      <c r="D7" s="9"/>
      <c r="E7" s="14" t="s">
        <v>28</v>
      </c>
      <c r="F7" s="19" t="s">
        <v>29</v>
      </c>
      <c r="G7" s="11"/>
      <c r="H7" s="11"/>
      <c r="I7" s="11"/>
      <c r="J7" s="9"/>
      <c r="K7" s="9"/>
      <c r="L7" s="9"/>
      <c r="M7" s="9"/>
      <c r="N7" s="9"/>
      <c r="O7" s="9"/>
      <c r="P7" s="9"/>
      <c r="Q7" s="9"/>
      <c r="R7" s="9"/>
      <c r="S7" s="11"/>
      <c r="T7" s="11"/>
      <c r="U7" s="11"/>
      <c r="V7" s="11"/>
      <c r="W7" s="11"/>
      <c r="X7" s="11"/>
      <c r="Y7" s="11"/>
      <c r="Z7" s="11"/>
    </row>
    <row r="8" spans="1:26" x14ac:dyDescent="0.25">
      <c r="A8" s="9"/>
      <c r="B8" s="9"/>
      <c r="C8" s="9"/>
      <c r="D8" s="9"/>
      <c r="E8" s="14" t="s">
        <v>30</v>
      </c>
      <c r="F8" s="18" t="s">
        <v>31</v>
      </c>
      <c r="G8" s="11"/>
      <c r="H8" s="11"/>
      <c r="I8" s="11"/>
      <c r="J8" s="9"/>
      <c r="K8" s="9"/>
      <c r="L8" s="9"/>
      <c r="M8" s="9"/>
      <c r="N8" s="9"/>
      <c r="O8" s="9"/>
      <c r="P8" s="9"/>
      <c r="Q8" s="9"/>
      <c r="R8" s="9"/>
      <c r="S8" s="11"/>
      <c r="T8" s="11"/>
      <c r="U8" s="11"/>
      <c r="V8" s="11"/>
      <c r="W8" s="11"/>
      <c r="X8" s="11"/>
      <c r="Y8" s="11"/>
      <c r="Z8" s="11"/>
    </row>
    <row r="9" spans="1:26" x14ac:dyDescent="0.25">
      <c r="A9" s="9"/>
      <c r="B9" s="9"/>
      <c r="C9" s="9"/>
      <c r="D9" s="9"/>
      <c r="E9" s="14" t="s">
        <v>32</v>
      </c>
      <c r="F9" s="19" t="s">
        <v>33</v>
      </c>
      <c r="G9" s="11"/>
      <c r="H9" s="11"/>
      <c r="I9" s="11"/>
      <c r="J9" s="9"/>
      <c r="K9" s="9"/>
      <c r="L9" s="9"/>
      <c r="M9" s="9"/>
      <c r="N9" s="9"/>
      <c r="O9" s="9"/>
      <c r="P9" s="9"/>
      <c r="Q9" s="9"/>
      <c r="R9" s="9"/>
      <c r="S9" s="11"/>
      <c r="T9" s="11"/>
      <c r="U9" s="11"/>
      <c r="V9" s="11"/>
      <c r="W9" s="11"/>
      <c r="X9" s="11"/>
      <c r="Y9" s="11"/>
      <c r="Z9" s="11"/>
    </row>
    <row r="10" spans="1:26" x14ac:dyDescent="0.25">
      <c r="A10" s="9"/>
      <c r="B10" s="9"/>
      <c r="C10" s="9"/>
      <c r="D10" s="9"/>
      <c r="E10" s="20" t="s">
        <v>34</v>
      </c>
      <c r="F10" s="18" t="s">
        <v>35</v>
      </c>
      <c r="G10" s="11"/>
      <c r="H10" s="11"/>
      <c r="I10" s="11"/>
      <c r="J10" s="9"/>
      <c r="K10" s="9"/>
      <c r="L10" s="9"/>
      <c r="M10" s="9"/>
      <c r="N10" s="9"/>
      <c r="O10" s="9"/>
      <c r="P10" s="9"/>
      <c r="Q10" s="9"/>
      <c r="R10" s="9"/>
      <c r="S10" s="11"/>
      <c r="T10" s="11"/>
      <c r="U10" s="11"/>
      <c r="V10" s="11"/>
      <c r="W10" s="11"/>
      <c r="X10" s="11"/>
      <c r="Y10" s="11"/>
      <c r="Z10" s="11"/>
    </row>
    <row r="11" spans="1:26" x14ac:dyDescent="0.25">
      <c r="A11" s="9"/>
      <c r="B11" s="9"/>
      <c r="C11" s="9"/>
      <c r="D11" s="9"/>
      <c r="E11" s="9"/>
      <c r="F11" s="9"/>
      <c r="G11" s="9"/>
      <c r="H11" s="9"/>
      <c r="I11" s="9"/>
      <c r="J11" s="9"/>
      <c r="K11" s="9"/>
      <c r="L11" s="9"/>
      <c r="M11" s="9"/>
      <c r="N11" s="9"/>
      <c r="O11" s="9"/>
      <c r="P11" s="9"/>
      <c r="Q11" s="9"/>
      <c r="R11" s="9"/>
      <c r="S11" s="11"/>
      <c r="T11" s="11"/>
      <c r="U11" s="11"/>
      <c r="V11" s="11"/>
      <c r="W11" s="11"/>
      <c r="X11" s="11"/>
      <c r="Y11" s="11"/>
      <c r="Z11" s="11"/>
    </row>
    <row r="12" spans="1:26" x14ac:dyDescent="0.25">
      <c r="A12" s="9"/>
      <c r="B12" s="9"/>
      <c r="C12" s="9"/>
      <c r="D12" s="9"/>
      <c r="E12" s="9"/>
      <c r="F12" s="9"/>
      <c r="G12" s="9"/>
      <c r="H12" s="9"/>
      <c r="I12" s="9"/>
      <c r="J12" s="9"/>
      <c r="K12" s="9"/>
      <c r="L12" s="9"/>
      <c r="M12" s="9"/>
      <c r="N12" s="9"/>
      <c r="O12" s="9"/>
      <c r="P12" s="9"/>
      <c r="Q12" s="9"/>
      <c r="R12" s="9"/>
      <c r="S12" s="11"/>
      <c r="T12" s="11"/>
      <c r="U12" s="11"/>
      <c r="V12" s="11"/>
      <c r="W12" s="11"/>
      <c r="X12" s="11"/>
      <c r="Y12" s="11"/>
      <c r="Z12" s="11"/>
    </row>
    <row r="13" spans="1:26" x14ac:dyDescent="0.25">
      <c r="A13" s="9"/>
      <c r="B13" s="9"/>
      <c r="C13" s="9"/>
      <c r="D13" s="9"/>
      <c r="E13" s="9"/>
      <c r="F13" s="9"/>
      <c r="G13" s="9"/>
      <c r="H13" s="9"/>
      <c r="I13" s="9"/>
      <c r="J13" s="9"/>
      <c r="K13" s="9"/>
      <c r="L13" s="9"/>
      <c r="M13" s="9"/>
      <c r="N13" s="9"/>
      <c r="O13" s="9"/>
      <c r="P13" s="9"/>
      <c r="Q13" s="9"/>
      <c r="R13" s="9"/>
      <c r="S13" s="11"/>
      <c r="T13" s="11"/>
      <c r="U13" s="11"/>
      <c r="V13" s="11"/>
      <c r="W13" s="11"/>
      <c r="X13" s="11"/>
      <c r="Y13" s="11"/>
      <c r="Z13" s="11"/>
    </row>
    <row r="14" spans="1:26" x14ac:dyDescent="0.25">
      <c r="A14" s="9"/>
      <c r="B14" s="9"/>
      <c r="C14" s="9"/>
      <c r="D14" s="9"/>
      <c r="E14" s="9"/>
      <c r="F14" s="9"/>
      <c r="G14" s="9"/>
      <c r="H14" s="9"/>
      <c r="I14" s="9"/>
      <c r="J14" s="9"/>
      <c r="K14" s="9"/>
      <c r="L14" s="9"/>
      <c r="M14" s="9"/>
      <c r="N14" s="9"/>
      <c r="O14" s="9"/>
      <c r="P14" s="9"/>
      <c r="Q14" s="9"/>
      <c r="R14" s="9"/>
      <c r="S14" s="11"/>
      <c r="T14" s="11"/>
      <c r="U14" s="11"/>
      <c r="V14" s="11"/>
      <c r="W14" s="11"/>
      <c r="X14" s="11"/>
      <c r="Y14" s="11"/>
      <c r="Z14" s="11"/>
    </row>
    <row r="15" spans="1:26" x14ac:dyDescent="0.25">
      <c r="A15" s="9"/>
      <c r="B15" s="9"/>
      <c r="C15" s="9"/>
      <c r="D15" s="9"/>
      <c r="E15" s="9"/>
      <c r="F15" s="9"/>
      <c r="G15" s="9"/>
      <c r="H15" s="9"/>
      <c r="I15" s="9"/>
      <c r="J15" s="9"/>
      <c r="K15" s="9"/>
      <c r="L15" s="9"/>
      <c r="M15" s="9"/>
      <c r="N15" s="9"/>
      <c r="O15" s="9"/>
      <c r="P15" s="9"/>
      <c r="Q15" s="9"/>
      <c r="R15" s="9"/>
      <c r="S15" s="11"/>
      <c r="T15" s="11"/>
      <c r="U15" s="11"/>
      <c r="V15" s="11"/>
      <c r="W15" s="11"/>
      <c r="X15" s="11"/>
      <c r="Y15" s="11"/>
      <c r="Z15" s="11"/>
    </row>
    <row r="16" spans="1:26" x14ac:dyDescent="0.25">
      <c r="A16" s="9"/>
      <c r="B16" s="9"/>
      <c r="C16" s="9"/>
      <c r="D16" s="9"/>
      <c r="E16" s="9"/>
      <c r="F16" s="9"/>
      <c r="G16" s="9"/>
      <c r="H16" s="9"/>
      <c r="I16" s="9"/>
      <c r="J16" s="9"/>
      <c r="K16" s="9"/>
      <c r="L16" s="9"/>
      <c r="M16" s="9"/>
      <c r="N16" s="9"/>
      <c r="O16" s="9"/>
      <c r="P16" s="9"/>
      <c r="Q16" s="9"/>
      <c r="R16" s="9"/>
      <c r="S16" s="11"/>
      <c r="T16" s="11"/>
      <c r="U16" s="11"/>
      <c r="V16" s="11"/>
      <c r="W16" s="11"/>
      <c r="X16" s="11"/>
      <c r="Y16" s="11"/>
      <c r="Z16" s="11"/>
    </row>
    <row r="17" spans="1:26" x14ac:dyDescent="0.25">
      <c r="A17" s="9"/>
      <c r="B17" s="21" t="s">
        <v>36</v>
      </c>
      <c r="C17" s="9"/>
      <c r="D17" s="9"/>
      <c r="E17" s="9"/>
      <c r="F17" s="9"/>
      <c r="G17" s="9"/>
      <c r="H17" s="9"/>
      <c r="I17" s="9"/>
      <c r="J17" s="9"/>
      <c r="K17" s="9"/>
      <c r="L17" s="9"/>
      <c r="M17" s="9"/>
      <c r="N17" s="9"/>
      <c r="O17" s="9"/>
      <c r="P17" s="9"/>
      <c r="Q17" s="9"/>
      <c r="R17" s="9"/>
      <c r="S17" s="11"/>
      <c r="T17" s="11"/>
      <c r="U17" s="11"/>
      <c r="V17" s="11"/>
      <c r="W17" s="11"/>
      <c r="X17" s="11"/>
      <c r="Y17" s="11"/>
      <c r="Z17" s="11"/>
    </row>
    <row r="18" spans="1:26" x14ac:dyDescent="0.25">
      <c r="A18" s="9"/>
      <c r="B18" s="9" t="s">
        <v>37</v>
      </c>
      <c r="C18" s="9"/>
      <c r="D18" s="9"/>
      <c r="E18" s="9"/>
      <c r="F18" s="9"/>
      <c r="G18" s="9"/>
      <c r="H18" s="9"/>
      <c r="I18" s="9"/>
      <c r="J18" s="9"/>
      <c r="K18" s="9"/>
      <c r="L18" s="9"/>
      <c r="M18" s="9"/>
      <c r="N18" s="9"/>
      <c r="O18" s="9"/>
      <c r="P18" s="9"/>
      <c r="Q18" s="9"/>
      <c r="R18" s="9"/>
      <c r="S18" s="11"/>
      <c r="T18" s="11"/>
      <c r="U18" s="11"/>
      <c r="V18" s="11"/>
      <c r="W18" s="11"/>
      <c r="X18" s="11"/>
      <c r="Y18" s="11"/>
      <c r="Z18" s="11"/>
    </row>
    <row r="19" spans="1:26" x14ac:dyDescent="0.25">
      <c r="A19" s="9"/>
      <c r="B19" s="9"/>
      <c r="C19" s="9"/>
      <c r="D19" s="9"/>
      <c r="E19" s="9"/>
      <c r="F19" s="9"/>
      <c r="G19" s="9"/>
      <c r="H19" s="9"/>
      <c r="I19" s="9"/>
      <c r="J19" s="9"/>
      <c r="K19" s="9"/>
      <c r="L19" s="9"/>
      <c r="M19" s="9"/>
      <c r="N19" s="9"/>
      <c r="O19" s="9"/>
      <c r="P19" s="9"/>
      <c r="Q19" s="9"/>
      <c r="R19" s="9"/>
      <c r="S19" s="11"/>
      <c r="T19" s="11"/>
      <c r="U19" s="11"/>
      <c r="V19" s="11"/>
      <c r="W19" s="11"/>
      <c r="X19" s="11"/>
      <c r="Y19" s="11"/>
      <c r="Z19" s="11"/>
    </row>
    <row r="20" spans="1:26" ht="30" x14ac:dyDescent="0.25">
      <c r="A20" s="9"/>
      <c r="B20" s="22" t="s">
        <v>38</v>
      </c>
      <c r="C20" s="23" t="s">
        <v>39</v>
      </c>
      <c r="D20" s="22" t="s">
        <v>40</v>
      </c>
      <c r="E20" s="23" t="s">
        <v>41</v>
      </c>
      <c r="F20" s="11"/>
      <c r="G20" s="9"/>
      <c r="H20" s="9"/>
      <c r="I20" s="9"/>
      <c r="J20" s="9"/>
      <c r="K20" s="9"/>
      <c r="L20" s="9"/>
      <c r="M20" s="9"/>
      <c r="N20" s="9"/>
      <c r="O20" s="9"/>
      <c r="P20" s="9"/>
      <c r="Q20" s="9"/>
      <c r="R20" s="9"/>
      <c r="S20" s="11"/>
      <c r="T20" s="11"/>
      <c r="U20" s="11"/>
      <c r="V20" s="11"/>
      <c r="W20" s="11"/>
      <c r="X20" s="11"/>
      <c r="Y20" s="11"/>
      <c r="Z20" s="11"/>
    </row>
    <row r="21" spans="1:26" ht="15.75" customHeight="1" x14ac:dyDescent="0.25">
      <c r="A21" s="9"/>
      <c r="B21" s="24" t="s">
        <v>15</v>
      </c>
      <c r="C21" s="24" t="s">
        <v>42</v>
      </c>
      <c r="D21" s="24" t="s">
        <v>15</v>
      </c>
      <c r="E21" s="24" t="s">
        <v>43</v>
      </c>
      <c r="F21" s="11"/>
      <c r="G21" s="9"/>
      <c r="H21" s="9"/>
      <c r="I21" s="9"/>
      <c r="J21" s="9"/>
      <c r="K21" s="9"/>
      <c r="L21" s="9"/>
      <c r="M21" s="9"/>
      <c r="N21" s="9"/>
      <c r="O21" s="9"/>
      <c r="P21" s="9"/>
      <c r="Q21" s="9"/>
      <c r="R21" s="9"/>
      <c r="S21" s="11"/>
      <c r="T21" s="11"/>
      <c r="U21" s="11"/>
      <c r="V21" s="11"/>
      <c r="W21" s="11"/>
      <c r="X21" s="11"/>
      <c r="Y21" s="11"/>
      <c r="Z21" s="11"/>
    </row>
    <row r="22" spans="1:26" ht="15.75" customHeight="1" x14ac:dyDescent="0.25">
      <c r="A22" s="9"/>
      <c r="B22" s="25" t="s">
        <v>14</v>
      </c>
      <c r="C22" s="26" t="s">
        <v>44</v>
      </c>
      <c r="D22" s="27" t="s">
        <v>16</v>
      </c>
      <c r="E22" s="24" t="s">
        <v>43</v>
      </c>
      <c r="F22" s="11"/>
      <c r="G22" s="9"/>
      <c r="H22" s="9"/>
      <c r="I22" s="9"/>
      <c r="J22" s="9"/>
      <c r="K22" s="9"/>
      <c r="L22" s="9"/>
      <c r="M22" s="9"/>
      <c r="N22" s="9"/>
      <c r="O22" s="9"/>
      <c r="P22" s="9"/>
      <c r="Q22" s="9"/>
      <c r="R22" s="9"/>
      <c r="S22" s="11"/>
      <c r="T22" s="11"/>
      <c r="U22" s="11"/>
      <c r="V22" s="11"/>
      <c r="W22" s="11"/>
      <c r="X22" s="11"/>
      <c r="Y22" s="11"/>
      <c r="Z22" s="11"/>
    </row>
    <row r="23" spans="1:26" ht="15.75" customHeight="1" x14ac:dyDescent="0.25">
      <c r="A23" s="9"/>
      <c r="B23" s="9"/>
      <c r="C23" s="9"/>
      <c r="D23" s="9"/>
      <c r="E23" s="9"/>
      <c r="F23" s="9"/>
      <c r="G23" s="9"/>
      <c r="H23" s="9"/>
      <c r="I23" s="9"/>
      <c r="J23" s="9"/>
      <c r="K23" s="9"/>
      <c r="L23" s="9"/>
      <c r="M23" s="9"/>
      <c r="N23" s="9"/>
      <c r="O23" s="9"/>
      <c r="P23" s="9"/>
      <c r="Q23" s="9"/>
      <c r="R23" s="9"/>
      <c r="S23" s="11"/>
      <c r="T23" s="11"/>
      <c r="U23" s="11"/>
      <c r="V23" s="11"/>
      <c r="W23" s="11"/>
      <c r="X23" s="11"/>
      <c r="Y23" s="11"/>
      <c r="Z23" s="11"/>
    </row>
    <row r="24" spans="1:26" ht="15.75" customHeight="1" x14ac:dyDescent="0.25">
      <c r="A24" s="9"/>
      <c r="B24" s="9"/>
      <c r="C24" s="9"/>
      <c r="D24" s="9"/>
      <c r="E24" s="9"/>
      <c r="F24" s="9"/>
      <c r="G24" s="9"/>
      <c r="H24" s="9"/>
      <c r="I24" s="9"/>
      <c r="J24" s="9"/>
      <c r="K24" s="9"/>
      <c r="L24" s="9"/>
      <c r="M24" s="9"/>
      <c r="N24" s="9"/>
      <c r="O24" s="9"/>
      <c r="P24" s="9"/>
      <c r="Q24" s="9"/>
      <c r="R24" s="9"/>
      <c r="S24" s="11"/>
      <c r="T24" s="11"/>
      <c r="U24" s="11"/>
      <c r="V24" s="11"/>
      <c r="W24" s="11"/>
      <c r="X24" s="11"/>
      <c r="Y24" s="11"/>
      <c r="Z24" s="11"/>
    </row>
    <row r="25" spans="1:26" ht="15.75" customHeight="1" x14ac:dyDescent="0.25">
      <c r="A25" s="9"/>
      <c r="B25" s="9"/>
      <c r="C25" s="9"/>
      <c r="D25" s="9"/>
      <c r="E25" s="9"/>
      <c r="F25" s="9"/>
      <c r="G25" s="9"/>
      <c r="H25" s="9"/>
      <c r="I25" s="9"/>
      <c r="J25" s="9"/>
      <c r="K25" s="9"/>
      <c r="L25" s="9"/>
      <c r="M25" s="9"/>
      <c r="N25" s="9"/>
      <c r="O25" s="9"/>
      <c r="P25" s="9"/>
      <c r="Q25" s="9"/>
      <c r="R25" s="9"/>
      <c r="S25" s="11"/>
      <c r="T25" s="11"/>
      <c r="U25" s="11"/>
      <c r="V25" s="11"/>
      <c r="W25" s="11"/>
      <c r="X25" s="11"/>
      <c r="Y25" s="11"/>
      <c r="Z25" s="11"/>
    </row>
    <row r="26" spans="1:26" ht="15.75" customHeight="1" x14ac:dyDescent="0.25">
      <c r="A26" s="9"/>
      <c r="B26" s="9"/>
      <c r="C26" s="11"/>
      <c r="D26" s="9"/>
      <c r="E26" s="9"/>
      <c r="F26" s="9"/>
      <c r="G26" s="9"/>
      <c r="H26" s="9"/>
      <c r="I26" s="9"/>
      <c r="J26" s="9"/>
      <c r="K26" s="9"/>
      <c r="L26" s="9"/>
      <c r="M26" s="9"/>
      <c r="N26" s="9"/>
      <c r="O26" s="9"/>
      <c r="P26" s="9"/>
      <c r="Q26" s="9"/>
      <c r="R26" s="9"/>
      <c r="S26" s="11"/>
      <c r="T26" s="11"/>
      <c r="U26" s="11"/>
      <c r="V26" s="11"/>
      <c r="W26" s="11"/>
      <c r="X26" s="11"/>
      <c r="Y26" s="11"/>
      <c r="Z26" s="11"/>
    </row>
    <row r="27" spans="1:26" ht="15.75" customHeight="1" x14ac:dyDescent="0.25">
      <c r="A27" s="9"/>
      <c r="B27" s="9"/>
      <c r="C27" s="11"/>
      <c r="D27" s="9"/>
      <c r="E27" s="9"/>
      <c r="F27" s="9"/>
      <c r="G27" s="9"/>
      <c r="H27" s="9"/>
      <c r="I27" s="9"/>
      <c r="J27" s="9"/>
      <c r="K27" s="9"/>
      <c r="L27" s="9"/>
      <c r="M27" s="9"/>
      <c r="N27" s="9"/>
      <c r="O27" s="9"/>
      <c r="P27" s="9"/>
      <c r="Q27" s="9"/>
      <c r="R27" s="9"/>
      <c r="S27" s="11"/>
      <c r="T27" s="11"/>
      <c r="U27" s="11"/>
      <c r="V27" s="11"/>
      <c r="W27" s="11"/>
      <c r="X27" s="11"/>
      <c r="Y27" s="11"/>
      <c r="Z27" s="11"/>
    </row>
    <row r="28" spans="1:26" ht="15.75" customHeight="1" x14ac:dyDescent="0.25">
      <c r="A28" s="9"/>
      <c r="B28" s="9"/>
      <c r="C28" s="11"/>
      <c r="D28" s="9"/>
      <c r="E28" s="9"/>
      <c r="F28" s="9"/>
      <c r="G28" s="9"/>
      <c r="H28" s="9"/>
      <c r="I28" s="9"/>
      <c r="J28" s="9"/>
      <c r="K28" s="9"/>
      <c r="L28" s="9"/>
      <c r="M28" s="9"/>
      <c r="N28" s="9"/>
      <c r="O28" s="9"/>
      <c r="P28" s="9"/>
      <c r="Q28" s="9"/>
      <c r="R28" s="9"/>
      <c r="S28" s="11"/>
      <c r="T28" s="11"/>
      <c r="U28" s="11"/>
      <c r="V28" s="11"/>
      <c r="W28" s="11"/>
      <c r="X28" s="11"/>
      <c r="Y28" s="11"/>
      <c r="Z28" s="11"/>
    </row>
    <row r="29" spans="1:26" ht="15.75" customHeight="1" x14ac:dyDescent="0.25">
      <c r="A29" s="9"/>
      <c r="B29" s="9"/>
      <c r="C29" s="9"/>
      <c r="D29" s="9"/>
      <c r="E29" s="9"/>
      <c r="F29" s="9"/>
      <c r="G29" s="9"/>
      <c r="H29" s="9"/>
      <c r="I29" s="9"/>
      <c r="J29" s="9"/>
      <c r="K29" s="9"/>
      <c r="L29" s="9"/>
      <c r="M29" s="9"/>
      <c r="N29" s="9"/>
      <c r="O29" s="9"/>
      <c r="P29" s="9"/>
      <c r="Q29" s="9"/>
      <c r="R29" s="9"/>
      <c r="S29" s="11"/>
      <c r="T29" s="11"/>
      <c r="U29" s="11"/>
      <c r="V29" s="11"/>
      <c r="W29" s="11"/>
      <c r="X29" s="11"/>
      <c r="Y29" s="11"/>
      <c r="Z29" s="11"/>
    </row>
    <row r="30" spans="1:26" ht="15.75" customHeight="1" x14ac:dyDescent="0.25">
      <c r="A30" s="9"/>
      <c r="B30" s="11"/>
      <c r="C30" s="11"/>
      <c r="D30" s="11"/>
      <c r="E30" s="11"/>
      <c r="F30" s="11"/>
      <c r="G30" s="9"/>
      <c r="H30" s="9"/>
      <c r="I30" s="9"/>
      <c r="J30" s="9"/>
      <c r="K30" s="9"/>
      <c r="L30" s="9"/>
      <c r="M30" s="9"/>
      <c r="N30" s="9"/>
      <c r="O30" s="9"/>
      <c r="P30" s="9"/>
      <c r="Q30" s="9"/>
      <c r="R30" s="9"/>
      <c r="S30" s="11"/>
      <c r="T30" s="11"/>
      <c r="U30" s="11"/>
      <c r="V30" s="11"/>
      <c r="W30" s="11"/>
      <c r="X30" s="11"/>
      <c r="Y30" s="11"/>
      <c r="Z30" s="11"/>
    </row>
    <row r="31" spans="1:26" ht="15.75" customHeight="1" x14ac:dyDescent="0.25">
      <c r="A31" s="9"/>
      <c r="B31" s="11"/>
      <c r="C31" s="11"/>
      <c r="D31" s="11"/>
      <c r="E31" s="11"/>
      <c r="F31" s="11"/>
      <c r="G31" s="9"/>
      <c r="H31" s="9"/>
      <c r="I31" s="9"/>
      <c r="J31" s="9"/>
      <c r="K31" s="9"/>
      <c r="L31" s="9"/>
      <c r="M31" s="9"/>
      <c r="N31" s="9"/>
      <c r="O31" s="9"/>
      <c r="P31" s="9"/>
      <c r="Q31" s="9"/>
      <c r="R31" s="9"/>
      <c r="S31" s="11"/>
      <c r="T31" s="11"/>
      <c r="U31" s="11"/>
      <c r="V31" s="11"/>
      <c r="W31" s="11"/>
      <c r="X31" s="11"/>
      <c r="Y31" s="11"/>
      <c r="Z31" s="11"/>
    </row>
    <row r="32" spans="1:26" ht="15.75" customHeight="1" x14ac:dyDescent="0.25">
      <c r="A32" s="9"/>
      <c r="B32" s="11"/>
      <c r="C32" s="11"/>
      <c r="D32" s="11"/>
      <c r="E32" s="11"/>
      <c r="F32" s="11"/>
      <c r="G32" s="9"/>
      <c r="H32" s="9"/>
      <c r="I32" s="9"/>
      <c r="J32" s="9"/>
      <c r="K32" s="9"/>
      <c r="L32" s="9"/>
      <c r="M32" s="9"/>
      <c r="N32" s="9"/>
      <c r="O32" s="9"/>
      <c r="P32" s="9"/>
      <c r="Q32" s="9"/>
      <c r="R32" s="9"/>
      <c r="S32" s="11"/>
      <c r="T32" s="11"/>
      <c r="U32" s="11"/>
      <c r="V32" s="11"/>
      <c r="W32" s="11"/>
      <c r="X32" s="11"/>
      <c r="Y32" s="11"/>
      <c r="Z32" s="11"/>
    </row>
    <row r="33" spans="1:26" ht="15.75" customHeight="1" x14ac:dyDescent="0.25">
      <c r="A33" s="9"/>
      <c r="B33" s="11"/>
      <c r="C33" s="11"/>
      <c r="D33" s="11"/>
      <c r="E33" s="11"/>
      <c r="F33" s="11"/>
      <c r="G33" s="11"/>
      <c r="H33" s="11"/>
      <c r="I33" s="9"/>
      <c r="J33" s="9"/>
      <c r="K33" s="9"/>
      <c r="L33" s="9"/>
      <c r="M33" s="9"/>
      <c r="N33" s="9"/>
      <c r="O33" s="9"/>
      <c r="P33" s="9"/>
      <c r="Q33" s="9"/>
      <c r="R33" s="9"/>
      <c r="S33" s="11"/>
      <c r="T33" s="11"/>
      <c r="U33" s="11"/>
      <c r="V33" s="11"/>
      <c r="W33" s="11"/>
      <c r="X33" s="11"/>
      <c r="Y33" s="11"/>
      <c r="Z33" s="11"/>
    </row>
    <row r="34" spans="1:26" ht="15.75" customHeight="1" x14ac:dyDescent="0.25">
      <c r="A34" s="9"/>
      <c r="B34" s="11"/>
      <c r="C34" s="11"/>
      <c r="D34" s="11"/>
      <c r="E34" s="11"/>
      <c r="F34" s="11"/>
      <c r="G34" s="11"/>
      <c r="H34" s="11"/>
      <c r="I34" s="9"/>
      <c r="J34" s="9"/>
      <c r="K34" s="9"/>
      <c r="L34" s="9"/>
      <c r="M34" s="9"/>
      <c r="N34" s="9"/>
      <c r="O34" s="9"/>
      <c r="P34" s="9"/>
      <c r="Q34" s="9"/>
      <c r="R34" s="9"/>
      <c r="S34" s="11"/>
      <c r="T34" s="11"/>
      <c r="U34" s="11"/>
      <c r="V34" s="11"/>
      <c r="W34" s="11"/>
      <c r="X34" s="11"/>
      <c r="Y34" s="11"/>
      <c r="Z34" s="11"/>
    </row>
    <row r="35" spans="1:26" ht="15.75" customHeight="1" x14ac:dyDescent="0.25">
      <c r="A35" s="9"/>
      <c r="B35" s="11"/>
      <c r="C35" s="11"/>
      <c r="D35" s="11"/>
      <c r="E35" s="11"/>
      <c r="F35" s="11"/>
      <c r="G35" s="11"/>
      <c r="H35" s="11"/>
      <c r="I35" s="9"/>
      <c r="J35" s="9"/>
      <c r="K35" s="9"/>
      <c r="L35" s="9"/>
      <c r="M35" s="9"/>
      <c r="N35" s="9"/>
      <c r="O35" s="9"/>
      <c r="P35" s="9"/>
      <c r="Q35" s="9"/>
      <c r="R35" s="9"/>
      <c r="S35" s="11"/>
      <c r="T35" s="11"/>
      <c r="U35" s="11"/>
      <c r="V35" s="11"/>
      <c r="W35" s="11"/>
      <c r="X35" s="11"/>
      <c r="Y35" s="11"/>
      <c r="Z35" s="11"/>
    </row>
    <row r="36" spans="1:26" ht="15.75" customHeight="1" x14ac:dyDescent="0.25">
      <c r="A36" s="9"/>
      <c r="B36" s="11"/>
      <c r="C36" s="11"/>
      <c r="D36" s="11"/>
      <c r="E36" s="11"/>
      <c r="F36" s="11"/>
      <c r="G36" s="9"/>
      <c r="H36" s="9"/>
      <c r="I36" s="9"/>
      <c r="J36" s="9"/>
      <c r="K36" s="9"/>
      <c r="L36" s="9"/>
      <c r="M36" s="9"/>
      <c r="N36" s="9"/>
      <c r="O36" s="9"/>
      <c r="P36" s="9"/>
      <c r="Q36" s="9"/>
      <c r="R36" s="9"/>
      <c r="S36" s="11"/>
      <c r="T36" s="11"/>
      <c r="U36" s="11"/>
      <c r="V36" s="11"/>
      <c r="W36" s="11"/>
      <c r="X36" s="11"/>
      <c r="Y36" s="11"/>
      <c r="Z36" s="11"/>
    </row>
    <row r="37" spans="1:26" ht="15.75" customHeight="1" x14ac:dyDescent="0.25">
      <c r="A37" s="9"/>
      <c r="B37" s="9"/>
      <c r="C37" s="9"/>
      <c r="D37" s="9"/>
      <c r="E37" s="9"/>
      <c r="F37" s="9"/>
      <c r="G37" s="9"/>
      <c r="H37" s="9"/>
      <c r="I37" s="9"/>
      <c r="J37" s="9"/>
      <c r="K37" s="9"/>
      <c r="L37" s="9"/>
      <c r="M37" s="9"/>
      <c r="N37" s="9"/>
      <c r="O37" s="9"/>
      <c r="P37" s="9"/>
      <c r="Q37" s="9"/>
      <c r="R37" s="9"/>
      <c r="S37" s="11"/>
      <c r="T37" s="11"/>
      <c r="U37" s="11"/>
      <c r="V37" s="11"/>
      <c r="W37" s="11"/>
      <c r="X37" s="11"/>
      <c r="Y37" s="11"/>
      <c r="Z37" s="11"/>
    </row>
    <row r="38" spans="1:26" ht="15.75" customHeight="1" x14ac:dyDescent="0.25">
      <c r="A38" s="9"/>
      <c r="B38" s="9"/>
      <c r="C38" s="9"/>
      <c r="D38" s="9"/>
      <c r="E38" s="9"/>
      <c r="F38" s="9"/>
      <c r="G38" s="9"/>
      <c r="H38" s="9"/>
      <c r="I38" s="9"/>
      <c r="J38" s="9"/>
      <c r="K38" s="9"/>
      <c r="L38" s="9"/>
      <c r="M38" s="9"/>
      <c r="N38" s="9"/>
      <c r="O38" s="9"/>
      <c r="P38" s="9"/>
      <c r="Q38" s="9"/>
      <c r="R38" s="9"/>
      <c r="S38" s="11"/>
      <c r="T38" s="11"/>
      <c r="U38" s="11"/>
      <c r="V38" s="11"/>
      <c r="W38" s="11"/>
      <c r="X38" s="11"/>
      <c r="Y38" s="11"/>
      <c r="Z38" s="11"/>
    </row>
    <row r="39" spans="1:26" ht="15.75" customHeight="1" x14ac:dyDescent="0.25">
      <c r="A39" s="9"/>
      <c r="B39" s="9"/>
      <c r="C39" s="9"/>
      <c r="D39" s="9"/>
      <c r="E39" s="9"/>
      <c r="F39" s="9"/>
      <c r="G39" s="9"/>
      <c r="H39" s="9"/>
      <c r="I39" s="9"/>
      <c r="J39" s="9"/>
      <c r="K39" s="9"/>
      <c r="L39" s="9"/>
      <c r="M39" s="9"/>
      <c r="N39" s="9"/>
      <c r="O39" s="9"/>
      <c r="P39" s="9"/>
      <c r="Q39" s="9"/>
      <c r="R39" s="9"/>
      <c r="S39" s="11"/>
      <c r="T39" s="11"/>
      <c r="U39" s="11"/>
      <c r="V39" s="11"/>
      <c r="W39" s="11"/>
      <c r="X39" s="11"/>
      <c r="Y39" s="11"/>
      <c r="Z39" s="11"/>
    </row>
    <row r="40" spans="1:26" ht="15.75" customHeight="1" x14ac:dyDescent="0.25">
      <c r="A40" s="9"/>
      <c r="B40" s="9"/>
      <c r="C40" s="9"/>
      <c r="D40" s="9"/>
      <c r="E40" s="9"/>
      <c r="F40" s="9"/>
      <c r="G40" s="9"/>
      <c r="H40" s="9"/>
      <c r="I40" s="9"/>
      <c r="J40" s="9"/>
      <c r="K40" s="9"/>
      <c r="L40" s="9"/>
      <c r="M40" s="9"/>
      <c r="N40" s="9"/>
      <c r="O40" s="9"/>
      <c r="P40" s="9"/>
      <c r="Q40" s="9"/>
      <c r="R40" s="9"/>
      <c r="S40" s="11"/>
      <c r="T40" s="11"/>
      <c r="U40" s="11"/>
      <c r="V40" s="11"/>
      <c r="W40" s="11"/>
      <c r="X40" s="11"/>
      <c r="Y40" s="11"/>
      <c r="Z40" s="11"/>
    </row>
    <row r="41" spans="1:26" ht="15.75" customHeight="1" x14ac:dyDescent="0.25">
      <c r="A41" s="9"/>
      <c r="B41" s="9"/>
      <c r="C41" s="9"/>
      <c r="D41" s="9"/>
      <c r="E41" s="9"/>
      <c r="F41" s="9"/>
      <c r="G41" s="9"/>
      <c r="H41" s="9"/>
      <c r="I41" s="9"/>
      <c r="J41" s="9"/>
      <c r="K41" s="9"/>
      <c r="L41" s="9"/>
      <c r="M41" s="9"/>
      <c r="N41" s="9"/>
      <c r="O41" s="9"/>
      <c r="P41" s="9"/>
      <c r="Q41" s="9"/>
      <c r="R41" s="9"/>
      <c r="S41" s="11"/>
      <c r="T41" s="11"/>
      <c r="U41" s="11"/>
      <c r="V41" s="11"/>
      <c r="W41" s="11"/>
      <c r="X41" s="11"/>
      <c r="Y41" s="11"/>
      <c r="Z41" s="11"/>
    </row>
    <row r="42" spans="1:26" ht="15.75" customHeight="1" x14ac:dyDescent="0.25">
      <c r="A42" s="9"/>
      <c r="B42" s="9"/>
      <c r="C42" s="9"/>
      <c r="D42" s="9"/>
      <c r="E42" s="9"/>
      <c r="F42" s="9"/>
      <c r="G42" s="9"/>
      <c r="H42" s="9"/>
      <c r="I42" s="9"/>
      <c r="J42" s="9"/>
      <c r="K42" s="9"/>
      <c r="L42" s="9"/>
      <c r="M42" s="9"/>
      <c r="N42" s="9"/>
      <c r="O42" s="9"/>
      <c r="P42" s="9"/>
      <c r="Q42" s="9"/>
      <c r="R42" s="9"/>
      <c r="S42" s="11"/>
      <c r="T42" s="11"/>
      <c r="U42" s="11"/>
      <c r="V42" s="11"/>
      <c r="W42" s="11"/>
      <c r="X42" s="11"/>
      <c r="Y42" s="11"/>
      <c r="Z42" s="11"/>
    </row>
    <row r="43" spans="1:26" ht="15.75" customHeight="1" x14ac:dyDescent="0.25">
      <c r="A43" s="9"/>
      <c r="B43" s="9"/>
      <c r="C43" s="9"/>
      <c r="D43" s="9"/>
      <c r="E43" s="9"/>
      <c r="F43" s="9"/>
      <c r="G43" s="9"/>
      <c r="H43" s="9"/>
      <c r="I43" s="9"/>
      <c r="J43" s="9"/>
      <c r="K43" s="9"/>
      <c r="L43" s="9"/>
      <c r="M43" s="9"/>
      <c r="N43" s="9"/>
      <c r="O43" s="9"/>
      <c r="P43" s="9"/>
      <c r="Q43" s="9"/>
      <c r="R43" s="9"/>
      <c r="S43" s="11"/>
      <c r="T43" s="11"/>
      <c r="U43" s="11"/>
      <c r="V43" s="11"/>
      <c r="W43" s="11"/>
      <c r="X43" s="11"/>
      <c r="Y43" s="11"/>
      <c r="Z43" s="11"/>
    </row>
    <row r="44" spans="1:26" ht="15.75" customHeight="1" x14ac:dyDescent="0.25">
      <c r="A44" s="9"/>
      <c r="B44" s="9"/>
      <c r="C44" s="9"/>
      <c r="D44" s="9"/>
      <c r="E44" s="9"/>
      <c r="F44" s="9"/>
      <c r="G44" s="9"/>
      <c r="H44" s="9"/>
      <c r="I44" s="9"/>
      <c r="J44" s="9"/>
      <c r="K44" s="9"/>
      <c r="L44" s="9"/>
      <c r="M44" s="9"/>
      <c r="N44" s="9"/>
      <c r="O44" s="9"/>
      <c r="P44" s="9"/>
      <c r="Q44" s="9"/>
      <c r="R44" s="9"/>
      <c r="S44" s="11"/>
      <c r="T44" s="11"/>
      <c r="U44" s="11"/>
      <c r="V44" s="11"/>
      <c r="W44" s="11"/>
      <c r="X44" s="11"/>
      <c r="Y44" s="11"/>
      <c r="Z44" s="11"/>
    </row>
    <row r="45" spans="1:26" ht="15.75" customHeight="1" x14ac:dyDescent="0.25">
      <c r="A45" s="9"/>
      <c r="B45" s="9"/>
      <c r="C45" s="9"/>
      <c r="D45" s="9"/>
      <c r="E45" s="9"/>
      <c r="F45" s="9"/>
      <c r="G45" s="9"/>
      <c r="H45" s="9"/>
      <c r="I45" s="9"/>
      <c r="J45" s="9"/>
      <c r="K45" s="9"/>
      <c r="L45" s="9"/>
      <c r="M45" s="9"/>
      <c r="N45" s="9"/>
      <c r="O45" s="9"/>
      <c r="P45" s="9"/>
      <c r="Q45" s="9"/>
      <c r="R45" s="9"/>
      <c r="S45" s="11"/>
      <c r="T45" s="11"/>
      <c r="U45" s="11"/>
      <c r="V45" s="11"/>
      <c r="W45" s="11"/>
      <c r="X45" s="11"/>
      <c r="Y45" s="11"/>
      <c r="Z45" s="11"/>
    </row>
    <row r="46" spans="1:26" ht="15.75" customHeight="1" x14ac:dyDescent="0.25">
      <c r="A46" s="9"/>
      <c r="B46" s="9"/>
      <c r="C46" s="9"/>
      <c r="D46" s="9"/>
      <c r="E46" s="9"/>
      <c r="F46" s="9"/>
      <c r="G46" s="9"/>
      <c r="H46" s="9"/>
      <c r="I46" s="9"/>
      <c r="J46" s="9"/>
      <c r="K46" s="9"/>
      <c r="L46" s="9"/>
      <c r="M46" s="9"/>
      <c r="N46" s="9"/>
      <c r="O46" s="9"/>
      <c r="P46" s="9"/>
      <c r="Q46" s="9"/>
      <c r="R46" s="9"/>
      <c r="S46" s="11"/>
      <c r="T46" s="11"/>
      <c r="U46" s="11"/>
      <c r="V46" s="11"/>
      <c r="W46" s="11"/>
      <c r="X46" s="11"/>
      <c r="Y46" s="11"/>
      <c r="Z46" s="11"/>
    </row>
    <row r="47" spans="1:26" ht="15.75" customHeight="1" x14ac:dyDescent="0.25">
      <c r="A47" s="9"/>
      <c r="B47" s="9"/>
      <c r="C47" s="9"/>
      <c r="D47" s="9"/>
      <c r="E47" s="9"/>
      <c r="F47" s="9"/>
      <c r="G47" s="9"/>
      <c r="H47" s="9"/>
      <c r="I47" s="9"/>
      <c r="J47" s="9"/>
      <c r="K47" s="9"/>
      <c r="L47" s="9"/>
      <c r="M47" s="9"/>
      <c r="N47" s="9"/>
      <c r="O47" s="9"/>
      <c r="P47" s="9"/>
      <c r="Q47" s="9"/>
      <c r="R47" s="9"/>
      <c r="S47" s="11"/>
      <c r="T47" s="11"/>
      <c r="U47" s="11"/>
      <c r="V47" s="11"/>
      <c r="W47" s="11"/>
      <c r="X47" s="11"/>
      <c r="Y47" s="11"/>
      <c r="Z47" s="11"/>
    </row>
    <row r="48" spans="1:26" ht="15.75" customHeight="1" x14ac:dyDescent="0.25">
      <c r="A48" s="9"/>
      <c r="B48" s="9"/>
      <c r="C48" s="9"/>
      <c r="D48" s="9"/>
      <c r="E48" s="9"/>
      <c r="F48" s="9"/>
      <c r="G48" s="9"/>
      <c r="H48" s="9"/>
      <c r="I48" s="9"/>
      <c r="J48" s="9"/>
      <c r="K48" s="9"/>
      <c r="L48" s="9"/>
      <c r="M48" s="9"/>
      <c r="N48" s="9"/>
      <c r="O48" s="9"/>
      <c r="P48" s="9"/>
      <c r="Q48" s="9"/>
      <c r="R48" s="9"/>
      <c r="S48" s="11"/>
      <c r="T48" s="11"/>
      <c r="U48" s="11"/>
      <c r="V48" s="11"/>
      <c r="W48" s="11"/>
      <c r="X48" s="11"/>
      <c r="Y48" s="11"/>
      <c r="Z48" s="11"/>
    </row>
    <row r="49" spans="1:26" ht="15.75" customHeight="1" x14ac:dyDescent="0.25">
      <c r="A49" s="9"/>
      <c r="B49" s="9"/>
      <c r="C49" s="9"/>
      <c r="D49" s="9"/>
      <c r="E49" s="9"/>
      <c r="F49" s="9"/>
      <c r="G49" s="9"/>
      <c r="H49" s="9"/>
      <c r="I49" s="9"/>
      <c r="J49" s="9"/>
      <c r="K49" s="9"/>
      <c r="L49" s="9"/>
      <c r="M49" s="9"/>
      <c r="N49" s="9"/>
      <c r="O49" s="9"/>
      <c r="P49" s="9"/>
      <c r="Q49" s="9"/>
      <c r="R49" s="9"/>
      <c r="S49" s="11"/>
      <c r="T49" s="11"/>
      <c r="U49" s="11"/>
      <c r="V49" s="11"/>
      <c r="W49" s="11"/>
      <c r="X49" s="11"/>
      <c r="Y49" s="11"/>
      <c r="Z49" s="11"/>
    </row>
    <row r="50" spans="1:26" ht="15.75" customHeight="1" x14ac:dyDescent="0.25">
      <c r="A50" s="9"/>
      <c r="B50" s="9"/>
      <c r="C50" s="9"/>
      <c r="D50" s="9"/>
      <c r="E50" s="9"/>
      <c r="F50" s="9"/>
      <c r="G50" s="9"/>
      <c r="H50" s="9"/>
      <c r="I50" s="9"/>
      <c r="J50" s="9"/>
      <c r="K50" s="9"/>
      <c r="L50" s="9"/>
      <c r="M50" s="9"/>
      <c r="N50" s="9"/>
      <c r="O50" s="9"/>
      <c r="P50" s="9"/>
      <c r="Q50" s="9"/>
      <c r="R50" s="9"/>
      <c r="S50" s="11"/>
      <c r="T50" s="11"/>
      <c r="U50" s="11"/>
      <c r="V50" s="11"/>
      <c r="W50" s="11"/>
      <c r="X50" s="11"/>
      <c r="Y50" s="11"/>
      <c r="Z50" s="11"/>
    </row>
    <row r="51" spans="1:26" ht="15.75" customHeight="1" x14ac:dyDescent="0.25">
      <c r="A51" s="9"/>
      <c r="B51" s="9"/>
      <c r="C51" s="9"/>
      <c r="D51" s="9"/>
      <c r="E51" s="9"/>
      <c r="F51" s="9"/>
      <c r="G51" s="9"/>
      <c r="H51" s="9"/>
      <c r="I51" s="9"/>
      <c r="J51" s="9"/>
      <c r="K51" s="9"/>
      <c r="L51" s="9"/>
      <c r="M51" s="9"/>
      <c r="N51" s="9"/>
      <c r="O51" s="9"/>
      <c r="P51" s="9"/>
      <c r="Q51" s="9"/>
      <c r="R51" s="9"/>
      <c r="S51" s="11"/>
      <c r="T51" s="11"/>
      <c r="U51" s="11"/>
      <c r="V51" s="11"/>
      <c r="W51" s="11"/>
      <c r="X51" s="11"/>
      <c r="Y51" s="11"/>
      <c r="Z51" s="11"/>
    </row>
    <row r="52" spans="1:26" ht="15" customHeight="1" x14ac:dyDescent="0.25">
      <c r="A52" s="9"/>
      <c r="B52" s="9"/>
      <c r="C52" s="9"/>
      <c r="D52" s="9"/>
      <c r="E52" s="9"/>
      <c r="F52" s="9"/>
      <c r="G52" s="9"/>
      <c r="H52" s="9"/>
      <c r="I52" s="9"/>
      <c r="J52" s="9"/>
      <c r="K52" s="9"/>
      <c r="L52" s="9"/>
      <c r="M52" s="9"/>
      <c r="N52" s="9"/>
      <c r="O52" s="9"/>
      <c r="P52" s="9"/>
      <c r="Q52" s="9"/>
      <c r="R52" s="9"/>
      <c r="S52" s="11"/>
      <c r="T52" s="11"/>
      <c r="U52" s="11"/>
      <c r="V52" s="11"/>
      <c r="W52" s="11"/>
      <c r="X52" s="11"/>
      <c r="Y52" s="11"/>
      <c r="Z52" s="11"/>
    </row>
    <row r="53" spans="1:26" ht="15.75" customHeight="1" x14ac:dyDescent="0.25">
      <c r="A53" s="9"/>
      <c r="B53" s="9"/>
      <c r="C53" s="9"/>
      <c r="D53" s="9"/>
      <c r="E53" s="9"/>
      <c r="F53" s="9"/>
      <c r="G53" s="9"/>
      <c r="H53" s="9"/>
      <c r="I53" s="9"/>
      <c r="J53" s="9"/>
      <c r="K53" s="9"/>
      <c r="L53" s="9"/>
      <c r="M53" s="9"/>
      <c r="N53" s="9"/>
      <c r="O53" s="9"/>
      <c r="P53" s="9"/>
      <c r="Q53" s="9"/>
      <c r="R53" s="9"/>
      <c r="S53" s="11"/>
      <c r="T53" s="11"/>
      <c r="U53" s="11"/>
      <c r="V53" s="11"/>
      <c r="W53" s="11"/>
      <c r="X53" s="11"/>
      <c r="Y53" s="11"/>
      <c r="Z53" s="11"/>
    </row>
    <row r="54" spans="1:26" ht="15.75" customHeight="1" x14ac:dyDescent="0.25">
      <c r="A54" s="9"/>
      <c r="B54" s="9"/>
      <c r="C54" s="9"/>
      <c r="D54" s="9"/>
      <c r="E54" s="9"/>
      <c r="F54" s="9"/>
      <c r="G54" s="9"/>
      <c r="H54" s="9"/>
      <c r="I54" s="9"/>
      <c r="J54" s="9"/>
      <c r="K54" s="9"/>
      <c r="L54" s="9"/>
      <c r="M54" s="9"/>
      <c r="N54" s="9"/>
      <c r="O54" s="9"/>
      <c r="P54" s="9"/>
      <c r="Q54" s="9"/>
      <c r="R54" s="9"/>
      <c r="S54" s="11"/>
      <c r="T54" s="11"/>
      <c r="U54" s="11"/>
      <c r="V54" s="11"/>
      <c r="W54" s="11"/>
      <c r="X54" s="11"/>
      <c r="Y54" s="11"/>
      <c r="Z54" s="11"/>
    </row>
    <row r="55" spans="1:26" ht="15.75" customHeight="1" x14ac:dyDescent="0.25">
      <c r="A55" s="9"/>
      <c r="B55" s="9"/>
      <c r="C55" s="9"/>
      <c r="D55" s="9"/>
      <c r="E55" s="9"/>
      <c r="F55" s="9"/>
      <c r="G55" s="9"/>
      <c r="H55" s="9"/>
      <c r="I55" s="9"/>
      <c r="J55" s="9"/>
      <c r="K55" s="9"/>
      <c r="L55" s="9"/>
      <c r="M55" s="9"/>
      <c r="N55" s="9"/>
      <c r="O55" s="9"/>
      <c r="P55" s="9"/>
      <c r="Q55" s="9"/>
      <c r="R55" s="9"/>
      <c r="S55" s="11"/>
      <c r="T55" s="11"/>
      <c r="U55" s="11"/>
      <c r="V55" s="11"/>
      <c r="W55" s="11"/>
      <c r="X55" s="11"/>
      <c r="Y55" s="11"/>
      <c r="Z55" s="11"/>
    </row>
    <row r="56" spans="1:26" ht="15.75" customHeight="1" x14ac:dyDescent="0.25">
      <c r="A56" s="9"/>
      <c r="B56" s="9"/>
      <c r="C56" s="9"/>
      <c r="D56" s="9"/>
      <c r="E56" s="9"/>
      <c r="F56" s="9"/>
      <c r="G56" s="9"/>
      <c r="H56" s="9"/>
      <c r="I56" s="9"/>
      <c r="J56" s="9"/>
      <c r="K56" s="9"/>
      <c r="L56" s="9"/>
      <c r="M56" s="9"/>
      <c r="N56" s="9"/>
      <c r="O56" s="9"/>
      <c r="P56" s="9"/>
      <c r="Q56" s="9"/>
      <c r="R56" s="9"/>
      <c r="S56" s="11"/>
      <c r="T56" s="11"/>
      <c r="U56" s="11"/>
      <c r="V56" s="11"/>
      <c r="W56" s="11"/>
      <c r="X56" s="11"/>
      <c r="Y56" s="11"/>
      <c r="Z56" s="11"/>
    </row>
    <row r="57" spans="1:26" ht="15.75" customHeight="1" x14ac:dyDescent="0.25">
      <c r="A57" s="9"/>
      <c r="B57" s="9"/>
      <c r="C57" s="9"/>
      <c r="D57" s="9"/>
      <c r="E57" s="9"/>
      <c r="F57" s="9"/>
      <c r="G57" s="9"/>
      <c r="H57" s="9"/>
      <c r="I57" s="9"/>
      <c r="J57" s="9"/>
      <c r="K57" s="9"/>
      <c r="L57" s="9"/>
      <c r="M57" s="9"/>
      <c r="N57" s="9"/>
      <c r="O57" s="9"/>
      <c r="P57" s="9"/>
      <c r="Q57" s="9"/>
      <c r="R57" s="9"/>
      <c r="S57" s="11"/>
      <c r="T57" s="11"/>
      <c r="U57" s="11"/>
      <c r="V57" s="11"/>
      <c r="W57" s="11"/>
      <c r="X57" s="11"/>
      <c r="Y57" s="11"/>
      <c r="Z57" s="11"/>
    </row>
    <row r="58" spans="1:26" ht="15.75" customHeight="1" x14ac:dyDescent="0.25">
      <c r="A58" s="9"/>
      <c r="B58" s="9"/>
      <c r="C58" s="9"/>
      <c r="D58" s="9"/>
      <c r="E58" s="9"/>
      <c r="F58" s="9"/>
      <c r="G58" s="9"/>
      <c r="H58" s="9"/>
      <c r="I58" s="9"/>
      <c r="J58" s="9"/>
      <c r="K58" s="9"/>
      <c r="L58" s="9"/>
      <c r="M58" s="9"/>
      <c r="N58" s="9"/>
      <c r="O58" s="9"/>
      <c r="P58" s="9"/>
      <c r="Q58" s="9"/>
      <c r="R58" s="9"/>
      <c r="S58" s="11"/>
      <c r="T58" s="11"/>
      <c r="U58" s="11"/>
      <c r="V58" s="11"/>
      <c r="W58" s="11"/>
      <c r="X58" s="11"/>
      <c r="Y58" s="11"/>
      <c r="Z58" s="11"/>
    </row>
    <row r="59" spans="1:26" ht="15.75" customHeight="1" x14ac:dyDescent="0.25">
      <c r="A59" s="9"/>
      <c r="B59" s="9"/>
      <c r="C59" s="9"/>
      <c r="D59" s="9"/>
      <c r="E59" s="9"/>
      <c r="F59" s="9"/>
      <c r="G59" s="9"/>
      <c r="H59" s="9"/>
      <c r="I59" s="9"/>
      <c r="J59" s="9"/>
      <c r="K59" s="9"/>
      <c r="L59" s="9"/>
      <c r="M59" s="9"/>
      <c r="N59" s="9"/>
      <c r="O59" s="9"/>
      <c r="P59" s="9"/>
      <c r="Q59" s="9"/>
      <c r="R59" s="9"/>
      <c r="S59" s="11"/>
      <c r="T59" s="11"/>
      <c r="U59" s="11"/>
      <c r="V59" s="11"/>
      <c r="W59" s="11"/>
      <c r="X59" s="11"/>
      <c r="Y59" s="11"/>
      <c r="Z59" s="11"/>
    </row>
    <row r="60" spans="1:26" ht="15.75" customHeight="1" x14ac:dyDescent="0.25">
      <c r="A60" s="9"/>
      <c r="B60" s="9"/>
      <c r="C60" s="9"/>
      <c r="D60" s="9"/>
      <c r="E60" s="9"/>
      <c r="F60" s="9"/>
      <c r="G60" s="9"/>
      <c r="H60" s="9"/>
      <c r="I60" s="9"/>
      <c r="J60" s="9"/>
      <c r="K60" s="9"/>
      <c r="L60" s="9"/>
      <c r="M60" s="9"/>
      <c r="N60" s="9"/>
      <c r="O60" s="9"/>
      <c r="P60" s="9"/>
      <c r="Q60" s="9"/>
      <c r="R60" s="9"/>
      <c r="S60" s="11"/>
      <c r="T60" s="11"/>
      <c r="U60" s="11"/>
      <c r="V60" s="11"/>
      <c r="W60" s="11"/>
      <c r="X60" s="11"/>
      <c r="Y60" s="11"/>
      <c r="Z60" s="11"/>
    </row>
    <row r="61" spans="1:26" ht="15.75" customHeight="1" x14ac:dyDescent="0.25">
      <c r="A61" s="9"/>
      <c r="B61" s="9"/>
      <c r="C61" s="9"/>
      <c r="D61" s="9"/>
      <c r="E61" s="9"/>
      <c r="F61" s="9"/>
      <c r="G61" s="9"/>
      <c r="H61" s="9"/>
      <c r="I61" s="9"/>
      <c r="J61" s="9"/>
      <c r="K61" s="9"/>
      <c r="L61" s="9"/>
      <c r="M61" s="9"/>
      <c r="N61" s="9"/>
      <c r="O61" s="9"/>
      <c r="P61" s="9"/>
      <c r="Q61" s="9"/>
      <c r="R61" s="9"/>
      <c r="S61" s="11"/>
      <c r="T61" s="11"/>
      <c r="U61" s="11"/>
      <c r="V61" s="11"/>
      <c r="W61" s="11"/>
      <c r="X61" s="11"/>
      <c r="Y61" s="11"/>
      <c r="Z61" s="11"/>
    </row>
    <row r="62" spans="1:26" ht="15.75" customHeight="1" x14ac:dyDescent="0.25">
      <c r="A62" s="9"/>
      <c r="B62" s="9"/>
      <c r="C62" s="9"/>
      <c r="D62" s="9"/>
      <c r="E62" s="9"/>
      <c r="F62" s="9"/>
      <c r="G62" s="9"/>
      <c r="H62" s="9"/>
      <c r="I62" s="9"/>
      <c r="J62" s="9"/>
      <c r="K62" s="9"/>
      <c r="L62" s="9"/>
      <c r="M62" s="9"/>
      <c r="N62" s="9"/>
      <c r="O62" s="9"/>
      <c r="P62" s="9"/>
      <c r="Q62" s="9"/>
      <c r="R62" s="9"/>
      <c r="S62" s="11"/>
      <c r="T62" s="11"/>
      <c r="U62" s="11"/>
      <c r="V62" s="11"/>
      <c r="W62" s="11"/>
      <c r="X62" s="11"/>
      <c r="Y62" s="11"/>
      <c r="Z62" s="11"/>
    </row>
    <row r="63" spans="1:26" ht="15.75" customHeight="1" x14ac:dyDescent="0.25">
      <c r="A63" s="9"/>
      <c r="B63" s="9"/>
      <c r="C63" s="9"/>
      <c r="D63" s="9"/>
      <c r="E63" s="9"/>
      <c r="F63" s="9"/>
      <c r="G63" s="9"/>
      <c r="H63" s="9"/>
      <c r="I63" s="9"/>
      <c r="J63" s="9"/>
      <c r="K63" s="9"/>
      <c r="L63" s="9"/>
      <c r="M63" s="9"/>
      <c r="N63" s="9"/>
      <c r="O63" s="9"/>
      <c r="P63" s="9"/>
      <c r="Q63" s="9"/>
      <c r="R63" s="9"/>
      <c r="S63" s="11"/>
      <c r="T63" s="11"/>
      <c r="U63" s="11"/>
      <c r="V63" s="11"/>
      <c r="W63" s="11"/>
      <c r="X63" s="11"/>
      <c r="Y63" s="11"/>
      <c r="Z63" s="11"/>
    </row>
    <row r="64" spans="1:26" ht="15.75" customHeight="1" x14ac:dyDescent="0.25">
      <c r="A64" s="9"/>
      <c r="B64" s="9"/>
      <c r="C64" s="9"/>
      <c r="D64" s="9"/>
      <c r="E64" s="9"/>
      <c r="F64" s="9"/>
      <c r="G64" s="9"/>
      <c r="H64" s="9"/>
      <c r="I64" s="9"/>
      <c r="J64" s="9"/>
      <c r="K64" s="9"/>
      <c r="L64" s="9"/>
      <c r="M64" s="9"/>
      <c r="N64" s="9"/>
      <c r="O64" s="9"/>
      <c r="P64" s="9"/>
      <c r="Q64" s="9"/>
      <c r="R64" s="9"/>
      <c r="S64" s="11"/>
      <c r="T64" s="11"/>
      <c r="U64" s="11"/>
      <c r="V64" s="11"/>
      <c r="W64" s="11"/>
      <c r="X64" s="11"/>
      <c r="Y64" s="11"/>
      <c r="Z64" s="11"/>
    </row>
    <row r="65" spans="1:26" ht="15.75" customHeight="1" x14ac:dyDescent="0.25">
      <c r="A65" s="9"/>
      <c r="B65" s="9"/>
      <c r="C65" s="9"/>
      <c r="D65" s="9"/>
      <c r="E65" s="9"/>
      <c r="F65" s="9"/>
      <c r="G65" s="9"/>
      <c r="H65" s="9"/>
      <c r="I65" s="9"/>
      <c r="J65" s="9"/>
      <c r="K65" s="9"/>
      <c r="L65" s="9"/>
      <c r="M65" s="9"/>
      <c r="N65" s="9"/>
      <c r="O65" s="9"/>
      <c r="P65" s="9"/>
      <c r="Q65" s="9"/>
      <c r="R65" s="9"/>
      <c r="S65" s="11"/>
      <c r="T65" s="11"/>
      <c r="U65" s="11"/>
      <c r="V65" s="11"/>
      <c r="W65" s="11"/>
      <c r="X65" s="11"/>
      <c r="Y65" s="11"/>
      <c r="Z65" s="11"/>
    </row>
    <row r="66" spans="1:26" ht="15.75" customHeight="1" x14ac:dyDescent="0.25">
      <c r="A66" s="9"/>
      <c r="B66" s="9"/>
      <c r="C66" s="9"/>
      <c r="D66" s="9"/>
      <c r="E66" s="9"/>
      <c r="F66" s="9"/>
      <c r="G66" s="9"/>
      <c r="H66" s="9"/>
      <c r="I66" s="9"/>
      <c r="J66" s="9"/>
      <c r="K66" s="9"/>
      <c r="L66" s="9"/>
      <c r="M66" s="9"/>
      <c r="N66" s="9"/>
      <c r="O66" s="9"/>
      <c r="P66" s="9"/>
      <c r="Q66" s="9"/>
      <c r="R66" s="9"/>
      <c r="S66" s="11"/>
      <c r="T66" s="11"/>
      <c r="U66" s="11"/>
      <c r="V66" s="11"/>
      <c r="W66" s="11"/>
      <c r="X66" s="11"/>
      <c r="Y66" s="11"/>
      <c r="Z66" s="11"/>
    </row>
    <row r="67" spans="1:26" ht="15" customHeight="1" x14ac:dyDescent="0.25">
      <c r="A67" s="9"/>
      <c r="B67" s="9"/>
      <c r="C67" s="9"/>
      <c r="D67" s="9"/>
      <c r="E67" s="9"/>
      <c r="F67" s="9"/>
      <c r="G67" s="9"/>
      <c r="H67" s="9"/>
      <c r="I67" s="9"/>
      <c r="J67" s="9"/>
      <c r="K67" s="9"/>
      <c r="L67" s="9"/>
      <c r="M67" s="9"/>
      <c r="N67" s="9"/>
      <c r="O67" s="9"/>
      <c r="P67" s="9"/>
      <c r="Q67" s="9"/>
      <c r="R67" s="9"/>
      <c r="S67" s="11"/>
      <c r="T67" s="11"/>
      <c r="U67" s="11"/>
      <c r="V67" s="11"/>
      <c r="W67" s="11"/>
      <c r="X67" s="11"/>
      <c r="Y67" s="11"/>
      <c r="Z67" s="11"/>
    </row>
    <row r="68" spans="1:26" ht="15" customHeight="1" x14ac:dyDescent="0.25">
      <c r="A68" s="9"/>
      <c r="B68" s="9"/>
      <c r="C68" s="9"/>
      <c r="D68" s="9"/>
      <c r="E68" s="9"/>
      <c r="F68" s="9"/>
      <c r="G68" s="9"/>
      <c r="H68" s="9"/>
      <c r="I68" s="9"/>
      <c r="J68" s="9"/>
      <c r="K68" s="9"/>
      <c r="L68" s="9"/>
      <c r="M68" s="9"/>
      <c r="N68" s="9"/>
      <c r="O68" s="9"/>
      <c r="P68" s="9"/>
      <c r="Q68" s="9"/>
      <c r="R68" s="9"/>
      <c r="S68" s="11"/>
      <c r="T68" s="11"/>
      <c r="U68" s="11"/>
      <c r="V68" s="11"/>
      <c r="W68" s="11"/>
      <c r="X68" s="11"/>
      <c r="Y68" s="11"/>
      <c r="Z68" s="11"/>
    </row>
    <row r="69" spans="1:26" ht="15.75" customHeight="1" x14ac:dyDescent="0.25">
      <c r="A69" s="9"/>
      <c r="B69" s="9"/>
      <c r="C69" s="9"/>
      <c r="D69" s="9"/>
      <c r="E69" s="9"/>
      <c r="F69" s="9"/>
      <c r="G69" s="9"/>
      <c r="H69" s="9"/>
      <c r="I69" s="9"/>
      <c r="J69" s="9"/>
      <c r="K69" s="9"/>
      <c r="L69" s="9"/>
      <c r="M69" s="9"/>
      <c r="N69" s="9"/>
      <c r="O69" s="9"/>
      <c r="P69" s="9"/>
      <c r="Q69" s="9"/>
      <c r="R69" s="9"/>
      <c r="S69" s="11"/>
      <c r="T69" s="11"/>
      <c r="U69" s="11"/>
      <c r="V69" s="11"/>
      <c r="W69" s="11"/>
      <c r="X69" s="11"/>
      <c r="Y69" s="11"/>
      <c r="Z69" s="11"/>
    </row>
    <row r="70" spans="1:26" ht="15.75" customHeight="1" x14ac:dyDescent="0.25">
      <c r="A70" s="9"/>
      <c r="B70" s="9"/>
      <c r="C70" s="9"/>
      <c r="D70" s="9"/>
      <c r="E70" s="9"/>
      <c r="F70" s="9"/>
      <c r="G70" s="9"/>
      <c r="H70" s="9"/>
      <c r="I70" s="9"/>
      <c r="J70" s="9"/>
      <c r="K70" s="9"/>
      <c r="L70" s="9"/>
      <c r="M70" s="9"/>
      <c r="N70" s="9"/>
      <c r="O70" s="9"/>
      <c r="P70" s="9"/>
      <c r="Q70" s="9"/>
      <c r="R70" s="9"/>
      <c r="S70" s="11"/>
      <c r="T70" s="11"/>
      <c r="U70" s="11"/>
      <c r="V70" s="11"/>
      <c r="W70" s="11"/>
      <c r="X70" s="11"/>
      <c r="Y70" s="11"/>
      <c r="Z70" s="11"/>
    </row>
    <row r="71" spans="1:26" ht="15" customHeight="1" x14ac:dyDescent="0.25">
      <c r="A71" s="9"/>
      <c r="B71" s="9"/>
      <c r="C71" s="9"/>
      <c r="D71" s="9"/>
      <c r="E71" s="9"/>
      <c r="F71" s="9"/>
      <c r="G71" s="9"/>
      <c r="H71" s="9"/>
      <c r="I71" s="9"/>
      <c r="J71" s="9"/>
      <c r="K71" s="9"/>
      <c r="L71" s="9"/>
      <c r="M71" s="9"/>
      <c r="N71" s="9"/>
      <c r="O71" s="9"/>
      <c r="P71" s="9"/>
      <c r="Q71" s="9"/>
      <c r="R71" s="9"/>
      <c r="S71" s="11"/>
      <c r="T71" s="11"/>
      <c r="U71" s="11"/>
      <c r="V71" s="11"/>
      <c r="W71" s="11"/>
      <c r="X71" s="11"/>
      <c r="Y71" s="11"/>
      <c r="Z71" s="11"/>
    </row>
    <row r="72" spans="1:26" ht="15" customHeight="1" x14ac:dyDescent="0.25">
      <c r="A72" s="9"/>
      <c r="B72" s="9"/>
      <c r="C72" s="9"/>
      <c r="D72" s="9"/>
      <c r="E72" s="9"/>
      <c r="F72" s="9"/>
      <c r="G72" s="9"/>
      <c r="H72" s="9"/>
      <c r="I72" s="9"/>
      <c r="J72" s="9"/>
      <c r="K72" s="9"/>
      <c r="L72" s="9"/>
      <c r="M72" s="9"/>
      <c r="N72" s="9"/>
      <c r="O72" s="9"/>
      <c r="P72" s="9"/>
      <c r="Q72" s="9"/>
      <c r="R72" s="9"/>
      <c r="S72" s="11"/>
      <c r="T72" s="11"/>
      <c r="U72" s="11"/>
      <c r="V72" s="11"/>
      <c r="W72" s="11"/>
      <c r="X72" s="11"/>
      <c r="Y72" s="11"/>
      <c r="Z72" s="11"/>
    </row>
    <row r="73" spans="1:26" ht="15" customHeight="1" x14ac:dyDescent="0.25">
      <c r="A73" s="9"/>
      <c r="B73" s="9"/>
      <c r="C73" s="9"/>
      <c r="D73" s="9"/>
      <c r="E73" s="9"/>
      <c r="F73" s="9"/>
      <c r="G73" s="9"/>
      <c r="H73" s="9"/>
      <c r="I73" s="9"/>
      <c r="J73" s="9"/>
      <c r="K73" s="9"/>
      <c r="L73" s="9"/>
      <c r="M73" s="9"/>
      <c r="N73" s="9"/>
      <c r="O73" s="9"/>
      <c r="P73" s="9"/>
      <c r="Q73" s="9"/>
      <c r="R73" s="9"/>
      <c r="S73" s="11"/>
      <c r="T73" s="11"/>
      <c r="U73" s="11"/>
      <c r="V73" s="11"/>
      <c r="W73" s="11"/>
      <c r="X73" s="11"/>
      <c r="Y73" s="11"/>
      <c r="Z73" s="11"/>
    </row>
    <row r="74" spans="1:26" ht="15" customHeight="1" x14ac:dyDescent="0.25">
      <c r="A74" s="9"/>
      <c r="B74" s="9"/>
      <c r="C74" s="9"/>
      <c r="D74" s="9"/>
      <c r="E74" s="9"/>
      <c r="F74" s="9"/>
      <c r="G74" s="9"/>
      <c r="H74" s="9"/>
      <c r="I74" s="9"/>
      <c r="J74" s="9"/>
      <c r="K74" s="9"/>
      <c r="L74" s="9"/>
      <c r="M74" s="9"/>
      <c r="N74" s="9"/>
      <c r="O74" s="9"/>
      <c r="P74" s="9"/>
      <c r="Q74" s="9"/>
      <c r="R74" s="9"/>
      <c r="S74" s="11"/>
      <c r="T74" s="11"/>
      <c r="U74" s="11"/>
      <c r="V74" s="11"/>
      <c r="W74" s="11"/>
      <c r="X74" s="11"/>
      <c r="Y74" s="11"/>
      <c r="Z74" s="11"/>
    </row>
    <row r="75" spans="1:26" ht="15" customHeight="1" x14ac:dyDescent="0.25">
      <c r="A75" s="9"/>
      <c r="B75" s="9"/>
      <c r="C75" s="9"/>
      <c r="D75" s="9"/>
      <c r="E75" s="9"/>
      <c r="F75" s="9"/>
      <c r="G75" s="9"/>
      <c r="H75" s="9"/>
      <c r="I75" s="9"/>
      <c r="J75" s="9"/>
      <c r="K75" s="9"/>
      <c r="L75" s="9"/>
      <c r="M75" s="9"/>
      <c r="N75" s="9"/>
      <c r="O75" s="9"/>
      <c r="P75" s="9"/>
      <c r="Q75" s="9"/>
      <c r="R75" s="9"/>
      <c r="S75" s="11"/>
      <c r="T75" s="11"/>
      <c r="U75" s="11"/>
      <c r="V75" s="11"/>
      <c r="W75" s="11"/>
      <c r="X75" s="11"/>
      <c r="Y75" s="11"/>
      <c r="Z75" s="11"/>
    </row>
    <row r="76" spans="1:26" ht="15" customHeight="1" x14ac:dyDescent="0.25">
      <c r="A76" s="9"/>
      <c r="B76" s="9"/>
      <c r="C76" s="9"/>
      <c r="D76" s="9"/>
      <c r="E76" s="9"/>
      <c r="F76" s="9"/>
      <c r="G76" s="9"/>
      <c r="H76" s="9"/>
      <c r="I76" s="9"/>
      <c r="J76" s="9"/>
      <c r="K76" s="9"/>
      <c r="L76" s="9"/>
      <c r="M76" s="9"/>
      <c r="N76" s="9"/>
      <c r="O76" s="9"/>
      <c r="P76" s="9"/>
      <c r="Q76" s="9"/>
      <c r="R76" s="9"/>
      <c r="S76" s="11"/>
      <c r="T76" s="11"/>
      <c r="U76" s="11"/>
      <c r="V76" s="11"/>
      <c r="W76" s="11"/>
      <c r="X76" s="11"/>
      <c r="Y76" s="11"/>
      <c r="Z76" s="11"/>
    </row>
    <row r="77" spans="1:26" ht="15" customHeight="1" x14ac:dyDescent="0.25">
      <c r="A77" s="9"/>
      <c r="B77" s="9"/>
      <c r="C77" s="9"/>
      <c r="D77" s="9"/>
      <c r="E77" s="9"/>
      <c r="F77" s="9"/>
      <c r="G77" s="9"/>
      <c r="H77" s="9"/>
      <c r="I77" s="9"/>
      <c r="J77" s="9"/>
      <c r="K77" s="9"/>
      <c r="L77" s="9"/>
      <c r="M77" s="9"/>
      <c r="N77" s="9"/>
      <c r="O77" s="9"/>
      <c r="P77" s="9"/>
      <c r="Q77" s="9"/>
      <c r="R77" s="9"/>
      <c r="S77" s="11"/>
      <c r="T77" s="11"/>
      <c r="U77" s="11"/>
      <c r="V77" s="11"/>
      <c r="W77" s="11"/>
      <c r="X77" s="11"/>
      <c r="Y77" s="11"/>
      <c r="Z77" s="11"/>
    </row>
    <row r="78" spans="1:26" ht="15" customHeight="1" x14ac:dyDescent="0.25">
      <c r="A78" s="9"/>
      <c r="B78" s="9"/>
      <c r="C78" s="9"/>
      <c r="D78" s="9"/>
      <c r="E78" s="9"/>
      <c r="F78" s="9"/>
      <c r="G78" s="9"/>
      <c r="H78" s="9"/>
      <c r="I78" s="9"/>
      <c r="J78" s="9"/>
      <c r="K78" s="9"/>
      <c r="L78" s="9"/>
      <c r="M78" s="9"/>
      <c r="N78" s="9"/>
      <c r="O78" s="9"/>
      <c r="P78" s="9"/>
      <c r="Q78" s="9"/>
      <c r="R78" s="9"/>
      <c r="S78" s="11"/>
      <c r="T78" s="11"/>
      <c r="U78" s="11"/>
      <c r="V78" s="11"/>
      <c r="W78" s="11"/>
      <c r="X78" s="11"/>
      <c r="Y78" s="11"/>
      <c r="Z78" s="11"/>
    </row>
    <row r="79" spans="1:26" ht="15" customHeight="1" x14ac:dyDescent="0.25">
      <c r="A79" s="9"/>
      <c r="B79" s="9"/>
      <c r="C79" s="9"/>
      <c r="D79" s="9"/>
      <c r="E79" s="9"/>
      <c r="F79" s="9"/>
      <c r="G79" s="9"/>
      <c r="H79" s="9"/>
      <c r="I79" s="9"/>
      <c r="J79" s="9"/>
      <c r="K79" s="9"/>
      <c r="L79" s="9"/>
      <c r="M79" s="9"/>
      <c r="N79" s="9"/>
      <c r="O79" s="9"/>
      <c r="P79" s="9"/>
      <c r="Q79" s="9"/>
      <c r="R79" s="9"/>
      <c r="S79" s="11"/>
      <c r="T79" s="11"/>
      <c r="U79" s="11"/>
      <c r="V79" s="11"/>
      <c r="W79" s="11"/>
      <c r="X79" s="11"/>
      <c r="Y79" s="11"/>
      <c r="Z79" s="11"/>
    </row>
    <row r="80" spans="1:26" ht="15" customHeight="1" x14ac:dyDescent="0.25">
      <c r="A80" s="9"/>
      <c r="B80" s="9"/>
      <c r="C80" s="9"/>
      <c r="D80" s="9"/>
      <c r="E80" s="9"/>
      <c r="F80" s="9"/>
      <c r="G80" s="9"/>
      <c r="H80" s="9"/>
      <c r="I80" s="9"/>
      <c r="J80" s="9"/>
      <c r="K80" s="9"/>
      <c r="L80" s="9"/>
      <c r="M80" s="9"/>
      <c r="N80" s="9"/>
      <c r="O80" s="9"/>
      <c r="P80" s="9"/>
      <c r="Q80" s="9"/>
      <c r="R80" s="9"/>
      <c r="S80" s="11"/>
      <c r="T80" s="11"/>
      <c r="U80" s="11"/>
      <c r="V80" s="11"/>
      <c r="W80" s="11"/>
      <c r="X80" s="11"/>
      <c r="Y80" s="11"/>
      <c r="Z80" s="11"/>
    </row>
    <row r="81" spans="1:26" ht="15.75" customHeight="1" x14ac:dyDescent="0.25">
      <c r="A81" s="9"/>
      <c r="B81" s="9"/>
      <c r="C81" s="9"/>
      <c r="D81" s="9"/>
      <c r="E81" s="9"/>
      <c r="F81" s="9"/>
      <c r="G81" s="9"/>
      <c r="H81" s="9"/>
      <c r="I81" s="9"/>
      <c r="J81" s="9"/>
      <c r="K81" s="9"/>
      <c r="L81" s="9"/>
      <c r="M81" s="9"/>
      <c r="N81" s="9"/>
      <c r="O81" s="9"/>
      <c r="P81" s="9"/>
      <c r="Q81" s="9"/>
      <c r="R81" s="9"/>
      <c r="S81" s="11"/>
      <c r="T81" s="11"/>
      <c r="U81" s="11"/>
      <c r="V81" s="11"/>
      <c r="W81" s="11"/>
      <c r="X81" s="11"/>
      <c r="Y81" s="11"/>
      <c r="Z81" s="11"/>
    </row>
    <row r="82" spans="1:26" ht="15.75" customHeight="1" x14ac:dyDescent="0.25">
      <c r="A82" s="9"/>
      <c r="B82" s="9"/>
      <c r="C82" s="9"/>
      <c r="D82" s="9"/>
      <c r="E82" s="9"/>
      <c r="F82" s="9"/>
      <c r="G82" s="9"/>
      <c r="H82" s="9"/>
      <c r="I82" s="9"/>
      <c r="J82" s="9"/>
      <c r="K82" s="9"/>
      <c r="L82" s="9"/>
      <c r="M82" s="9"/>
      <c r="N82" s="9"/>
      <c r="O82" s="9"/>
      <c r="P82" s="9"/>
      <c r="Q82" s="9"/>
      <c r="R82" s="9"/>
      <c r="S82" s="11"/>
      <c r="T82" s="11"/>
      <c r="U82" s="11"/>
      <c r="V82" s="11"/>
      <c r="W82" s="11"/>
      <c r="X82" s="11"/>
      <c r="Y82" s="11"/>
      <c r="Z82" s="11"/>
    </row>
    <row r="83" spans="1:26" ht="15.75" customHeight="1" x14ac:dyDescent="0.25">
      <c r="A83" s="9"/>
      <c r="B83" s="9"/>
      <c r="C83" s="9"/>
      <c r="D83" s="9"/>
      <c r="E83" s="9"/>
      <c r="F83" s="9"/>
      <c r="G83" s="9"/>
      <c r="H83" s="9"/>
      <c r="I83" s="9"/>
      <c r="J83" s="9"/>
      <c r="K83" s="9"/>
      <c r="L83" s="9"/>
      <c r="M83" s="9"/>
      <c r="N83" s="9"/>
      <c r="O83" s="9"/>
      <c r="P83" s="9"/>
      <c r="Q83" s="9"/>
      <c r="R83" s="9"/>
      <c r="S83" s="11"/>
      <c r="T83" s="11"/>
      <c r="U83" s="11"/>
      <c r="V83" s="11"/>
      <c r="W83" s="11"/>
      <c r="X83" s="11"/>
      <c r="Y83" s="11"/>
      <c r="Z83" s="11"/>
    </row>
    <row r="84" spans="1:26" ht="15.75" customHeight="1" x14ac:dyDescent="0.25">
      <c r="A84" s="9"/>
      <c r="B84" s="9"/>
      <c r="C84" s="9"/>
      <c r="D84" s="9"/>
      <c r="E84" s="9"/>
      <c r="F84" s="9"/>
      <c r="G84" s="9"/>
      <c r="H84" s="9"/>
      <c r="I84" s="9"/>
      <c r="J84" s="9"/>
      <c r="K84" s="9"/>
      <c r="L84" s="9"/>
      <c r="M84" s="9"/>
      <c r="N84" s="9"/>
      <c r="O84" s="9"/>
      <c r="P84" s="9"/>
      <c r="Q84" s="9"/>
      <c r="R84" s="9"/>
      <c r="S84" s="11"/>
      <c r="T84" s="11"/>
      <c r="U84" s="11"/>
      <c r="V84" s="11"/>
      <c r="W84" s="11"/>
      <c r="X84" s="11"/>
      <c r="Y84" s="11"/>
      <c r="Z84" s="11"/>
    </row>
    <row r="85" spans="1:26" ht="15.75" customHeight="1" x14ac:dyDescent="0.25">
      <c r="A85" s="9"/>
      <c r="B85" s="9"/>
      <c r="C85" s="9"/>
      <c r="D85" s="9"/>
      <c r="E85" s="9"/>
      <c r="F85" s="9"/>
      <c r="G85" s="9"/>
      <c r="H85" s="9"/>
      <c r="I85" s="9"/>
      <c r="J85" s="9"/>
      <c r="K85" s="9"/>
      <c r="L85" s="9"/>
      <c r="M85" s="9"/>
      <c r="N85" s="9"/>
      <c r="O85" s="9"/>
      <c r="P85" s="9"/>
      <c r="Q85" s="9"/>
      <c r="R85" s="9"/>
      <c r="S85" s="11"/>
      <c r="T85" s="11"/>
      <c r="U85" s="11"/>
      <c r="V85" s="11"/>
      <c r="W85" s="11"/>
      <c r="X85" s="11"/>
      <c r="Y85" s="11"/>
      <c r="Z85" s="11"/>
    </row>
    <row r="86" spans="1:26" ht="15.75" customHeight="1" x14ac:dyDescent="0.25">
      <c r="A86" s="9"/>
      <c r="B86" s="9"/>
      <c r="C86" s="9"/>
      <c r="D86" s="9"/>
      <c r="E86" s="9"/>
      <c r="F86" s="9"/>
      <c r="G86" s="9"/>
      <c r="H86" s="9"/>
      <c r="I86" s="9"/>
      <c r="J86" s="9"/>
      <c r="K86" s="9"/>
      <c r="L86" s="9"/>
      <c r="M86" s="9"/>
      <c r="N86" s="9"/>
      <c r="O86" s="9"/>
      <c r="P86" s="9"/>
      <c r="Q86" s="9"/>
      <c r="R86" s="9"/>
      <c r="S86" s="11"/>
      <c r="T86" s="11"/>
      <c r="U86" s="11"/>
      <c r="V86" s="11"/>
      <c r="W86" s="11"/>
      <c r="X86" s="11"/>
      <c r="Y86" s="11"/>
      <c r="Z86" s="11"/>
    </row>
    <row r="87" spans="1:26" ht="15.75" customHeight="1" x14ac:dyDescent="0.25">
      <c r="A87" s="9"/>
      <c r="B87" s="9"/>
      <c r="C87" s="9"/>
      <c r="D87" s="9"/>
      <c r="E87" s="9"/>
      <c r="F87" s="9"/>
      <c r="G87" s="9"/>
      <c r="H87" s="9"/>
      <c r="I87" s="9"/>
      <c r="J87" s="9"/>
      <c r="K87" s="9"/>
      <c r="L87" s="9"/>
      <c r="M87" s="9"/>
      <c r="N87" s="9"/>
      <c r="O87" s="9"/>
      <c r="P87" s="9"/>
      <c r="Q87" s="9"/>
      <c r="R87" s="9"/>
      <c r="S87" s="11"/>
      <c r="T87" s="11"/>
      <c r="U87" s="11"/>
      <c r="V87" s="11"/>
      <c r="W87" s="11"/>
      <c r="X87" s="11"/>
      <c r="Y87" s="11"/>
      <c r="Z87" s="11"/>
    </row>
    <row r="88" spans="1:26" ht="15.75" customHeight="1" x14ac:dyDescent="0.25">
      <c r="A88" s="9"/>
      <c r="B88" s="9"/>
      <c r="C88" s="9"/>
      <c r="D88" s="9"/>
      <c r="E88" s="9"/>
      <c r="F88" s="9"/>
      <c r="G88" s="9"/>
      <c r="H88" s="9"/>
      <c r="I88" s="9"/>
      <c r="J88" s="9"/>
      <c r="K88" s="9"/>
      <c r="L88" s="9"/>
      <c r="M88" s="9"/>
      <c r="N88" s="9"/>
      <c r="O88" s="9"/>
      <c r="P88" s="9"/>
      <c r="Q88" s="9"/>
      <c r="R88" s="9"/>
      <c r="S88" s="11"/>
      <c r="T88" s="11"/>
      <c r="U88" s="11"/>
      <c r="V88" s="11"/>
      <c r="W88" s="11"/>
      <c r="X88" s="11"/>
      <c r="Y88" s="11"/>
      <c r="Z88" s="11"/>
    </row>
    <row r="89" spans="1:26" ht="15.75" customHeight="1" x14ac:dyDescent="0.25">
      <c r="A89" s="9"/>
      <c r="B89" s="9"/>
      <c r="C89" s="9"/>
      <c r="D89" s="9"/>
      <c r="E89" s="9"/>
      <c r="F89" s="9"/>
      <c r="G89" s="9"/>
      <c r="H89" s="9"/>
      <c r="I89" s="9"/>
      <c r="J89" s="9"/>
      <c r="K89" s="9"/>
      <c r="L89" s="9"/>
      <c r="M89" s="9"/>
      <c r="N89" s="9"/>
      <c r="O89" s="9"/>
      <c r="P89" s="9"/>
      <c r="Q89" s="9"/>
      <c r="R89" s="9"/>
      <c r="S89" s="11"/>
      <c r="T89" s="11"/>
      <c r="U89" s="11"/>
      <c r="V89" s="11"/>
      <c r="W89" s="11"/>
      <c r="X89" s="11"/>
      <c r="Y89" s="11"/>
      <c r="Z89" s="11"/>
    </row>
    <row r="90" spans="1:26" ht="15.75" customHeight="1" x14ac:dyDescent="0.25">
      <c r="A90" s="9"/>
      <c r="B90" s="9"/>
      <c r="C90" s="9"/>
      <c r="D90" s="9"/>
      <c r="E90" s="9"/>
      <c r="F90" s="9"/>
      <c r="G90" s="9"/>
      <c r="H90" s="9"/>
      <c r="I90" s="9"/>
      <c r="J90" s="9"/>
      <c r="K90" s="9"/>
      <c r="L90" s="9"/>
      <c r="M90" s="9"/>
      <c r="N90" s="9"/>
      <c r="O90" s="9"/>
      <c r="P90" s="9"/>
      <c r="Q90" s="9"/>
      <c r="R90" s="9"/>
      <c r="S90" s="11"/>
      <c r="T90" s="11"/>
      <c r="U90" s="11"/>
      <c r="V90" s="11"/>
      <c r="W90" s="11"/>
      <c r="X90" s="11"/>
      <c r="Y90" s="11"/>
      <c r="Z90" s="11"/>
    </row>
    <row r="91" spans="1:26" ht="15.75" customHeight="1" x14ac:dyDescent="0.25">
      <c r="A91" s="9"/>
      <c r="B91" s="9"/>
      <c r="C91" s="9"/>
      <c r="D91" s="9"/>
      <c r="E91" s="9"/>
      <c r="F91" s="9"/>
      <c r="G91" s="9"/>
      <c r="H91" s="9"/>
      <c r="I91" s="9"/>
      <c r="J91" s="9"/>
      <c r="K91" s="9"/>
      <c r="L91" s="9"/>
      <c r="M91" s="9"/>
      <c r="N91" s="9"/>
      <c r="O91" s="9"/>
      <c r="P91" s="9"/>
      <c r="Q91" s="9"/>
      <c r="R91" s="9"/>
      <c r="S91" s="11"/>
      <c r="T91" s="11"/>
      <c r="U91" s="11"/>
      <c r="V91" s="11"/>
      <c r="W91" s="11"/>
      <c r="X91" s="11"/>
      <c r="Y91" s="11"/>
      <c r="Z91" s="11"/>
    </row>
    <row r="92" spans="1:26" ht="15.75" customHeight="1" x14ac:dyDescent="0.25">
      <c r="A92" s="9"/>
      <c r="B92" s="9"/>
      <c r="C92" s="9"/>
      <c r="D92" s="9"/>
      <c r="E92" s="9"/>
      <c r="F92" s="9"/>
      <c r="G92" s="9"/>
      <c r="H92" s="9"/>
      <c r="I92" s="9"/>
      <c r="J92" s="9"/>
      <c r="K92" s="9"/>
      <c r="L92" s="9"/>
      <c r="M92" s="9"/>
      <c r="N92" s="9"/>
      <c r="O92" s="9"/>
      <c r="P92" s="9"/>
      <c r="Q92" s="9"/>
      <c r="R92" s="9"/>
      <c r="S92" s="11"/>
      <c r="T92" s="11"/>
      <c r="U92" s="11"/>
      <c r="V92" s="11"/>
      <c r="W92" s="11"/>
      <c r="X92" s="11"/>
      <c r="Y92" s="11"/>
      <c r="Z92" s="11"/>
    </row>
    <row r="93" spans="1:26" ht="15.75" customHeight="1" x14ac:dyDescent="0.25">
      <c r="A93" s="9"/>
      <c r="B93" s="9"/>
      <c r="C93" s="9"/>
      <c r="D93" s="9"/>
      <c r="E93" s="9"/>
      <c r="F93" s="9"/>
      <c r="G93" s="9"/>
      <c r="H93" s="9"/>
      <c r="I93" s="9"/>
      <c r="J93" s="9"/>
      <c r="K93" s="9"/>
      <c r="L93" s="9"/>
      <c r="M93" s="9"/>
      <c r="N93" s="9"/>
      <c r="O93" s="9"/>
      <c r="P93" s="9"/>
      <c r="Q93" s="9"/>
      <c r="R93" s="9"/>
      <c r="S93" s="11"/>
      <c r="T93" s="11"/>
      <c r="U93" s="11"/>
      <c r="V93" s="11"/>
      <c r="W93" s="11"/>
      <c r="X93" s="11"/>
      <c r="Y93" s="11"/>
      <c r="Z93" s="11"/>
    </row>
    <row r="94" spans="1:26" ht="15.75" customHeight="1" x14ac:dyDescent="0.25">
      <c r="A94" s="9"/>
      <c r="B94" s="9"/>
      <c r="C94" s="9"/>
      <c r="D94" s="9"/>
      <c r="E94" s="9"/>
      <c r="F94" s="9"/>
      <c r="G94" s="9"/>
      <c r="H94" s="9"/>
      <c r="I94" s="9"/>
      <c r="J94" s="9"/>
      <c r="K94" s="9"/>
      <c r="L94" s="9"/>
      <c r="M94" s="9"/>
      <c r="N94" s="9"/>
      <c r="O94" s="9"/>
      <c r="P94" s="9"/>
      <c r="Q94" s="9"/>
      <c r="R94" s="9"/>
      <c r="S94" s="11"/>
      <c r="T94" s="11"/>
      <c r="U94" s="11"/>
      <c r="V94" s="11"/>
      <c r="W94" s="11"/>
      <c r="X94" s="11"/>
      <c r="Y94" s="11"/>
      <c r="Z94" s="11"/>
    </row>
    <row r="95" spans="1:26" ht="15.75" customHeight="1" x14ac:dyDescent="0.25">
      <c r="A95" s="9"/>
      <c r="B95" s="9"/>
      <c r="C95" s="9"/>
      <c r="D95" s="9"/>
      <c r="E95" s="9"/>
      <c r="F95" s="9"/>
      <c r="G95" s="9"/>
      <c r="H95" s="9"/>
      <c r="I95" s="9"/>
      <c r="J95" s="9"/>
      <c r="K95" s="9"/>
      <c r="L95" s="9"/>
      <c r="M95" s="9"/>
      <c r="N95" s="9"/>
      <c r="O95" s="9"/>
      <c r="P95" s="9"/>
      <c r="Q95" s="9"/>
      <c r="R95" s="9"/>
      <c r="S95" s="11"/>
      <c r="T95" s="11"/>
      <c r="U95" s="11"/>
      <c r="V95" s="11"/>
      <c r="W95" s="11"/>
      <c r="X95" s="11"/>
      <c r="Y95" s="11"/>
      <c r="Z95" s="11"/>
    </row>
    <row r="96" spans="1:26" ht="15.75" customHeight="1" x14ac:dyDescent="0.25">
      <c r="A96" s="9"/>
      <c r="B96" s="9"/>
      <c r="C96" s="9"/>
      <c r="D96" s="9"/>
      <c r="E96" s="9"/>
      <c r="F96" s="9"/>
      <c r="G96" s="9"/>
      <c r="H96" s="9"/>
      <c r="I96" s="9"/>
      <c r="J96" s="9"/>
      <c r="K96" s="9"/>
      <c r="L96" s="9"/>
      <c r="M96" s="9"/>
      <c r="N96" s="9"/>
      <c r="O96" s="9"/>
      <c r="P96" s="9"/>
      <c r="Q96" s="9"/>
      <c r="R96" s="9"/>
      <c r="S96" s="11"/>
      <c r="T96" s="11"/>
      <c r="U96" s="11"/>
      <c r="V96" s="11"/>
      <c r="W96" s="11"/>
      <c r="X96" s="11"/>
      <c r="Y96" s="11"/>
      <c r="Z96" s="11"/>
    </row>
    <row r="97" spans="1:26" ht="15.75" customHeight="1" x14ac:dyDescent="0.25">
      <c r="A97" s="9"/>
      <c r="B97" s="9"/>
      <c r="C97" s="9"/>
      <c r="D97" s="9"/>
      <c r="E97" s="9"/>
      <c r="F97" s="9"/>
      <c r="G97" s="9"/>
      <c r="H97" s="9"/>
      <c r="I97" s="9"/>
      <c r="J97" s="9"/>
      <c r="K97" s="9"/>
      <c r="L97" s="9"/>
      <c r="M97" s="9"/>
      <c r="N97" s="9"/>
      <c r="O97" s="9"/>
      <c r="P97" s="9"/>
      <c r="Q97" s="9"/>
      <c r="R97" s="9"/>
      <c r="S97" s="11"/>
      <c r="T97" s="11"/>
      <c r="U97" s="11"/>
      <c r="V97" s="11"/>
      <c r="W97" s="11"/>
      <c r="X97" s="11"/>
      <c r="Y97" s="11"/>
      <c r="Z97" s="11"/>
    </row>
    <row r="98" spans="1:26" ht="15.75" customHeight="1" x14ac:dyDescent="0.25">
      <c r="A98" s="9"/>
      <c r="B98" s="9"/>
      <c r="C98" s="9"/>
      <c r="D98" s="9"/>
      <c r="E98" s="9"/>
      <c r="F98" s="9"/>
      <c r="G98" s="9"/>
      <c r="H98" s="9"/>
      <c r="I98" s="9"/>
      <c r="J98" s="9"/>
      <c r="K98" s="9"/>
      <c r="L98" s="9"/>
      <c r="M98" s="9"/>
      <c r="N98" s="9"/>
      <c r="O98" s="9"/>
      <c r="P98" s="9"/>
      <c r="Q98" s="9"/>
      <c r="R98" s="9"/>
      <c r="S98" s="11"/>
      <c r="T98" s="11"/>
      <c r="U98" s="11"/>
      <c r="V98" s="11"/>
      <c r="W98" s="11"/>
      <c r="X98" s="11"/>
      <c r="Y98" s="11"/>
      <c r="Z98" s="11"/>
    </row>
    <row r="99" spans="1:26" ht="15.75" customHeight="1" x14ac:dyDescent="0.25">
      <c r="A99" s="9"/>
      <c r="B99" s="9"/>
      <c r="C99" s="9"/>
      <c r="D99" s="9"/>
      <c r="E99" s="9"/>
      <c r="F99" s="9"/>
      <c r="G99" s="9"/>
      <c r="H99" s="9"/>
      <c r="I99" s="9"/>
      <c r="J99" s="9"/>
      <c r="K99" s="9"/>
      <c r="L99" s="9"/>
      <c r="M99" s="9"/>
      <c r="N99" s="9"/>
      <c r="O99" s="9"/>
      <c r="P99" s="9"/>
      <c r="Q99" s="9"/>
      <c r="R99" s="9"/>
      <c r="S99" s="11"/>
      <c r="T99" s="11"/>
      <c r="U99" s="11"/>
      <c r="V99" s="11"/>
      <c r="W99" s="11"/>
      <c r="X99" s="11"/>
      <c r="Y99" s="11"/>
      <c r="Z99" s="11"/>
    </row>
    <row r="100" spans="1:26" ht="15.75" customHeight="1" x14ac:dyDescent="0.25">
      <c r="A100" s="9"/>
      <c r="B100" s="9"/>
      <c r="C100" s="9"/>
      <c r="D100" s="9"/>
      <c r="E100" s="9"/>
      <c r="F100" s="9"/>
      <c r="G100" s="9"/>
      <c r="H100" s="9"/>
      <c r="I100" s="9"/>
      <c r="J100" s="9"/>
      <c r="K100" s="9"/>
      <c r="L100" s="9"/>
      <c r="M100" s="9"/>
      <c r="N100" s="9"/>
      <c r="O100" s="9"/>
      <c r="P100" s="9"/>
      <c r="Q100" s="9"/>
      <c r="R100" s="9"/>
      <c r="S100" s="11"/>
      <c r="T100" s="11"/>
      <c r="U100" s="11"/>
      <c r="V100" s="11"/>
      <c r="W100" s="11"/>
      <c r="X100" s="11"/>
      <c r="Y100" s="11"/>
      <c r="Z100" s="11"/>
    </row>
    <row r="101" spans="1:26" ht="15.75" customHeight="1" x14ac:dyDescent="0.25">
      <c r="A101" s="9"/>
      <c r="B101" s="9"/>
      <c r="C101" s="9"/>
      <c r="D101" s="9"/>
      <c r="E101" s="9"/>
      <c r="F101" s="9"/>
      <c r="G101" s="9"/>
      <c r="H101" s="9"/>
      <c r="I101" s="9"/>
      <c r="J101" s="9"/>
      <c r="K101" s="9"/>
      <c r="L101" s="9"/>
      <c r="M101" s="9"/>
      <c r="N101" s="9"/>
      <c r="O101" s="9"/>
      <c r="P101" s="9"/>
      <c r="Q101" s="9"/>
      <c r="R101" s="9"/>
      <c r="S101" s="11"/>
      <c r="T101" s="11"/>
      <c r="U101" s="11"/>
      <c r="V101" s="11"/>
      <c r="W101" s="11"/>
      <c r="X101" s="11"/>
      <c r="Y101" s="11"/>
      <c r="Z101" s="11"/>
    </row>
    <row r="102" spans="1:26" ht="15.75" customHeight="1" x14ac:dyDescent="0.25">
      <c r="A102" s="9"/>
      <c r="B102" s="9"/>
      <c r="C102" s="9"/>
      <c r="D102" s="9"/>
      <c r="E102" s="9"/>
      <c r="F102" s="9"/>
      <c r="G102" s="9"/>
      <c r="H102" s="9"/>
      <c r="I102" s="9"/>
      <c r="J102" s="9"/>
      <c r="K102" s="9"/>
      <c r="L102" s="9"/>
      <c r="M102" s="9"/>
      <c r="N102" s="9"/>
      <c r="O102" s="9"/>
      <c r="P102" s="9"/>
      <c r="Q102" s="9"/>
      <c r="R102" s="9"/>
      <c r="S102" s="11"/>
      <c r="T102" s="11"/>
      <c r="U102" s="11"/>
      <c r="V102" s="11"/>
      <c r="W102" s="11"/>
      <c r="X102" s="11"/>
      <c r="Y102" s="11"/>
      <c r="Z102" s="11"/>
    </row>
    <row r="103" spans="1:26" ht="15.75" customHeight="1" x14ac:dyDescent="0.25">
      <c r="A103" s="9"/>
      <c r="B103" s="9"/>
      <c r="C103" s="9"/>
      <c r="D103" s="9"/>
      <c r="E103" s="9"/>
      <c r="F103" s="9"/>
      <c r="G103" s="9"/>
      <c r="H103" s="9"/>
      <c r="I103" s="9"/>
      <c r="J103" s="9"/>
      <c r="K103" s="9"/>
      <c r="L103" s="9"/>
      <c r="M103" s="9"/>
      <c r="N103" s="9"/>
      <c r="O103" s="9"/>
      <c r="P103" s="9"/>
      <c r="Q103" s="9"/>
      <c r="R103" s="9"/>
      <c r="S103" s="11"/>
      <c r="T103" s="11"/>
      <c r="U103" s="11"/>
      <c r="V103" s="11"/>
      <c r="W103" s="11"/>
      <c r="X103" s="11"/>
      <c r="Y103" s="11"/>
      <c r="Z103" s="11"/>
    </row>
    <row r="104" spans="1:26" ht="15.75" customHeight="1" x14ac:dyDescent="0.25">
      <c r="A104" s="9"/>
      <c r="B104" s="9"/>
      <c r="C104" s="9"/>
      <c r="D104" s="9"/>
      <c r="E104" s="9"/>
      <c r="F104" s="9"/>
      <c r="G104" s="9"/>
      <c r="H104" s="9"/>
      <c r="I104" s="9"/>
      <c r="J104" s="9"/>
      <c r="K104" s="9"/>
      <c r="L104" s="9"/>
      <c r="M104" s="9"/>
      <c r="N104" s="9"/>
      <c r="O104" s="9"/>
      <c r="P104" s="9"/>
      <c r="Q104" s="9"/>
      <c r="R104" s="9"/>
      <c r="S104" s="11"/>
      <c r="T104" s="11"/>
      <c r="U104" s="11"/>
      <c r="V104" s="11"/>
      <c r="W104" s="11"/>
      <c r="X104" s="11"/>
      <c r="Y104" s="11"/>
      <c r="Z104" s="11"/>
    </row>
    <row r="105" spans="1:26" ht="15.75" customHeight="1" x14ac:dyDescent="0.25">
      <c r="A105" s="9"/>
      <c r="B105" s="9"/>
      <c r="C105" s="9"/>
      <c r="D105" s="9"/>
      <c r="E105" s="9"/>
      <c r="F105" s="9"/>
      <c r="G105" s="9"/>
      <c r="H105" s="9"/>
      <c r="I105" s="9"/>
      <c r="J105" s="9"/>
      <c r="K105" s="9"/>
      <c r="L105" s="9"/>
      <c r="M105" s="9"/>
      <c r="N105" s="9"/>
      <c r="O105" s="9"/>
      <c r="P105" s="9"/>
      <c r="Q105" s="9"/>
      <c r="R105" s="9"/>
      <c r="S105" s="11"/>
      <c r="T105" s="11"/>
      <c r="U105" s="11"/>
      <c r="V105" s="11"/>
      <c r="W105" s="11"/>
      <c r="X105" s="11"/>
      <c r="Y105" s="11"/>
      <c r="Z105" s="11"/>
    </row>
    <row r="106" spans="1:26" ht="15.75" customHeight="1" x14ac:dyDescent="0.25">
      <c r="A106" s="9"/>
      <c r="B106" s="9"/>
      <c r="C106" s="9"/>
      <c r="D106" s="9"/>
      <c r="E106" s="9"/>
      <c r="F106" s="9"/>
      <c r="G106" s="9"/>
      <c r="H106" s="9"/>
      <c r="I106" s="9"/>
      <c r="J106" s="9"/>
      <c r="K106" s="9"/>
      <c r="L106" s="9"/>
      <c r="M106" s="9"/>
      <c r="N106" s="9"/>
      <c r="O106" s="9"/>
      <c r="P106" s="9"/>
      <c r="Q106" s="9"/>
      <c r="R106" s="9"/>
      <c r="S106" s="11"/>
      <c r="T106" s="11"/>
      <c r="U106" s="11"/>
      <c r="V106" s="11"/>
      <c r="W106" s="11"/>
      <c r="X106" s="11"/>
      <c r="Y106" s="11"/>
      <c r="Z106" s="11"/>
    </row>
    <row r="107" spans="1:26" ht="15.75" customHeight="1" x14ac:dyDescent="0.25">
      <c r="A107" s="9"/>
      <c r="B107" s="9"/>
      <c r="C107" s="9"/>
      <c r="D107" s="9"/>
      <c r="E107" s="9"/>
      <c r="F107" s="9"/>
      <c r="G107" s="9"/>
      <c r="H107" s="9"/>
      <c r="I107" s="9"/>
      <c r="J107" s="9"/>
      <c r="K107" s="9"/>
      <c r="L107" s="9"/>
      <c r="M107" s="9"/>
      <c r="N107" s="9"/>
      <c r="O107" s="9"/>
      <c r="P107" s="9"/>
      <c r="Q107" s="9"/>
      <c r="R107" s="9"/>
      <c r="S107" s="11"/>
      <c r="T107" s="11"/>
      <c r="U107" s="11"/>
      <c r="V107" s="11"/>
      <c r="W107" s="11"/>
      <c r="X107" s="11"/>
      <c r="Y107" s="11"/>
      <c r="Z107" s="11"/>
    </row>
    <row r="108" spans="1:26" ht="15.75" customHeight="1" x14ac:dyDescent="0.25">
      <c r="A108" s="9"/>
      <c r="B108" s="9"/>
      <c r="C108" s="9"/>
      <c r="D108" s="9"/>
      <c r="E108" s="9"/>
      <c r="F108" s="9"/>
      <c r="G108" s="9"/>
      <c r="H108" s="9"/>
      <c r="I108" s="9"/>
      <c r="J108" s="9"/>
      <c r="K108" s="9"/>
      <c r="L108" s="9"/>
      <c r="M108" s="9"/>
      <c r="N108" s="9"/>
      <c r="O108" s="9"/>
      <c r="P108" s="9"/>
      <c r="Q108" s="9"/>
      <c r="R108" s="9"/>
      <c r="S108" s="11"/>
      <c r="T108" s="11"/>
      <c r="U108" s="11"/>
      <c r="V108" s="11"/>
      <c r="W108" s="11"/>
      <c r="X108" s="11"/>
      <c r="Y108" s="11"/>
      <c r="Z108" s="11"/>
    </row>
    <row r="109" spans="1:26" ht="15.75" customHeight="1" x14ac:dyDescent="0.25">
      <c r="A109" s="9"/>
      <c r="B109" s="9"/>
      <c r="C109" s="9"/>
      <c r="D109" s="9"/>
      <c r="E109" s="9"/>
      <c r="F109" s="9"/>
      <c r="G109" s="9"/>
      <c r="H109" s="9"/>
      <c r="I109" s="9"/>
      <c r="J109" s="9"/>
      <c r="K109" s="9"/>
      <c r="L109" s="9"/>
      <c r="M109" s="9"/>
      <c r="N109" s="9"/>
      <c r="O109" s="9"/>
      <c r="P109" s="9"/>
      <c r="Q109" s="9"/>
      <c r="R109" s="9"/>
      <c r="S109" s="11"/>
      <c r="T109" s="11"/>
      <c r="U109" s="11"/>
      <c r="V109" s="11"/>
      <c r="W109" s="11"/>
      <c r="X109" s="11"/>
      <c r="Y109" s="11"/>
      <c r="Z109" s="11"/>
    </row>
    <row r="110" spans="1:26" ht="15.75" customHeight="1" x14ac:dyDescent="0.25">
      <c r="A110" s="9"/>
      <c r="B110" s="9"/>
      <c r="C110" s="9"/>
      <c r="D110" s="9"/>
      <c r="E110" s="9"/>
      <c r="F110" s="9"/>
      <c r="G110" s="9"/>
      <c r="H110" s="9"/>
      <c r="I110" s="9"/>
      <c r="J110" s="9"/>
      <c r="K110" s="9"/>
      <c r="L110" s="9"/>
      <c r="M110" s="9"/>
      <c r="N110" s="9"/>
      <c r="O110" s="9"/>
      <c r="P110" s="9"/>
      <c r="Q110" s="9"/>
      <c r="R110" s="9"/>
      <c r="S110" s="11"/>
      <c r="T110" s="11"/>
      <c r="U110" s="11"/>
      <c r="V110" s="11"/>
      <c r="W110" s="11"/>
      <c r="X110" s="11"/>
      <c r="Y110" s="11"/>
      <c r="Z110" s="11"/>
    </row>
    <row r="111" spans="1:26" ht="15.75" customHeight="1" x14ac:dyDescent="0.25">
      <c r="A111" s="9"/>
      <c r="B111" s="9"/>
      <c r="C111" s="9"/>
      <c r="D111" s="9"/>
      <c r="E111" s="9"/>
      <c r="F111" s="9"/>
      <c r="G111" s="9"/>
      <c r="H111" s="9"/>
      <c r="I111" s="9"/>
      <c r="J111" s="9"/>
      <c r="K111" s="9"/>
      <c r="L111" s="9"/>
      <c r="M111" s="9"/>
      <c r="N111" s="9"/>
      <c r="O111" s="9"/>
      <c r="P111" s="9"/>
      <c r="Q111" s="9"/>
      <c r="R111" s="9"/>
      <c r="S111" s="11"/>
      <c r="T111" s="11"/>
      <c r="U111" s="11"/>
      <c r="V111" s="11"/>
      <c r="W111" s="11"/>
      <c r="X111" s="11"/>
      <c r="Y111" s="11"/>
      <c r="Z111" s="11"/>
    </row>
    <row r="112" spans="1:26" ht="15.75" customHeight="1" x14ac:dyDescent="0.25">
      <c r="A112" s="9"/>
      <c r="B112" s="9"/>
      <c r="C112" s="9"/>
      <c r="D112" s="9"/>
      <c r="E112" s="9"/>
      <c r="F112" s="9"/>
      <c r="G112" s="9"/>
      <c r="H112" s="9"/>
      <c r="I112" s="9"/>
      <c r="J112" s="9"/>
      <c r="K112" s="9"/>
      <c r="L112" s="9"/>
      <c r="M112" s="9"/>
      <c r="N112" s="9"/>
      <c r="O112" s="9"/>
      <c r="P112" s="9"/>
      <c r="Q112" s="9"/>
      <c r="R112" s="9"/>
      <c r="S112" s="11"/>
      <c r="T112" s="11"/>
      <c r="U112" s="11"/>
      <c r="V112" s="11"/>
      <c r="W112" s="11"/>
      <c r="X112" s="11"/>
      <c r="Y112" s="11"/>
      <c r="Z112" s="11"/>
    </row>
    <row r="113" spans="1:26" ht="15.75" customHeight="1" x14ac:dyDescent="0.25">
      <c r="A113" s="9"/>
      <c r="B113" s="9"/>
      <c r="C113" s="9"/>
      <c r="D113" s="9"/>
      <c r="E113" s="9"/>
      <c r="F113" s="9"/>
      <c r="G113" s="9"/>
      <c r="H113" s="9"/>
      <c r="I113" s="9"/>
      <c r="J113" s="9"/>
      <c r="K113" s="9"/>
      <c r="L113" s="9"/>
      <c r="M113" s="9"/>
      <c r="N113" s="9"/>
      <c r="O113" s="9"/>
      <c r="P113" s="9"/>
      <c r="Q113" s="9"/>
      <c r="R113" s="9"/>
      <c r="S113" s="11"/>
      <c r="T113" s="11"/>
      <c r="U113" s="11"/>
      <c r="V113" s="11"/>
      <c r="W113" s="11"/>
      <c r="X113" s="11"/>
      <c r="Y113" s="11"/>
      <c r="Z113" s="11"/>
    </row>
    <row r="114" spans="1:26" ht="15.75" customHeight="1" x14ac:dyDescent="0.25">
      <c r="A114" s="9"/>
      <c r="B114" s="9"/>
      <c r="C114" s="9"/>
      <c r="D114" s="9"/>
      <c r="E114" s="9"/>
      <c r="F114" s="9"/>
      <c r="G114" s="9"/>
      <c r="H114" s="9"/>
      <c r="I114" s="9"/>
      <c r="J114" s="9"/>
      <c r="K114" s="9"/>
      <c r="L114" s="9"/>
      <c r="M114" s="9"/>
      <c r="N114" s="9"/>
      <c r="O114" s="9"/>
      <c r="P114" s="9"/>
      <c r="Q114" s="9"/>
      <c r="R114" s="9"/>
      <c r="S114" s="11"/>
      <c r="T114" s="11"/>
      <c r="U114" s="11"/>
      <c r="V114" s="11"/>
      <c r="W114" s="11"/>
      <c r="X114" s="11"/>
      <c r="Y114" s="11"/>
      <c r="Z114" s="11"/>
    </row>
    <row r="115" spans="1:26" ht="15.75" customHeight="1" x14ac:dyDescent="0.25">
      <c r="A115" s="9"/>
      <c r="B115" s="9"/>
      <c r="C115" s="9"/>
      <c r="D115" s="9"/>
      <c r="E115" s="9"/>
      <c r="F115" s="9"/>
      <c r="G115" s="9"/>
      <c r="H115" s="9"/>
      <c r="I115" s="9"/>
      <c r="J115" s="9"/>
      <c r="K115" s="9"/>
      <c r="L115" s="9"/>
      <c r="M115" s="9"/>
      <c r="N115" s="9"/>
      <c r="O115" s="9"/>
      <c r="P115" s="9"/>
      <c r="Q115" s="9"/>
      <c r="R115" s="9"/>
      <c r="S115" s="11"/>
      <c r="T115" s="11"/>
      <c r="U115" s="11"/>
      <c r="V115" s="11"/>
      <c r="W115" s="11"/>
      <c r="X115" s="11"/>
      <c r="Y115" s="11"/>
      <c r="Z115" s="11"/>
    </row>
    <row r="116" spans="1:26" ht="15.75" customHeight="1" x14ac:dyDescent="0.25">
      <c r="A116" s="9"/>
      <c r="B116" s="9"/>
      <c r="C116" s="9"/>
      <c r="D116" s="9"/>
      <c r="E116" s="9"/>
      <c r="F116" s="9"/>
      <c r="G116" s="9"/>
      <c r="H116" s="9"/>
      <c r="I116" s="9"/>
      <c r="J116" s="9"/>
      <c r="K116" s="9"/>
      <c r="L116" s="9"/>
      <c r="M116" s="9"/>
      <c r="N116" s="9"/>
      <c r="O116" s="9"/>
      <c r="P116" s="9"/>
      <c r="Q116" s="9"/>
      <c r="R116" s="9"/>
      <c r="S116" s="11"/>
      <c r="T116" s="11"/>
      <c r="U116" s="11"/>
      <c r="V116" s="11"/>
      <c r="W116" s="11"/>
      <c r="X116" s="11"/>
      <c r="Y116" s="11"/>
      <c r="Z116" s="11"/>
    </row>
    <row r="117" spans="1:26" ht="15.75" customHeight="1" x14ac:dyDescent="0.25">
      <c r="A117" s="9"/>
      <c r="B117" s="9"/>
      <c r="C117" s="9"/>
      <c r="D117" s="9"/>
      <c r="E117" s="9"/>
      <c r="F117" s="9"/>
      <c r="G117" s="9"/>
      <c r="H117" s="9"/>
      <c r="I117" s="9"/>
      <c r="J117" s="9"/>
      <c r="K117" s="9"/>
      <c r="L117" s="9"/>
      <c r="M117" s="9"/>
      <c r="N117" s="9"/>
      <c r="O117" s="9"/>
      <c r="P117" s="9"/>
      <c r="Q117" s="9"/>
      <c r="R117" s="9"/>
      <c r="S117" s="11"/>
      <c r="T117" s="11"/>
      <c r="U117" s="11"/>
      <c r="V117" s="11"/>
      <c r="W117" s="11"/>
      <c r="X117" s="11"/>
      <c r="Y117" s="11"/>
      <c r="Z117" s="11"/>
    </row>
    <row r="118" spans="1:26" ht="15.75" customHeight="1" x14ac:dyDescent="0.25">
      <c r="A118" s="9"/>
      <c r="B118" s="9"/>
      <c r="C118" s="9"/>
      <c r="D118" s="9"/>
      <c r="E118" s="9"/>
      <c r="F118" s="9"/>
      <c r="G118" s="9"/>
      <c r="H118" s="9"/>
      <c r="I118" s="9"/>
      <c r="J118" s="9"/>
      <c r="K118" s="9"/>
      <c r="L118" s="9"/>
      <c r="M118" s="9"/>
      <c r="N118" s="9"/>
      <c r="O118" s="9"/>
      <c r="P118" s="9"/>
      <c r="Q118" s="9"/>
      <c r="R118" s="9"/>
      <c r="S118" s="11"/>
      <c r="T118" s="11"/>
      <c r="U118" s="11"/>
      <c r="V118" s="11"/>
      <c r="W118" s="11"/>
      <c r="X118" s="11"/>
      <c r="Y118" s="11"/>
      <c r="Z118" s="11"/>
    </row>
    <row r="119" spans="1:26" ht="15.75" customHeight="1" x14ac:dyDescent="0.25">
      <c r="A119" s="9"/>
      <c r="B119" s="9"/>
      <c r="C119" s="9"/>
      <c r="D119" s="9"/>
      <c r="E119" s="9"/>
      <c r="F119" s="9"/>
      <c r="G119" s="9"/>
      <c r="H119" s="9"/>
      <c r="I119" s="9"/>
      <c r="J119" s="9"/>
      <c r="K119" s="9"/>
      <c r="L119" s="9"/>
      <c r="M119" s="9"/>
      <c r="N119" s="9"/>
      <c r="O119" s="9"/>
      <c r="P119" s="9"/>
      <c r="Q119" s="9"/>
      <c r="R119" s="9"/>
      <c r="S119" s="11"/>
      <c r="T119" s="11"/>
      <c r="U119" s="11"/>
      <c r="V119" s="11"/>
      <c r="W119" s="11"/>
      <c r="X119" s="11"/>
      <c r="Y119" s="11"/>
      <c r="Z119" s="11"/>
    </row>
    <row r="120" spans="1:26" ht="15.75" customHeight="1" x14ac:dyDescent="0.25">
      <c r="A120" s="9"/>
      <c r="B120" s="9"/>
      <c r="C120" s="9"/>
      <c r="D120" s="9"/>
      <c r="E120" s="9"/>
      <c r="F120" s="9"/>
      <c r="G120" s="9"/>
      <c r="H120" s="9"/>
      <c r="I120" s="9"/>
      <c r="J120" s="9"/>
      <c r="K120" s="9"/>
      <c r="L120" s="9"/>
      <c r="M120" s="9"/>
      <c r="N120" s="9"/>
      <c r="O120" s="9"/>
      <c r="P120" s="9"/>
      <c r="Q120" s="9"/>
      <c r="R120" s="9"/>
      <c r="S120" s="11"/>
      <c r="T120" s="11"/>
      <c r="U120" s="11"/>
      <c r="V120" s="11"/>
      <c r="W120" s="11"/>
      <c r="X120" s="11"/>
      <c r="Y120" s="11"/>
      <c r="Z120" s="11"/>
    </row>
    <row r="121" spans="1:26" ht="15.75" customHeight="1" x14ac:dyDescent="0.25">
      <c r="A121" s="9"/>
      <c r="B121" s="9"/>
      <c r="C121" s="9"/>
      <c r="D121" s="9"/>
      <c r="E121" s="9"/>
      <c r="F121" s="9"/>
      <c r="G121" s="9"/>
      <c r="H121" s="9"/>
      <c r="I121" s="9"/>
      <c r="J121" s="9"/>
      <c r="K121" s="9"/>
      <c r="L121" s="9"/>
      <c r="M121" s="9"/>
      <c r="N121" s="9"/>
      <c r="O121" s="9"/>
      <c r="P121" s="9"/>
      <c r="Q121" s="9"/>
      <c r="R121" s="9"/>
      <c r="S121" s="11"/>
      <c r="T121" s="11"/>
      <c r="U121" s="11"/>
      <c r="V121" s="11"/>
      <c r="W121" s="11"/>
      <c r="X121" s="11"/>
      <c r="Y121" s="11"/>
      <c r="Z121" s="11"/>
    </row>
    <row r="122" spans="1:26" ht="15.75" customHeight="1" x14ac:dyDescent="0.25">
      <c r="A122" s="9"/>
      <c r="B122" s="9"/>
      <c r="C122" s="9"/>
      <c r="D122" s="9"/>
      <c r="E122" s="9"/>
      <c r="F122" s="9"/>
      <c r="G122" s="9"/>
      <c r="H122" s="9"/>
      <c r="I122" s="9"/>
      <c r="J122" s="9"/>
      <c r="K122" s="9"/>
      <c r="L122" s="9"/>
      <c r="M122" s="9"/>
      <c r="N122" s="9"/>
      <c r="O122" s="9"/>
      <c r="P122" s="9"/>
      <c r="Q122" s="9"/>
      <c r="R122" s="9"/>
      <c r="S122" s="11"/>
      <c r="T122" s="11"/>
      <c r="U122" s="11"/>
      <c r="V122" s="11"/>
      <c r="W122" s="11"/>
      <c r="X122" s="11"/>
      <c r="Y122" s="11"/>
      <c r="Z122" s="11"/>
    </row>
    <row r="123" spans="1:26" ht="15.75" customHeight="1" x14ac:dyDescent="0.25">
      <c r="A123" s="9"/>
      <c r="B123" s="9"/>
      <c r="C123" s="9"/>
      <c r="D123" s="9"/>
      <c r="E123" s="9"/>
      <c r="F123" s="9"/>
      <c r="G123" s="9"/>
      <c r="H123" s="9"/>
      <c r="I123" s="9"/>
      <c r="J123" s="9"/>
      <c r="K123" s="9"/>
      <c r="L123" s="9"/>
      <c r="M123" s="9"/>
      <c r="N123" s="9"/>
      <c r="O123" s="9"/>
      <c r="P123" s="9"/>
      <c r="Q123" s="9"/>
      <c r="R123" s="9"/>
      <c r="S123" s="11"/>
      <c r="T123" s="11"/>
      <c r="U123" s="11"/>
      <c r="V123" s="11"/>
      <c r="W123" s="11"/>
      <c r="X123" s="11"/>
      <c r="Y123" s="11"/>
      <c r="Z123" s="11"/>
    </row>
    <row r="124" spans="1:26" ht="15.75" customHeight="1" x14ac:dyDescent="0.25">
      <c r="A124" s="9"/>
      <c r="B124" s="9"/>
      <c r="C124" s="9"/>
      <c r="D124" s="9"/>
      <c r="E124" s="9"/>
      <c r="F124" s="9"/>
      <c r="G124" s="9"/>
      <c r="H124" s="9"/>
      <c r="I124" s="9"/>
      <c r="J124" s="9"/>
      <c r="K124" s="9"/>
      <c r="L124" s="9"/>
      <c r="M124" s="9"/>
      <c r="N124" s="9"/>
      <c r="O124" s="9"/>
      <c r="P124" s="9"/>
      <c r="Q124" s="9"/>
      <c r="R124" s="9"/>
      <c r="S124" s="11"/>
      <c r="T124" s="11"/>
      <c r="U124" s="11"/>
      <c r="V124" s="11"/>
      <c r="W124" s="11"/>
      <c r="X124" s="11"/>
      <c r="Y124" s="11"/>
      <c r="Z124" s="11"/>
    </row>
    <row r="125" spans="1:26" ht="15.75" customHeight="1" x14ac:dyDescent="0.25">
      <c r="A125" s="9"/>
      <c r="B125" s="9"/>
      <c r="C125" s="9"/>
      <c r="D125" s="9"/>
      <c r="E125" s="9"/>
      <c r="F125" s="9"/>
      <c r="G125" s="9"/>
      <c r="H125" s="9"/>
      <c r="I125" s="9"/>
      <c r="J125" s="9"/>
      <c r="K125" s="9"/>
      <c r="L125" s="9"/>
      <c r="M125" s="9"/>
      <c r="N125" s="9"/>
      <c r="O125" s="9"/>
      <c r="P125" s="9"/>
      <c r="Q125" s="9"/>
      <c r="R125" s="9"/>
      <c r="S125" s="11"/>
      <c r="T125" s="11"/>
      <c r="U125" s="11"/>
      <c r="V125" s="11"/>
      <c r="W125" s="11"/>
      <c r="X125" s="11"/>
      <c r="Y125" s="11"/>
      <c r="Z125" s="11"/>
    </row>
    <row r="126" spans="1:26" ht="15.75" customHeight="1" x14ac:dyDescent="0.25">
      <c r="A126" s="9"/>
      <c r="B126" s="9"/>
      <c r="C126" s="9"/>
      <c r="D126" s="9"/>
      <c r="E126" s="9"/>
      <c r="F126" s="9"/>
      <c r="G126" s="9"/>
      <c r="H126" s="9"/>
      <c r="I126" s="9"/>
      <c r="J126" s="9"/>
      <c r="K126" s="9"/>
      <c r="L126" s="9"/>
      <c r="M126" s="9"/>
      <c r="N126" s="9"/>
      <c r="O126" s="9"/>
      <c r="P126" s="9"/>
      <c r="Q126" s="9"/>
      <c r="R126" s="9"/>
      <c r="S126" s="11"/>
      <c r="T126" s="11"/>
      <c r="U126" s="11"/>
      <c r="V126" s="11"/>
      <c r="W126" s="11"/>
      <c r="X126" s="11"/>
      <c r="Y126" s="11"/>
      <c r="Z126" s="11"/>
    </row>
    <row r="127" spans="1:26" ht="15.75" customHeight="1" x14ac:dyDescent="0.25">
      <c r="A127" s="9"/>
      <c r="B127" s="9"/>
      <c r="C127" s="9"/>
      <c r="D127" s="9"/>
      <c r="E127" s="9"/>
      <c r="F127" s="9"/>
      <c r="G127" s="9"/>
      <c r="H127" s="9"/>
      <c r="I127" s="9"/>
      <c r="J127" s="9"/>
      <c r="K127" s="9"/>
      <c r="L127" s="9"/>
      <c r="M127" s="9"/>
      <c r="N127" s="9"/>
      <c r="O127" s="9"/>
      <c r="P127" s="9"/>
      <c r="Q127" s="9"/>
      <c r="R127" s="9"/>
      <c r="S127" s="11"/>
      <c r="T127" s="11"/>
      <c r="U127" s="11"/>
      <c r="V127" s="11"/>
      <c r="W127" s="11"/>
      <c r="X127" s="11"/>
      <c r="Y127" s="11"/>
      <c r="Z127" s="11"/>
    </row>
    <row r="128" spans="1:26" ht="15.75" customHeight="1" x14ac:dyDescent="0.25">
      <c r="A128" s="9"/>
      <c r="B128" s="9"/>
      <c r="C128" s="9"/>
      <c r="D128" s="9"/>
      <c r="E128" s="9"/>
      <c r="F128" s="9"/>
      <c r="G128" s="9"/>
      <c r="H128" s="9"/>
      <c r="I128" s="9"/>
      <c r="J128" s="9"/>
      <c r="K128" s="9"/>
      <c r="L128" s="9"/>
      <c r="M128" s="9"/>
      <c r="N128" s="9"/>
      <c r="O128" s="9"/>
      <c r="P128" s="9"/>
      <c r="Q128" s="9"/>
      <c r="R128" s="9"/>
      <c r="S128" s="11"/>
      <c r="T128" s="11"/>
      <c r="U128" s="11"/>
      <c r="V128" s="11"/>
      <c r="W128" s="11"/>
      <c r="X128" s="11"/>
      <c r="Y128" s="11"/>
      <c r="Z128" s="11"/>
    </row>
    <row r="129" spans="1:26" ht="15.75" customHeight="1" x14ac:dyDescent="0.25">
      <c r="A129" s="9"/>
      <c r="B129" s="9"/>
      <c r="C129" s="9"/>
      <c r="D129" s="9"/>
      <c r="E129" s="9"/>
      <c r="F129" s="9"/>
      <c r="G129" s="9"/>
      <c r="H129" s="9"/>
      <c r="I129" s="9"/>
      <c r="J129" s="9"/>
      <c r="K129" s="9"/>
      <c r="L129" s="9"/>
      <c r="M129" s="9"/>
      <c r="N129" s="9"/>
      <c r="O129" s="9"/>
      <c r="P129" s="9"/>
      <c r="Q129" s="9"/>
      <c r="R129" s="9"/>
      <c r="S129" s="11"/>
      <c r="T129" s="11"/>
      <c r="U129" s="11"/>
      <c r="V129" s="11"/>
      <c r="W129" s="11"/>
      <c r="X129" s="11"/>
      <c r="Y129" s="11"/>
      <c r="Z129" s="11"/>
    </row>
    <row r="130" spans="1:26" ht="15.75" customHeight="1" x14ac:dyDescent="0.25">
      <c r="A130" s="9"/>
      <c r="B130" s="9"/>
      <c r="C130" s="9"/>
      <c r="D130" s="9"/>
      <c r="E130" s="9"/>
      <c r="F130" s="9"/>
      <c r="G130" s="9"/>
      <c r="H130" s="9"/>
      <c r="I130" s="9"/>
      <c r="J130" s="9"/>
      <c r="K130" s="9"/>
      <c r="L130" s="9"/>
      <c r="M130" s="9"/>
      <c r="N130" s="9"/>
      <c r="O130" s="9"/>
      <c r="P130" s="9"/>
      <c r="Q130" s="9"/>
      <c r="R130" s="9"/>
      <c r="S130" s="11"/>
      <c r="T130" s="11"/>
      <c r="U130" s="11"/>
      <c r="V130" s="11"/>
      <c r="W130" s="11"/>
      <c r="X130" s="11"/>
      <c r="Y130" s="11"/>
      <c r="Z130" s="11"/>
    </row>
    <row r="131" spans="1:26" ht="15.75" customHeight="1" x14ac:dyDescent="0.25">
      <c r="A131" s="9"/>
      <c r="B131" s="9"/>
      <c r="C131" s="9"/>
      <c r="D131" s="9"/>
      <c r="E131" s="9"/>
      <c r="F131" s="9"/>
      <c r="G131" s="9"/>
      <c r="H131" s="9"/>
      <c r="I131" s="9"/>
      <c r="J131" s="9"/>
      <c r="K131" s="9"/>
      <c r="L131" s="9"/>
      <c r="M131" s="9"/>
      <c r="N131" s="9"/>
      <c r="O131" s="9"/>
      <c r="P131" s="9"/>
      <c r="Q131" s="9"/>
      <c r="R131" s="9"/>
      <c r="S131" s="11"/>
      <c r="T131" s="11"/>
      <c r="U131" s="11"/>
      <c r="V131" s="11"/>
      <c r="W131" s="11"/>
      <c r="X131" s="11"/>
      <c r="Y131" s="11"/>
      <c r="Z131" s="11"/>
    </row>
    <row r="132" spans="1:26" ht="15.75" customHeight="1" x14ac:dyDescent="0.25">
      <c r="A132" s="9"/>
      <c r="B132" s="9"/>
      <c r="C132" s="9"/>
      <c r="D132" s="9"/>
      <c r="E132" s="9"/>
      <c r="F132" s="9"/>
      <c r="G132" s="9"/>
      <c r="H132" s="9"/>
      <c r="I132" s="9"/>
      <c r="J132" s="9"/>
      <c r="K132" s="9"/>
      <c r="L132" s="9"/>
      <c r="M132" s="9"/>
      <c r="N132" s="9"/>
      <c r="O132" s="9"/>
      <c r="P132" s="9"/>
      <c r="Q132" s="9"/>
      <c r="R132" s="9"/>
      <c r="S132" s="11"/>
      <c r="T132" s="11"/>
      <c r="U132" s="11"/>
      <c r="V132" s="11"/>
      <c r="W132" s="11"/>
      <c r="X132" s="11"/>
      <c r="Y132" s="11"/>
      <c r="Z132" s="11"/>
    </row>
    <row r="133" spans="1:26" ht="15.75" customHeight="1" x14ac:dyDescent="0.25">
      <c r="A133" s="9"/>
      <c r="B133" s="9"/>
      <c r="C133" s="9"/>
      <c r="D133" s="9"/>
      <c r="E133" s="9"/>
      <c r="F133" s="9"/>
      <c r="G133" s="9"/>
      <c r="H133" s="9"/>
      <c r="I133" s="9"/>
      <c r="J133" s="9"/>
      <c r="K133" s="9"/>
      <c r="L133" s="9"/>
      <c r="M133" s="9"/>
      <c r="N133" s="9"/>
      <c r="O133" s="9"/>
      <c r="P133" s="9"/>
      <c r="Q133" s="9"/>
      <c r="R133" s="9"/>
      <c r="S133" s="11"/>
      <c r="T133" s="11"/>
      <c r="U133" s="11"/>
      <c r="V133" s="11"/>
      <c r="W133" s="11"/>
      <c r="X133" s="11"/>
      <c r="Y133" s="11"/>
      <c r="Z133" s="11"/>
    </row>
    <row r="134" spans="1:26" ht="15.75" customHeight="1" x14ac:dyDescent="0.25">
      <c r="A134" s="9"/>
      <c r="B134" s="9"/>
      <c r="C134" s="9"/>
      <c r="D134" s="9"/>
      <c r="E134" s="9"/>
      <c r="F134" s="9"/>
      <c r="G134" s="9"/>
      <c r="H134" s="9"/>
      <c r="I134" s="9"/>
      <c r="J134" s="9"/>
      <c r="K134" s="9"/>
      <c r="L134" s="9"/>
      <c r="M134" s="9"/>
      <c r="N134" s="9"/>
      <c r="O134" s="9"/>
      <c r="P134" s="9"/>
      <c r="Q134" s="9"/>
      <c r="R134" s="9"/>
      <c r="S134" s="11"/>
      <c r="T134" s="11"/>
      <c r="U134" s="11"/>
      <c r="V134" s="11"/>
      <c r="W134" s="11"/>
      <c r="X134" s="11"/>
      <c r="Y134" s="11"/>
      <c r="Z134" s="11"/>
    </row>
    <row r="135" spans="1:26" ht="15.75" customHeight="1" x14ac:dyDescent="0.25">
      <c r="A135" s="9"/>
      <c r="B135" s="9"/>
      <c r="C135" s="9"/>
      <c r="D135" s="9"/>
      <c r="E135" s="9"/>
      <c r="F135" s="9"/>
      <c r="G135" s="9"/>
      <c r="H135" s="9"/>
      <c r="I135" s="9"/>
      <c r="J135" s="9"/>
      <c r="K135" s="9"/>
      <c r="L135" s="9"/>
      <c r="M135" s="9"/>
      <c r="N135" s="9"/>
      <c r="O135" s="9"/>
      <c r="P135" s="9"/>
      <c r="Q135" s="9"/>
      <c r="R135" s="9"/>
      <c r="S135" s="11"/>
      <c r="T135" s="11"/>
      <c r="U135" s="11"/>
      <c r="V135" s="11"/>
      <c r="W135" s="11"/>
      <c r="X135" s="11"/>
      <c r="Y135" s="11"/>
      <c r="Z135" s="11"/>
    </row>
    <row r="136" spans="1:26" ht="15.75" customHeight="1" x14ac:dyDescent="0.25">
      <c r="A136" s="9"/>
      <c r="B136" s="9"/>
      <c r="C136" s="9"/>
      <c r="D136" s="9"/>
      <c r="E136" s="9"/>
      <c r="F136" s="9"/>
      <c r="G136" s="9"/>
      <c r="H136" s="9"/>
      <c r="I136" s="9"/>
      <c r="J136" s="9"/>
      <c r="K136" s="9"/>
      <c r="L136" s="9"/>
      <c r="M136" s="9"/>
      <c r="N136" s="9"/>
      <c r="O136" s="9"/>
      <c r="P136" s="9"/>
      <c r="Q136" s="9"/>
      <c r="R136" s="9"/>
      <c r="S136" s="11"/>
      <c r="T136" s="11"/>
      <c r="U136" s="11"/>
      <c r="V136" s="11"/>
      <c r="W136" s="11"/>
      <c r="X136" s="11"/>
      <c r="Y136" s="11"/>
      <c r="Z136" s="11"/>
    </row>
    <row r="137" spans="1:26" ht="15.75" customHeight="1" x14ac:dyDescent="0.25">
      <c r="A137" s="9"/>
      <c r="B137" s="9"/>
      <c r="C137" s="9"/>
      <c r="D137" s="9"/>
      <c r="E137" s="9"/>
      <c r="F137" s="9"/>
      <c r="G137" s="9"/>
      <c r="H137" s="9"/>
      <c r="I137" s="9"/>
      <c r="J137" s="9"/>
      <c r="K137" s="9"/>
      <c r="L137" s="9"/>
      <c r="M137" s="9"/>
      <c r="N137" s="9"/>
      <c r="O137" s="9"/>
      <c r="P137" s="9"/>
      <c r="Q137" s="9"/>
      <c r="R137" s="9"/>
      <c r="S137" s="11"/>
      <c r="T137" s="11"/>
      <c r="U137" s="11"/>
      <c r="V137" s="11"/>
      <c r="W137" s="11"/>
      <c r="X137" s="11"/>
      <c r="Y137" s="11"/>
      <c r="Z137" s="11"/>
    </row>
    <row r="138" spans="1:26" ht="15.75" customHeight="1" x14ac:dyDescent="0.25">
      <c r="A138" s="9"/>
      <c r="B138" s="9"/>
      <c r="C138" s="9"/>
      <c r="D138" s="9"/>
      <c r="E138" s="9"/>
      <c r="F138" s="9"/>
      <c r="G138" s="9"/>
      <c r="H138" s="9"/>
      <c r="I138" s="9"/>
      <c r="J138" s="9"/>
      <c r="K138" s="9"/>
      <c r="L138" s="9"/>
      <c r="M138" s="9"/>
      <c r="N138" s="9"/>
      <c r="O138" s="9"/>
      <c r="P138" s="9"/>
      <c r="Q138" s="9"/>
      <c r="R138" s="9"/>
      <c r="S138" s="11"/>
      <c r="T138" s="11"/>
      <c r="U138" s="11"/>
      <c r="V138" s="11"/>
      <c r="W138" s="11"/>
      <c r="X138" s="11"/>
      <c r="Y138" s="11"/>
      <c r="Z138" s="11"/>
    </row>
    <row r="139" spans="1:26" ht="15.75" customHeight="1" x14ac:dyDescent="0.25">
      <c r="A139" s="9"/>
      <c r="B139" s="9"/>
      <c r="C139" s="9"/>
      <c r="D139" s="9"/>
      <c r="E139" s="9"/>
      <c r="F139" s="9"/>
      <c r="G139" s="9"/>
      <c r="H139" s="9"/>
      <c r="I139" s="9"/>
      <c r="J139" s="9"/>
      <c r="K139" s="9"/>
      <c r="L139" s="9"/>
      <c r="M139" s="9"/>
      <c r="N139" s="9"/>
      <c r="O139" s="9"/>
      <c r="P139" s="9"/>
      <c r="Q139" s="9"/>
      <c r="R139" s="9"/>
      <c r="S139" s="11"/>
      <c r="T139" s="11"/>
      <c r="U139" s="11"/>
      <c r="V139" s="11"/>
      <c r="W139" s="11"/>
      <c r="X139" s="11"/>
      <c r="Y139" s="11"/>
      <c r="Z139" s="11"/>
    </row>
    <row r="140" spans="1:26" ht="15.75" customHeight="1" x14ac:dyDescent="0.25">
      <c r="A140" s="9"/>
      <c r="B140" s="9"/>
      <c r="C140" s="9"/>
      <c r="D140" s="9"/>
      <c r="E140" s="9"/>
      <c r="F140" s="9"/>
      <c r="G140" s="9"/>
      <c r="H140" s="9"/>
      <c r="I140" s="9"/>
      <c r="J140" s="9"/>
      <c r="K140" s="9"/>
      <c r="L140" s="9"/>
      <c r="M140" s="9"/>
      <c r="N140" s="9"/>
      <c r="O140" s="9"/>
      <c r="P140" s="9"/>
      <c r="Q140" s="9"/>
      <c r="R140" s="9"/>
      <c r="S140" s="11"/>
      <c r="T140" s="11"/>
      <c r="U140" s="11"/>
      <c r="V140" s="11"/>
      <c r="W140" s="11"/>
      <c r="X140" s="11"/>
      <c r="Y140" s="11"/>
      <c r="Z140" s="11"/>
    </row>
    <row r="141" spans="1:26" ht="15.75" customHeight="1" x14ac:dyDescent="0.25">
      <c r="A141" s="9"/>
      <c r="B141" s="9"/>
      <c r="C141" s="9"/>
      <c r="D141" s="9"/>
      <c r="E141" s="9"/>
      <c r="F141" s="9"/>
      <c r="G141" s="9"/>
      <c r="H141" s="9"/>
      <c r="I141" s="9"/>
      <c r="J141" s="9"/>
      <c r="K141" s="9"/>
      <c r="L141" s="9"/>
      <c r="M141" s="9"/>
      <c r="N141" s="9"/>
      <c r="O141" s="9"/>
      <c r="P141" s="9"/>
      <c r="Q141" s="9"/>
      <c r="R141" s="9"/>
      <c r="S141" s="11"/>
      <c r="T141" s="11"/>
      <c r="U141" s="11"/>
      <c r="V141" s="11"/>
      <c r="W141" s="11"/>
      <c r="X141" s="11"/>
      <c r="Y141" s="11"/>
      <c r="Z141" s="11"/>
    </row>
    <row r="142" spans="1:26" ht="15.75" customHeight="1" x14ac:dyDescent="0.25">
      <c r="A142" s="9"/>
      <c r="B142" s="9"/>
      <c r="C142" s="9"/>
      <c r="D142" s="9"/>
      <c r="E142" s="9"/>
      <c r="F142" s="9"/>
      <c r="G142" s="9"/>
      <c r="H142" s="9"/>
      <c r="I142" s="9"/>
      <c r="J142" s="9"/>
      <c r="K142" s="9"/>
      <c r="L142" s="9"/>
      <c r="M142" s="9"/>
      <c r="N142" s="9"/>
      <c r="O142" s="9"/>
      <c r="P142" s="9"/>
      <c r="Q142" s="9"/>
      <c r="R142" s="9"/>
      <c r="S142" s="11"/>
      <c r="T142" s="11"/>
      <c r="U142" s="11"/>
      <c r="V142" s="11"/>
      <c r="W142" s="11"/>
      <c r="X142" s="11"/>
      <c r="Y142" s="11"/>
      <c r="Z142" s="11"/>
    </row>
    <row r="143" spans="1:26" ht="15.75" customHeight="1" x14ac:dyDescent="0.25">
      <c r="A143" s="9"/>
      <c r="B143" s="9"/>
      <c r="C143" s="9"/>
      <c r="D143" s="9"/>
      <c r="E143" s="9"/>
      <c r="F143" s="9"/>
      <c r="G143" s="9"/>
      <c r="H143" s="9"/>
      <c r="I143" s="9"/>
      <c r="J143" s="9"/>
      <c r="K143" s="9"/>
      <c r="L143" s="9"/>
      <c r="M143" s="9"/>
      <c r="N143" s="9"/>
      <c r="O143" s="9"/>
      <c r="P143" s="9"/>
      <c r="Q143" s="9"/>
      <c r="R143" s="9"/>
      <c r="S143" s="11"/>
      <c r="T143" s="11"/>
      <c r="U143" s="11"/>
      <c r="V143" s="11"/>
      <c r="W143" s="11"/>
      <c r="X143" s="11"/>
      <c r="Y143" s="11"/>
      <c r="Z143" s="11"/>
    </row>
    <row r="144" spans="1:26" ht="15.75" customHeight="1" x14ac:dyDescent="0.25">
      <c r="A144" s="9"/>
      <c r="B144" s="9"/>
      <c r="C144" s="9"/>
      <c r="D144" s="9"/>
      <c r="E144" s="9"/>
      <c r="F144" s="9"/>
      <c r="G144" s="9"/>
      <c r="H144" s="9"/>
      <c r="I144" s="9"/>
      <c r="J144" s="9"/>
      <c r="K144" s="9"/>
      <c r="L144" s="9"/>
      <c r="M144" s="9"/>
      <c r="N144" s="9"/>
      <c r="O144" s="9"/>
      <c r="P144" s="9"/>
      <c r="Q144" s="9"/>
      <c r="R144" s="9"/>
      <c r="S144" s="11"/>
      <c r="T144" s="11"/>
      <c r="U144" s="11"/>
      <c r="V144" s="11"/>
      <c r="W144" s="11"/>
      <c r="X144" s="11"/>
      <c r="Y144" s="11"/>
      <c r="Z144" s="11"/>
    </row>
    <row r="145" spans="1:26" ht="15.75" customHeight="1" x14ac:dyDescent="0.25">
      <c r="A145" s="9"/>
      <c r="B145" s="9"/>
      <c r="C145" s="9"/>
      <c r="D145" s="9"/>
      <c r="E145" s="9"/>
      <c r="F145" s="9"/>
      <c r="G145" s="9"/>
      <c r="H145" s="9"/>
      <c r="I145" s="9"/>
      <c r="J145" s="9"/>
      <c r="K145" s="9"/>
      <c r="L145" s="9"/>
      <c r="M145" s="9"/>
      <c r="N145" s="9"/>
      <c r="O145" s="9"/>
      <c r="P145" s="9"/>
      <c r="Q145" s="9"/>
      <c r="R145" s="9"/>
      <c r="S145" s="11"/>
      <c r="T145" s="11"/>
      <c r="U145" s="11"/>
      <c r="V145" s="11"/>
      <c r="W145" s="11"/>
      <c r="X145" s="11"/>
      <c r="Y145" s="11"/>
      <c r="Z145" s="11"/>
    </row>
    <row r="146" spans="1:26" ht="15.75" customHeight="1" x14ac:dyDescent="0.25">
      <c r="A146" s="9"/>
      <c r="B146" s="9"/>
      <c r="C146" s="9"/>
      <c r="D146" s="9"/>
      <c r="E146" s="9"/>
      <c r="F146" s="9"/>
      <c r="G146" s="9"/>
      <c r="H146" s="9"/>
      <c r="I146" s="9"/>
      <c r="J146" s="9"/>
      <c r="K146" s="9"/>
      <c r="L146" s="9"/>
      <c r="M146" s="9"/>
      <c r="N146" s="9"/>
      <c r="O146" s="9"/>
      <c r="P146" s="9"/>
      <c r="Q146" s="9"/>
      <c r="R146" s="9"/>
      <c r="S146" s="11"/>
      <c r="T146" s="11"/>
      <c r="U146" s="11"/>
      <c r="V146" s="11"/>
      <c r="W146" s="11"/>
      <c r="X146" s="11"/>
      <c r="Y146" s="11"/>
      <c r="Z146" s="11"/>
    </row>
    <row r="147" spans="1:26" ht="15.75" customHeight="1" x14ac:dyDescent="0.25">
      <c r="A147" s="9"/>
      <c r="B147" s="9"/>
      <c r="C147" s="9"/>
      <c r="D147" s="9"/>
      <c r="E147" s="9"/>
      <c r="F147" s="9"/>
      <c r="G147" s="9"/>
      <c r="H147" s="9"/>
      <c r="I147" s="9"/>
      <c r="J147" s="9"/>
      <c r="K147" s="9"/>
      <c r="L147" s="9"/>
      <c r="M147" s="9"/>
      <c r="N147" s="9"/>
      <c r="O147" s="9"/>
      <c r="P147" s="9"/>
      <c r="Q147" s="9"/>
      <c r="R147" s="9"/>
      <c r="S147" s="11"/>
      <c r="T147" s="11"/>
      <c r="U147" s="11"/>
      <c r="V147" s="11"/>
      <c r="W147" s="11"/>
      <c r="X147" s="11"/>
      <c r="Y147" s="11"/>
      <c r="Z147" s="11"/>
    </row>
    <row r="148" spans="1:26" ht="15.75" customHeight="1" x14ac:dyDescent="0.25">
      <c r="A148" s="9"/>
      <c r="B148" s="9"/>
      <c r="C148" s="9"/>
      <c r="D148" s="9"/>
      <c r="E148" s="9"/>
      <c r="F148" s="9"/>
      <c r="G148" s="9"/>
      <c r="H148" s="9"/>
      <c r="I148" s="9"/>
      <c r="J148" s="9"/>
      <c r="K148" s="9"/>
      <c r="L148" s="9"/>
      <c r="M148" s="9"/>
      <c r="N148" s="9"/>
      <c r="O148" s="9"/>
      <c r="P148" s="9"/>
      <c r="Q148" s="9"/>
      <c r="R148" s="9"/>
      <c r="S148" s="11"/>
      <c r="T148" s="11"/>
      <c r="U148" s="11"/>
      <c r="V148" s="11"/>
      <c r="W148" s="11"/>
      <c r="X148" s="11"/>
      <c r="Y148" s="11"/>
      <c r="Z148" s="11"/>
    </row>
    <row r="149" spans="1:26" ht="15.75" customHeight="1" x14ac:dyDescent="0.25">
      <c r="A149" s="9"/>
      <c r="B149" s="9"/>
      <c r="C149" s="9"/>
      <c r="D149" s="9"/>
      <c r="E149" s="9"/>
      <c r="F149" s="9"/>
      <c r="G149" s="9"/>
      <c r="H149" s="9"/>
      <c r="I149" s="9"/>
      <c r="J149" s="9"/>
      <c r="K149" s="9"/>
      <c r="L149" s="9"/>
      <c r="M149" s="9"/>
      <c r="N149" s="9"/>
      <c r="O149" s="9"/>
      <c r="P149" s="9"/>
      <c r="Q149" s="9"/>
      <c r="R149" s="9"/>
      <c r="S149" s="11"/>
      <c r="T149" s="11"/>
      <c r="U149" s="11"/>
      <c r="V149" s="11"/>
      <c r="W149" s="11"/>
      <c r="X149" s="11"/>
      <c r="Y149" s="11"/>
      <c r="Z149" s="11"/>
    </row>
    <row r="150" spans="1:26" ht="15.75" customHeight="1" x14ac:dyDescent="0.25">
      <c r="A150" s="9"/>
      <c r="B150" s="9"/>
      <c r="C150" s="9"/>
      <c r="D150" s="9"/>
      <c r="E150" s="9"/>
      <c r="F150" s="9"/>
      <c r="G150" s="9"/>
      <c r="H150" s="9"/>
      <c r="I150" s="9"/>
      <c r="J150" s="9"/>
      <c r="K150" s="9"/>
      <c r="L150" s="9"/>
      <c r="M150" s="9"/>
      <c r="N150" s="9"/>
      <c r="O150" s="9"/>
      <c r="P150" s="9"/>
      <c r="Q150" s="9"/>
      <c r="R150" s="9"/>
      <c r="S150" s="11"/>
      <c r="T150" s="11"/>
      <c r="U150" s="11"/>
      <c r="V150" s="11"/>
      <c r="W150" s="11"/>
      <c r="X150" s="11"/>
      <c r="Y150" s="11"/>
      <c r="Z150" s="11"/>
    </row>
    <row r="151" spans="1:26" ht="15.75" customHeight="1" x14ac:dyDescent="0.25">
      <c r="A151" s="9"/>
      <c r="B151" s="9"/>
      <c r="C151" s="9"/>
      <c r="D151" s="9"/>
      <c r="E151" s="9"/>
      <c r="F151" s="9"/>
      <c r="G151" s="9"/>
      <c r="H151" s="9"/>
      <c r="I151" s="9"/>
      <c r="J151" s="9"/>
      <c r="K151" s="9"/>
      <c r="L151" s="9"/>
      <c r="M151" s="9"/>
      <c r="N151" s="9"/>
      <c r="O151" s="9"/>
      <c r="P151" s="9"/>
      <c r="Q151" s="9"/>
      <c r="R151" s="9"/>
      <c r="S151" s="11"/>
      <c r="T151" s="11"/>
      <c r="U151" s="11"/>
      <c r="V151" s="11"/>
      <c r="W151" s="11"/>
      <c r="X151" s="11"/>
      <c r="Y151" s="11"/>
      <c r="Z151" s="11"/>
    </row>
    <row r="152" spans="1:26" ht="15.75" customHeight="1" x14ac:dyDescent="0.25">
      <c r="A152" s="9"/>
      <c r="B152" s="9"/>
      <c r="C152" s="9"/>
      <c r="D152" s="9"/>
      <c r="E152" s="9"/>
      <c r="F152" s="9"/>
      <c r="G152" s="9"/>
      <c r="H152" s="9"/>
      <c r="I152" s="9"/>
      <c r="J152" s="9"/>
      <c r="K152" s="9"/>
      <c r="L152" s="9"/>
      <c r="M152" s="9"/>
      <c r="N152" s="9"/>
      <c r="O152" s="9"/>
      <c r="P152" s="9"/>
      <c r="Q152" s="9"/>
      <c r="R152" s="9"/>
      <c r="S152" s="11"/>
      <c r="T152" s="11"/>
      <c r="U152" s="11"/>
      <c r="V152" s="11"/>
      <c r="W152" s="11"/>
      <c r="X152" s="11"/>
      <c r="Y152" s="11"/>
      <c r="Z152" s="11"/>
    </row>
    <row r="153" spans="1:26" ht="15.75" customHeight="1" x14ac:dyDescent="0.25">
      <c r="A153" s="9"/>
      <c r="B153" s="9"/>
      <c r="C153" s="9"/>
      <c r="D153" s="9"/>
      <c r="E153" s="9"/>
      <c r="F153" s="9"/>
      <c r="G153" s="9"/>
      <c r="H153" s="9"/>
      <c r="I153" s="9"/>
      <c r="J153" s="9"/>
      <c r="K153" s="9"/>
      <c r="L153" s="9"/>
      <c r="M153" s="9"/>
      <c r="N153" s="9"/>
      <c r="O153" s="9"/>
      <c r="P153" s="9"/>
      <c r="Q153" s="9"/>
      <c r="R153" s="9"/>
      <c r="S153" s="11"/>
      <c r="T153" s="11"/>
      <c r="U153" s="11"/>
      <c r="V153" s="11"/>
      <c r="W153" s="11"/>
      <c r="X153" s="11"/>
      <c r="Y153" s="11"/>
      <c r="Z153" s="11"/>
    </row>
    <row r="154" spans="1:26" ht="15.75" customHeight="1" x14ac:dyDescent="0.25">
      <c r="A154" s="9"/>
      <c r="B154" s="9"/>
      <c r="C154" s="9"/>
      <c r="D154" s="9"/>
      <c r="E154" s="9"/>
      <c r="F154" s="9"/>
      <c r="G154" s="9"/>
      <c r="H154" s="9"/>
      <c r="I154" s="9"/>
      <c r="J154" s="9"/>
      <c r="K154" s="9"/>
      <c r="L154" s="9"/>
      <c r="M154" s="9"/>
      <c r="N154" s="9"/>
      <c r="O154" s="9"/>
      <c r="P154" s="9"/>
      <c r="Q154" s="9"/>
      <c r="R154" s="9"/>
      <c r="S154" s="11"/>
      <c r="T154" s="11"/>
      <c r="U154" s="11"/>
      <c r="V154" s="11"/>
      <c r="W154" s="11"/>
      <c r="X154" s="11"/>
      <c r="Y154" s="11"/>
      <c r="Z154" s="11"/>
    </row>
    <row r="155" spans="1:26" ht="15.75" customHeight="1" x14ac:dyDescent="0.25">
      <c r="A155" s="9"/>
      <c r="B155" s="9"/>
      <c r="C155" s="9"/>
      <c r="D155" s="9"/>
      <c r="E155" s="9"/>
      <c r="F155" s="9"/>
      <c r="G155" s="9"/>
      <c r="H155" s="9"/>
      <c r="I155" s="9"/>
      <c r="J155" s="9"/>
      <c r="K155" s="9"/>
      <c r="L155" s="9"/>
      <c r="M155" s="9"/>
      <c r="N155" s="9"/>
      <c r="O155" s="9"/>
      <c r="P155" s="9"/>
      <c r="Q155" s="9"/>
      <c r="R155" s="9"/>
      <c r="S155" s="11"/>
      <c r="T155" s="11"/>
      <c r="U155" s="11"/>
      <c r="V155" s="11"/>
      <c r="W155" s="11"/>
      <c r="X155" s="11"/>
      <c r="Y155" s="11"/>
      <c r="Z155" s="11"/>
    </row>
    <row r="156" spans="1:26" ht="15.75" customHeight="1" x14ac:dyDescent="0.25">
      <c r="A156" s="9"/>
      <c r="B156" s="9"/>
      <c r="C156" s="9"/>
      <c r="D156" s="9"/>
      <c r="E156" s="9"/>
      <c r="F156" s="9"/>
      <c r="G156" s="9"/>
      <c r="H156" s="9"/>
      <c r="I156" s="9"/>
      <c r="J156" s="9"/>
      <c r="K156" s="9"/>
      <c r="L156" s="9"/>
      <c r="M156" s="9"/>
      <c r="N156" s="9"/>
      <c r="O156" s="9"/>
      <c r="P156" s="9"/>
      <c r="Q156" s="9"/>
      <c r="R156" s="9"/>
      <c r="S156" s="11"/>
      <c r="T156" s="11"/>
      <c r="U156" s="11"/>
      <c r="V156" s="11"/>
      <c r="W156" s="11"/>
      <c r="X156" s="11"/>
      <c r="Y156" s="11"/>
      <c r="Z156" s="11"/>
    </row>
    <row r="157" spans="1:26" ht="15.75" customHeight="1" x14ac:dyDescent="0.25">
      <c r="A157" s="9"/>
      <c r="B157" s="9"/>
      <c r="C157" s="9"/>
      <c r="D157" s="9"/>
      <c r="E157" s="9"/>
      <c r="F157" s="9"/>
      <c r="G157" s="9"/>
      <c r="H157" s="9"/>
      <c r="I157" s="9"/>
      <c r="J157" s="9"/>
      <c r="K157" s="9"/>
      <c r="L157" s="9"/>
      <c r="M157" s="9"/>
      <c r="N157" s="9"/>
      <c r="O157" s="9"/>
      <c r="P157" s="9"/>
      <c r="Q157" s="9"/>
      <c r="R157" s="9"/>
      <c r="S157" s="11"/>
      <c r="T157" s="11"/>
      <c r="U157" s="11"/>
      <c r="V157" s="11"/>
      <c r="W157" s="11"/>
      <c r="X157" s="11"/>
      <c r="Y157" s="11"/>
      <c r="Z157" s="11"/>
    </row>
    <row r="158" spans="1:26" ht="15.75" customHeight="1" x14ac:dyDescent="0.25">
      <c r="A158" s="9"/>
      <c r="B158" s="9"/>
      <c r="C158" s="9"/>
      <c r="D158" s="9"/>
      <c r="E158" s="9"/>
      <c r="F158" s="9"/>
      <c r="G158" s="9"/>
      <c r="H158" s="9"/>
      <c r="I158" s="9"/>
      <c r="J158" s="9"/>
      <c r="K158" s="9"/>
      <c r="L158" s="9"/>
      <c r="M158" s="9"/>
      <c r="N158" s="9"/>
      <c r="O158" s="9"/>
      <c r="P158" s="9"/>
      <c r="Q158" s="9"/>
      <c r="R158" s="9"/>
      <c r="S158" s="11"/>
      <c r="T158" s="11"/>
      <c r="U158" s="11"/>
      <c r="V158" s="11"/>
      <c r="W158" s="11"/>
      <c r="X158" s="11"/>
      <c r="Y158" s="11"/>
      <c r="Z158" s="11"/>
    </row>
    <row r="159" spans="1:26" ht="15.75" customHeight="1" x14ac:dyDescent="0.25">
      <c r="A159" s="9"/>
      <c r="B159" s="9"/>
      <c r="C159" s="9"/>
      <c r="D159" s="9"/>
      <c r="E159" s="9"/>
      <c r="F159" s="9"/>
      <c r="G159" s="9"/>
      <c r="H159" s="9"/>
      <c r="I159" s="9"/>
      <c r="J159" s="9"/>
      <c r="K159" s="9"/>
      <c r="L159" s="9"/>
      <c r="M159" s="9"/>
      <c r="N159" s="9"/>
      <c r="O159" s="9"/>
      <c r="P159" s="9"/>
      <c r="Q159" s="9"/>
      <c r="R159" s="9"/>
      <c r="S159" s="11"/>
      <c r="T159" s="11"/>
      <c r="U159" s="11"/>
      <c r="V159" s="11"/>
      <c r="W159" s="11"/>
      <c r="X159" s="11"/>
      <c r="Y159" s="11"/>
      <c r="Z159" s="11"/>
    </row>
    <row r="160" spans="1:26" ht="15.75" customHeight="1" x14ac:dyDescent="0.25">
      <c r="A160" s="9"/>
      <c r="B160" s="9"/>
      <c r="C160" s="9"/>
      <c r="D160" s="9"/>
      <c r="E160" s="9"/>
      <c r="F160" s="9"/>
      <c r="G160" s="9"/>
      <c r="H160" s="9"/>
      <c r="I160" s="9"/>
      <c r="J160" s="9"/>
      <c r="K160" s="9"/>
      <c r="L160" s="9"/>
      <c r="M160" s="9"/>
      <c r="N160" s="9"/>
      <c r="O160" s="9"/>
      <c r="P160" s="9"/>
      <c r="Q160" s="9"/>
      <c r="R160" s="9"/>
      <c r="S160" s="11"/>
      <c r="T160" s="11"/>
      <c r="U160" s="11"/>
      <c r="V160" s="11"/>
      <c r="W160" s="11"/>
      <c r="X160" s="11"/>
      <c r="Y160" s="11"/>
      <c r="Z160" s="11"/>
    </row>
    <row r="161" spans="1:26" ht="15.75" customHeight="1" x14ac:dyDescent="0.25">
      <c r="A161" s="9"/>
      <c r="B161" s="9"/>
      <c r="C161" s="9"/>
      <c r="D161" s="9"/>
      <c r="E161" s="9"/>
      <c r="F161" s="9"/>
      <c r="G161" s="9"/>
      <c r="H161" s="9"/>
      <c r="I161" s="9"/>
      <c r="J161" s="9"/>
      <c r="K161" s="9"/>
      <c r="L161" s="9"/>
      <c r="M161" s="9"/>
      <c r="N161" s="9"/>
      <c r="O161" s="9"/>
      <c r="P161" s="9"/>
      <c r="Q161" s="9"/>
      <c r="R161" s="9"/>
      <c r="S161" s="11"/>
      <c r="T161" s="11"/>
      <c r="U161" s="11"/>
      <c r="V161" s="11"/>
      <c r="W161" s="11"/>
      <c r="X161" s="11"/>
      <c r="Y161" s="11"/>
      <c r="Z161" s="11"/>
    </row>
    <row r="162" spans="1:26" ht="15.75" customHeight="1" x14ac:dyDescent="0.25">
      <c r="A162" s="9"/>
      <c r="B162" s="9"/>
      <c r="C162" s="9"/>
      <c r="D162" s="9"/>
      <c r="E162" s="9"/>
      <c r="F162" s="9"/>
      <c r="G162" s="9"/>
      <c r="H162" s="9"/>
      <c r="I162" s="9"/>
      <c r="J162" s="9"/>
      <c r="K162" s="9"/>
      <c r="L162" s="9"/>
      <c r="M162" s="9"/>
      <c r="N162" s="9"/>
      <c r="O162" s="9"/>
      <c r="P162" s="9"/>
      <c r="Q162" s="9"/>
      <c r="R162" s="9"/>
      <c r="S162" s="11"/>
      <c r="T162" s="11"/>
      <c r="U162" s="11"/>
      <c r="V162" s="11"/>
      <c r="W162" s="11"/>
      <c r="X162" s="11"/>
      <c r="Y162" s="11"/>
      <c r="Z162" s="11"/>
    </row>
    <row r="163" spans="1:26" ht="15.75" customHeight="1" x14ac:dyDescent="0.25">
      <c r="A163" s="9"/>
      <c r="B163" s="9"/>
      <c r="C163" s="9"/>
      <c r="D163" s="9"/>
      <c r="E163" s="9"/>
      <c r="F163" s="9"/>
      <c r="G163" s="9"/>
      <c r="H163" s="9"/>
      <c r="I163" s="9"/>
      <c r="J163" s="9"/>
      <c r="K163" s="9"/>
      <c r="L163" s="9"/>
      <c r="M163" s="9"/>
      <c r="N163" s="9"/>
      <c r="O163" s="9"/>
      <c r="P163" s="9"/>
      <c r="Q163" s="9"/>
      <c r="R163" s="9"/>
      <c r="S163" s="11"/>
      <c r="T163" s="11"/>
      <c r="U163" s="11"/>
      <c r="V163" s="11"/>
      <c r="W163" s="11"/>
      <c r="X163" s="11"/>
      <c r="Y163" s="11"/>
      <c r="Z163" s="11"/>
    </row>
    <row r="164" spans="1:26" ht="15.75" customHeight="1" x14ac:dyDescent="0.25">
      <c r="A164" s="9"/>
      <c r="B164" s="9"/>
      <c r="C164" s="9"/>
      <c r="D164" s="9"/>
      <c r="E164" s="9"/>
      <c r="F164" s="9"/>
      <c r="G164" s="9"/>
      <c r="H164" s="9"/>
      <c r="I164" s="9"/>
      <c r="J164" s="9"/>
      <c r="K164" s="9"/>
      <c r="L164" s="9"/>
      <c r="M164" s="9"/>
      <c r="N164" s="9"/>
      <c r="O164" s="9"/>
      <c r="P164" s="9"/>
      <c r="Q164" s="9"/>
      <c r="R164" s="9"/>
      <c r="S164" s="11"/>
      <c r="T164" s="11"/>
      <c r="U164" s="11"/>
      <c r="V164" s="11"/>
      <c r="W164" s="11"/>
      <c r="X164" s="11"/>
      <c r="Y164" s="11"/>
      <c r="Z164" s="11"/>
    </row>
    <row r="165" spans="1:26" ht="15.75" customHeight="1" x14ac:dyDescent="0.25">
      <c r="A165" s="9"/>
      <c r="B165" s="9"/>
      <c r="C165" s="9"/>
      <c r="D165" s="9"/>
      <c r="E165" s="9"/>
      <c r="F165" s="9"/>
      <c r="G165" s="9"/>
      <c r="H165" s="9"/>
      <c r="I165" s="9"/>
      <c r="J165" s="9"/>
      <c r="K165" s="9"/>
      <c r="L165" s="9"/>
      <c r="M165" s="9"/>
      <c r="N165" s="9"/>
      <c r="O165" s="9"/>
      <c r="P165" s="9"/>
      <c r="Q165" s="9"/>
      <c r="R165" s="9"/>
      <c r="S165" s="11"/>
      <c r="T165" s="11"/>
      <c r="U165" s="11"/>
      <c r="V165" s="11"/>
      <c r="W165" s="11"/>
      <c r="X165" s="11"/>
      <c r="Y165" s="11"/>
      <c r="Z165" s="11"/>
    </row>
    <row r="166" spans="1:26" ht="15.75" customHeight="1" x14ac:dyDescent="0.25">
      <c r="A166" s="9"/>
      <c r="B166" s="9"/>
      <c r="C166" s="9"/>
      <c r="D166" s="9"/>
      <c r="E166" s="9"/>
      <c r="F166" s="9"/>
      <c r="G166" s="9"/>
      <c r="H166" s="9"/>
      <c r="I166" s="9"/>
      <c r="J166" s="9"/>
      <c r="K166" s="9"/>
      <c r="L166" s="9"/>
      <c r="M166" s="9"/>
      <c r="N166" s="9"/>
      <c r="O166" s="9"/>
      <c r="P166" s="9"/>
      <c r="Q166" s="9"/>
      <c r="R166" s="9"/>
      <c r="S166" s="11"/>
      <c r="T166" s="11"/>
      <c r="U166" s="11"/>
      <c r="V166" s="11"/>
      <c r="W166" s="11"/>
      <c r="X166" s="11"/>
      <c r="Y166" s="11"/>
      <c r="Z166" s="11"/>
    </row>
    <row r="167" spans="1:26" ht="15.75" customHeight="1" x14ac:dyDescent="0.25">
      <c r="A167" s="9"/>
      <c r="B167" s="9"/>
      <c r="C167" s="9"/>
      <c r="D167" s="9"/>
      <c r="E167" s="9"/>
      <c r="F167" s="9"/>
      <c r="G167" s="9"/>
      <c r="H167" s="9"/>
      <c r="I167" s="9"/>
      <c r="J167" s="9"/>
      <c r="K167" s="9"/>
      <c r="L167" s="9"/>
      <c r="M167" s="9"/>
      <c r="N167" s="9"/>
      <c r="O167" s="9"/>
      <c r="P167" s="9"/>
      <c r="Q167" s="9"/>
      <c r="R167" s="9"/>
      <c r="S167" s="11"/>
      <c r="T167" s="11"/>
      <c r="U167" s="11"/>
      <c r="V167" s="11"/>
      <c r="W167" s="11"/>
      <c r="X167" s="11"/>
      <c r="Y167" s="11"/>
      <c r="Z167" s="11"/>
    </row>
    <row r="168" spans="1:26" ht="15.75" customHeight="1" x14ac:dyDescent="0.25">
      <c r="A168" s="9"/>
      <c r="B168" s="9"/>
      <c r="C168" s="9"/>
      <c r="D168" s="9"/>
      <c r="E168" s="9"/>
      <c r="F168" s="9"/>
      <c r="G168" s="9"/>
      <c r="H168" s="9"/>
      <c r="I168" s="9"/>
      <c r="J168" s="9"/>
      <c r="K168" s="9"/>
      <c r="L168" s="9"/>
      <c r="M168" s="9"/>
      <c r="N168" s="9"/>
      <c r="O168" s="9"/>
      <c r="P168" s="9"/>
      <c r="Q168" s="9"/>
      <c r="R168" s="9"/>
      <c r="S168" s="11"/>
      <c r="T168" s="11"/>
      <c r="U168" s="11"/>
      <c r="V168" s="11"/>
      <c r="W168" s="11"/>
      <c r="X168" s="11"/>
      <c r="Y168" s="11"/>
      <c r="Z168" s="11"/>
    </row>
    <row r="169" spans="1:26" ht="15.75" customHeight="1" x14ac:dyDescent="0.25">
      <c r="A169" s="9"/>
      <c r="B169" s="9"/>
      <c r="C169" s="9"/>
      <c r="D169" s="9"/>
      <c r="E169" s="9"/>
      <c r="F169" s="9"/>
      <c r="G169" s="9"/>
      <c r="H169" s="9"/>
      <c r="I169" s="9"/>
      <c r="J169" s="9"/>
      <c r="K169" s="9"/>
      <c r="L169" s="9"/>
      <c r="M169" s="9"/>
      <c r="N169" s="9"/>
      <c r="O169" s="9"/>
      <c r="P169" s="9"/>
      <c r="Q169" s="9"/>
      <c r="R169" s="9"/>
      <c r="S169" s="11"/>
      <c r="T169" s="11"/>
      <c r="U169" s="11"/>
      <c r="V169" s="11"/>
      <c r="W169" s="11"/>
      <c r="X169" s="11"/>
      <c r="Y169" s="11"/>
      <c r="Z169" s="11"/>
    </row>
    <row r="170" spans="1:26" ht="15.75" customHeight="1" x14ac:dyDescent="0.25">
      <c r="A170" s="9"/>
      <c r="B170" s="9"/>
      <c r="C170" s="9"/>
      <c r="D170" s="9"/>
      <c r="E170" s="9"/>
      <c r="F170" s="9"/>
      <c r="G170" s="9"/>
      <c r="H170" s="9"/>
      <c r="I170" s="9"/>
      <c r="J170" s="9"/>
      <c r="K170" s="9"/>
      <c r="L170" s="9"/>
      <c r="M170" s="9"/>
      <c r="N170" s="9"/>
      <c r="O170" s="9"/>
      <c r="P170" s="9"/>
      <c r="Q170" s="9"/>
      <c r="R170" s="9"/>
      <c r="S170" s="11"/>
      <c r="T170" s="11"/>
      <c r="U170" s="11"/>
      <c r="V170" s="11"/>
      <c r="W170" s="11"/>
      <c r="X170" s="11"/>
      <c r="Y170" s="11"/>
      <c r="Z170" s="11"/>
    </row>
    <row r="171" spans="1:26" ht="15.75" customHeight="1" x14ac:dyDescent="0.25">
      <c r="A171" s="9"/>
      <c r="B171" s="9"/>
      <c r="C171" s="9"/>
      <c r="D171" s="9"/>
      <c r="E171" s="9"/>
      <c r="F171" s="9"/>
      <c r="G171" s="9"/>
      <c r="H171" s="9"/>
      <c r="I171" s="9"/>
      <c r="J171" s="9"/>
      <c r="K171" s="9"/>
      <c r="L171" s="9"/>
      <c r="M171" s="9"/>
      <c r="N171" s="9"/>
      <c r="O171" s="9"/>
      <c r="P171" s="9"/>
      <c r="Q171" s="9"/>
      <c r="R171" s="9"/>
      <c r="S171" s="11"/>
      <c r="T171" s="11"/>
      <c r="U171" s="11"/>
      <c r="V171" s="11"/>
      <c r="W171" s="11"/>
      <c r="X171" s="11"/>
      <c r="Y171" s="11"/>
      <c r="Z171" s="11"/>
    </row>
    <row r="172" spans="1:26" ht="15.75" customHeight="1" x14ac:dyDescent="0.25">
      <c r="A172" s="9"/>
      <c r="B172" s="9"/>
      <c r="C172" s="9"/>
      <c r="D172" s="9"/>
      <c r="E172" s="9"/>
      <c r="F172" s="9"/>
      <c r="G172" s="9"/>
      <c r="H172" s="9"/>
      <c r="I172" s="9"/>
      <c r="J172" s="9"/>
      <c r="K172" s="9"/>
      <c r="L172" s="9"/>
      <c r="M172" s="9"/>
      <c r="N172" s="9"/>
      <c r="O172" s="9"/>
      <c r="P172" s="9"/>
      <c r="Q172" s="9"/>
      <c r="R172" s="9"/>
      <c r="S172" s="11"/>
      <c r="T172" s="11"/>
      <c r="U172" s="11"/>
      <c r="V172" s="11"/>
      <c r="W172" s="11"/>
      <c r="X172" s="11"/>
      <c r="Y172" s="11"/>
      <c r="Z172" s="11"/>
    </row>
    <row r="173" spans="1:26" ht="15.75" customHeight="1" x14ac:dyDescent="0.25">
      <c r="A173" s="9"/>
      <c r="B173" s="9"/>
      <c r="C173" s="9"/>
      <c r="D173" s="9"/>
      <c r="E173" s="9"/>
      <c r="F173" s="9"/>
      <c r="G173" s="9"/>
      <c r="H173" s="9"/>
      <c r="I173" s="9"/>
      <c r="J173" s="9"/>
      <c r="K173" s="9"/>
      <c r="L173" s="9"/>
      <c r="M173" s="9"/>
      <c r="N173" s="9"/>
      <c r="O173" s="9"/>
      <c r="P173" s="9"/>
      <c r="Q173" s="9"/>
      <c r="R173" s="9"/>
      <c r="S173" s="11"/>
      <c r="T173" s="11"/>
      <c r="U173" s="11"/>
      <c r="V173" s="11"/>
      <c r="W173" s="11"/>
      <c r="X173" s="11"/>
      <c r="Y173" s="11"/>
      <c r="Z173" s="11"/>
    </row>
    <row r="174" spans="1:26" ht="15.75" customHeight="1" x14ac:dyDescent="0.25">
      <c r="A174" s="9"/>
      <c r="B174" s="9"/>
      <c r="C174" s="9"/>
      <c r="D174" s="9"/>
      <c r="E174" s="9"/>
      <c r="F174" s="9"/>
      <c r="G174" s="9"/>
      <c r="H174" s="9"/>
      <c r="I174" s="9"/>
      <c r="J174" s="9"/>
      <c r="K174" s="9"/>
      <c r="L174" s="9"/>
      <c r="M174" s="9"/>
      <c r="N174" s="9"/>
      <c r="O174" s="9"/>
      <c r="P174" s="9"/>
      <c r="Q174" s="9"/>
      <c r="R174" s="9"/>
      <c r="S174" s="11"/>
      <c r="T174" s="11"/>
      <c r="U174" s="11"/>
      <c r="V174" s="11"/>
      <c r="W174" s="11"/>
      <c r="X174" s="11"/>
      <c r="Y174" s="11"/>
      <c r="Z174" s="11"/>
    </row>
    <row r="175" spans="1:26" ht="15.75" customHeight="1" x14ac:dyDescent="0.25">
      <c r="A175" s="9"/>
      <c r="B175" s="9"/>
      <c r="C175" s="9"/>
      <c r="D175" s="9"/>
      <c r="E175" s="9"/>
      <c r="F175" s="9"/>
      <c r="G175" s="9"/>
      <c r="H175" s="9"/>
      <c r="I175" s="9"/>
      <c r="J175" s="9"/>
      <c r="K175" s="9"/>
      <c r="L175" s="9"/>
      <c r="M175" s="9"/>
      <c r="N175" s="9"/>
      <c r="O175" s="9"/>
      <c r="P175" s="9"/>
      <c r="Q175" s="9"/>
      <c r="R175" s="9"/>
      <c r="S175" s="11"/>
      <c r="T175" s="11"/>
      <c r="U175" s="11"/>
      <c r="V175" s="11"/>
      <c r="W175" s="11"/>
      <c r="X175" s="11"/>
      <c r="Y175" s="11"/>
      <c r="Z175" s="11"/>
    </row>
    <row r="176" spans="1:26" ht="15.75" customHeight="1" x14ac:dyDescent="0.25">
      <c r="A176" s="9"/>
      <c r="B176" s="9"/>
      <c r="C176" s="9"/>
      <c r="D176" s="9"/>
      <c r="E176" s="9"/>
      <c r="F176" s="9"/>
      <c r="G176" s="9"/>
      <c r="H176" s="9"/>
      <c r="I176" s="9"/>
      <c r="J176" s="9"/>
      <c r="K176" s="9"/>
      <c r="L176" s="9"/>
      <c r="M176" s="9"/>
      <c r="N176" s="9"/>
      <c r="O176" s="9"/>
      <c r="P176" s="9"/>
      <c r="Q176" s="9"/>
      <c r="R176" s="9"/>
      <c r="S176" s="11"/>
      <c r="T176" s="11"/>
      <c r="U176" s="11"/>
      <c r="V176" s="11"/>
      <c r="W176" s="11"/>
      <c r="X176" s="11"/>
      <c r="Y176" s="11"/>
      <c r="Z176" s="11"/>
    </row>
    <row r="177" spans="1:26" ht="15.75" customHeight="1" x14ac:dyDescent="0.25">
      <c r="A177" s="9"/>
      <c r="B177" s="9"/>
      <c r="C177" s="9"/>
      <c r="D177" s="9"/>
      <c r="E177" s="9"/>
      <c r="F177" s="9"/>
      <c r="G177" s="9"/>
      <c r="H177" s="9"/>
      <c r="I177" s="9"/>
      <c r="J177" s="9"/>
      <c r="K177" s="9"/>
      <c r="L177" s="9"/>
      <c r="M177" s="9"/>
      <c r="N177" s="9"/>
      <c r="O177" s="9"/>
      <c r="P177" s="9"/>
      <c r="Q177" s="9"/>
      <c r="R177" s="9"/>
      <c r="S177" s="11"/>
      <c r="T177" s="11"/>
      <c r="U177" s="11"/>
      <c r="V177" s="11"/>
      <c r="W177" s="11"/>
      <c r="X177" s="11"/>
      <c r="Y177" s="11"/>
      <c r="Z177" s="11"/>
    </row>
    <row r="178" spans="1:26" ht="15.75" customHeight="1" x14ac:dyDescent="0.25">
      <c r="A178" s="9"/>
      <c r="B178" s="9"/>
      <c r="C178" s="9"/>
      <c r="D178" s="9"/>
      <c r="E178" s="9"/>
      <c r="F178" s="9"/>
      <c r="G178" s="9"/>
      <c r="H178" s="9"/>
      <c r="I178" s="9"/>
      <c r="J178" s="9"/>
      <c r="K178" s="9"/>
      <c r="L178" s="9"/>
      <c r="M178" s="9"/>
      <c r="N178" s="9"/>
      <c r="O178" s="9"/>
      <c r="P178" s="9"/>
      <c r="Q178" s="9"/>
      <c r="R178" s="9"/>
      <c r="S178" s="11"/>
      <c r="T178" s="11"/>
      <c r="U178" s="11"/>
      <c r="V178" s="11"/>
      <c r="W178" s="11"/>
      <c r="X178" s="11"/>
      <c r="Y178" s="11"/>
      <c r="Z178" s="11"/>
    </row>
    <row r="179" spans="1:26" ht="15.75" customHeight="1" x14ac:dyDescent="0.25">
      <c r="A179" s="9"/>
      <c r="B179" s="9"/>
      <c r="C179" s="9"/>
      <c r="D179" s="9"/>
      <c r="E179" s="9"/>
      <c r="F179" s="9"/>
      <c r="G179" s="9"/>
      <c r="H179" s="9"/>
      <c r="I179" s="9"/>
      <c r="J179" s="9"/>
      <c r="K179" s="9"/>
      <c r="L179" s="9"/>
      <c r="M179" s="9"/>
      <c r="N179" s="9"/>
      <c r="O179" s="9"/>
      <c r="P179" s="9"/>
      <c r="Q179" s="9"/>
      <c r="R179" s="9"/>
      <c r="S179" s="11"/>
      <c r="T179" s="11"/>
      <c r="U179" s="11"/>
      <c r="V179" s="11"/>
      <c r="W179" s="11"/>
      <c r="X179" s="11"/>
      <c r="Y179" s="11"/>
      <c r="Z179" s="11"/>
    </row>
    <row r="180" spans="1:26" ht="15.75" customHeight="1" x14ac:dyDescent="0.25">
      <c r="A180" s="9"/>
      <c r="B180" s="9"/>
      <c r="C180" s="9"/>
      <c r="D180" s="9"/>
      <c r="E180" s="9"/>
      <c r="F180" s="9"/>
      <c r="G180" s="9"/>
      <c r="H180" s="9"/>
      <c r="I180" s="9"/>
      <c r="J180" s="9"/>
      <c r="K180" s="9"/>
      <c r="L180" s="9"/>
      <c r="M180" s="9"/>
      <c r="N180" s="9"/>
      <c r="O180" s="9"/>
      <c r="P180" s="9"/>
      <c r="Q180" s="9"/>
      <c r="R180" s="9"/>
      <c r="S180" s="11"/>
      <c r="T180" s="11"/>
      <c r="U180" s="11"/>
      <c r="V180" s="11"/>
      <c r="W180" s="11"/>
      <c r="X180" s="11"/>
      <c r="Y180" s="11"/>
      <c r="Z180" s="11"/>
    </row>
    <row r="181" spans="1:26" ht="15.75" customHeight="1" x14ac:dyDescent="0.25">
      <c r="A181" s="9"/>
      <c r="B181" s="9"/>
      <c r="C181" s="9"/>
      <c r="D181" s="9"/>
      <c r="E181" s="9"/>
      <c r="F181" s="9"/>
      <c r="G181" s="9"/>
      <c r="H181" s="9"/>
      <c r="I181" s="9"/>
      <c r="J181" s="9"/>
      <c r="K181" s="9"/>
      <c r="L181" s="9"/>
      <c r="M181" s="9"/>
      <c r="N181" s="9"/>
      <c r="O181" s="9"/>
      <c r="P181" s="9"/>
      <c r="Q181" s="9"/>
      <c r="R181" s="9"/>
      <c r="S181" s="11"/>
      <c r="T181" s="11"/>
      <c r="U181" s="11"/>
      <c r="V181" s="11"/>
      <c r="W181" s="11"/>
      <c r="X181" s="11"/>
      <c r="Y181" s="11"/>
      <c r="Z181" s="11"/>
    </row>
    <row r="182" spans="1:26" ht="15.75" customHeight="1" x14ac:dyDescent="0.25">
      <c r="A182" s="9"/>
      <c r="B182" s="9"/>
      <c r="C182" s="9"/>
      <c r="D182" s="9"/>
      <c r="E182" s="9"/>
      <c r="F182" s="9"/>
      <c r="G182" s="9"/>
      <c r="H182" s="9"/>
      <c r="I182" s="9"/>
      <c r="J182" s="9"/>
      <c r="K182" s="9"/>
      <c r="L182" s="9"/>
      <c r="M182" s="9"/>
      <c r="N182" s="9"/>
      <c r="O182" s="9"/>
      <c r="P182" s="9"/>
      <c r="Q182" s="9"/>
      <c r="R182" s="9"/>
      <c r="S182" s="11"/>
      <c r="T182" s="11"/>
      <c r="U182" s="11"/>
      <c r="V182" s="11"/>
      <c r="W182" s="11"/>
      <c r="X182" s="11"/>
      <c r="Y182" s="11"/>
      <c r="Z182" s="11"/>
    </row>
    <row r="183" spans="1:26" ht="15.75" customHeight="1" x14ac:dyDescent="0.25">
      <c r="A183" s="9"/>
      <c r="B183" s="9"/>
      <c r="C183" s="9"/>
      <c r="D183" s="9"/>
      <c r="E183" s="9"/>
      <c r="F183" s="9"/>
      <c r="G183" s="9"/>
      <c r="H183" s="9"/>
      <c r="I183" s="9"/>
      <c r="J183" s="9"/>
      <c r="K183" s="9"/>
      <c r="L183" s="9"/>
      <c r="M183" s="9"/>
      <c r="N183" s="9"/>
      <c r="O183" s="9"/>
      <c r="P183" s="9"/>
      <c r="Q183" s="9"/>
      <c r="R183" s="9"/>
      <c r="S183" s="11"/>
      <c r="T183" s="11"/>
      <c r="U183" s="11"/>
      <c r="V183" s="11"/>
      <c r="W183" s="11"/>
      <c r="X183" s="11"/>
      <c r="Y183" s="11"/>
      <c r="Z183" s="11"/>
    </row>
    <row r="184" spans="1:26" ht="15.75" customHeight="1" x14ac:dyDescent="0.25">
      <c r="A184" s="9"/>
      <c r="B184" s="9"/>
      <c r="C184" s="9"/>
      <c r="D184" s="9"/>
      <c r="E184" s="9"/>
      <c r="F184" s="9"/>
      <c r="G184" s="9"/>
      <c r="H184" s="9"/>
      <c r="I184" s="9"/>
      <c r="J184" s="9"/>
      <c r="K184" s="9"/>
      <c r="L184" s="9"/>
      <c r="M184" s="9"/>
      <c r="N184" s="9"/>
      <c r="O184" s="9"/>
      <c r="P184" s="9"/>
      <c r="Q184" s="9"/>
      <c r="R184" s="9"/>
      <c r="S184" s="11"/>
      <c r="T184" s="11"/>
      <c r="U184" s="11"/>
      <c r="V184" s="11"/>
      <c r="W184" s="11"/>
      <c r="X184" s="11"/>
      <c r="Y184" s="11"/>
      <c r="Z184" s="11"/>
    </row>
    <row r="185" spans="1:26" ht="15.75" customHeight="1" x14ac:dyDescent="0.25">
      <c r="A185" s="9"/>
      <c r="B185" s="9"/>
      <c r="C185" s="9"/>
      <c r="D185" s="9"/>
      <c r="E185" s="9"/>
      <c r="F185" s="9"/>
      <c r="G185" s="9"/>
      <c r="H185" s="9"/>
      <c r="I185" s="9"/>
      <c r="J185" s="9"/>
      <c r="K185" s="9"/>
      <c r="L185" s="9"/>
      <c r="M185" s="9"/>
      <c r="N185" s="9"/>
      <c r="O185" s="9"/>
      <c r="P185" s="9"/>
      <c r="Q185" s="9"/>
      <c r="R185" s="9"/>
      <c r="S185" s="11"/>
      <c r="T185" s="11"/>
      <c r="U185" s="11"/>
      <c r="V185" s="11"/>
      <c r="W185" s="11"/>
      <c r="X185" s="11"/>
      <c r="Y185" s="11"/>
      <c r="Z185" s="11"/>
    </row>
    <row r="186" spans="1:26" ht="15.75" customHeight="1" x14ac:dyDescent="0.25">
      <c r="A186" s="9"/>
      <c r="B186" s="9"/>
      <c r="C186" s="9"/>
      <c r="D186" s="9"/>
      <c r="E186" s="9"/>
      <c r="F186" s="9"/>
      <c r="G186" s="9"/>
      <c r="H186" s="9"/>
      <c r="I186" s="9"/>
      <c r="J186" s="9"/>
      <c r="K186" s="9"/>
      <c r="L186" s="9"/>
      <c r="M186" s="9"/>
      <c r="N186" s="9"/>
      <c r="O186" s="9"/>
      <c r="P186" s="9"/>
      <c r="Q186" s="9"/>
      <c r="R186" s="9"/>
      <c r="S186" s="11"/>
      <c r="T186" s="11"/>
      <c r="U186" s="11"/>
      <c r="V186" s="11"/>
      <c r="W186" s="11"/>
      <c r="X186" s="11"/>
      <c r="Y186" s="11"/>
      <c r="Z186" s="11"/>
    </row>
    <row r="187" spans="1:26" ht="15.75" customHeight="1" x14ac:dyDescent="0.25">
      <c r="A187" s="9"/>
      <c r="B187" s="9"/>
      <c r="C187" s="9"/>
      <c r="D187" s="9"/>
      <c r="E187" s="9"/>
      <c r="F187" s="9"/>
      <c r="G187" s="9"/>
      <c r="H187" s="9"/>
      <c r="I187" s="9"/>
      <c r="J187" s="9"/>
      <c r="K187" s="9"/>
      <c r="L187" s="9"/>
      <c r="M187" s="9"/>
      <c r="N187" s="9"/>
      <c r="O187" s="9"/>
      <c r="P187" s="9"/>
      <c r="Q187" s="9"/>
      <c r="R187" s="9"/>
      <c r="S187" s="11"/>
      <c r="T187" s="11"/>
      <c r="U187" s="11"/>
      <c r="V187" s="11"/>
      <c r="W187" s="11"/>
      <c r="X187" s="11"/>
      <c r="Y187" s="11"/>
      <c r="Z187" s="11"/>
    </row>
    <row r="188" spans="1:26" ht="15.75" customHeight="1" x14ac:dyDescent="0.25">
      <c r="A188" s="9"/>
      <c r="B188" s="9"/>
      <c r="C188" s="9"/>
      <c r="D188" s="9"/>
      <c r="E188" s="9"/>
      <c r="F188" s="9"/>
      <c r="G188" s="9"/>
      <c r="H188" s="9"/>
      <c r="I188" s="9"/>
      <c r="J188" s="9"/>
      <c r="K188" s="9"/>
      <c r="L188" s="9"/>
      <c r="M188" s="9"/>
      <c r="N188" s="9"/>
      <c r="O188" s="9"/>
      <c r="P188" s="9"/>
      <c r="Q188" s="9"/>
      <c r="R188" s="9"/>
      <c r="S188" s="11"/>
      <c r="T188" s="11"/>
      <c r="U188" s="11"/>
      <c r="V188" s="11"/>
      <c r="W188" s="11"/>
      <c r="X188" s="11"/>
      <c r="Y188" s="11"/>
      <c r="Z188" s="11"/>
    </row>
    <row r="189" spans="1:26" ht="15.75" customHeight="1" x14ac:dyDescent="0.25">
      <c r="A189" s="9"/>
      <c r="B189" s="9"/>
      <c r="C189" s="9"/>
      <c r="D189" s="9"/>
      <c r="E189" s="9"/>
      <c r="F189" s="9"/>
      <c r="G189" s="9"/>
      <c r="H189" s="9"/>
      <c r="I189" s="9"/>
      <c r="J189" s="9"/>
      <c r="K189" s="9"/>
      <c r="L189" s="9"/>
      <c r="M189" s="9"/>
      <c r="N189" s="9"/>
      <c r="O189" s="9"/>
      <c r="P189" s="9"/>
      <c r="Q189" s="9"/>
      <c r="R189" s="9"/>
      <c r="S189" s="11"/>
      <c r="T189" s="11"/>
      <c r="U189" s="11"/>
      <c r="V189" s="11"/>
      <c r="W189" s="11"/>
      <c r="X189" s="11"/>
      <c r="Y189" s="11"/>
      <c r="Z189" s="11"/>
    </row>
    <row r="190" spans="1:26" ht="15.75" customHeight="1" x14ac:dyDescent="0.25">
      <c r="A190" s="9"/>
      <c r="B190" s="9"/>
      <c r="C190" s="9"/>
      <c r="D190" s="9"/>
      <c r="E190" s="9"/>
      <c r="F190" s="9"/>
      <c r="G190" s="9"/>
      <c r="H190" s="9"/>
      <c r="I190" s="9"/>
      <c r="J190" s="9"/>
      <c r="K190" s="9"/>
      <c r="L190" s="9"/>
      <c r="M190" s="9"/>
      <c r="N190" s="9"/>
      <c r="O190" s="9"/>
      <c r="P190" s="9"/>
      <c r="Q190" s="9"/>
      <c r="R190" s="9"/>
      <c r="S190" s="11"/>
      <c r="T190" s="11"/>
      <c r="U190" s="11"/>
      <c r="V190" s="11"/>
      <c r="W190" s="11"/>
      <c r="X190" s="11"/>
      <c r="Y190" s="11"/>
      <c r="Z190" s="11"/>
    </row>
    <row r="191" spans="1:26" ht="15.75" customHeight="1" x14ac:dyDescent="0.25">
      <c r="A191" s="9"/>
      <c r="B191" s="9"/>
      <c r="C191" s="9"/>
      <c r="D191" s="9"/>
      <c r="E191" s="9"/>
      <c r="F191" s="9"/>
      <c r="G191" s="9"/>
      <c r="H191" s="9"/>
      <c r="I191" s="9"/>
      <c r="J191" s="9"/>
      <c r="K191" s="9"/>
      <c r="L191" s="9"/>
      <c r="M191" s="9"/>
      <c r="N191" s="9"/>
      <c r="O191" s="9"/>
      <c r="P191" s="9"/>
      <c r="Q191" s="9"/>
      <c r="R191" s="9"/>
      <c r="S191" s="11"/>
      <c r="T191" s="11"/>
      <c r="U191" s="11"/>
      <c r="V191" s="11"/>
      <c r="W191" s="11"/>
      <c r="X191" s="11"/>
      <c r="Y191" s="11"/>
      <c r="Z191" s="11"/>
    </row>
    <row r="192" spans="1:26" ht="15.75" customHeight="1" x14ac:dyDescent="0.25">
      <c r="A192" s="9"/>
      <c r="B192" s="9"/>
      <c r="C192" s="9"/>
      <c r="D192" s="9"/>
      <c r="E192" s="9"/>
      <c r="F192" s="9"/>
      <c r="G192" s="9"/>
      <c r="H192" s="9"/>
      <c r="I192" s="9"/>
      <c r="J192" s="9"/>
      <c r="K192" s="9"/>
      <c r="L192" s="9"/>
      <c r="M192" s="9"/>
      <c r="N192" s="9"/>
      <c r="O192" s="9"/>
      <c r="P192" s="9"/>
      <c r="Q192" s="9"/>
      <c r="R192" s="9"/>
      <c r="S192" s="11"/>
      <c r="T192" s="11"/>
      <c r="U192" s="11"/>
      <c r="V192" s="11"/>
      <c r="W192" s="11"/>
      <c r="X192" s="11"/>
      <c r="Y192" s="11"/>
      <c r="Z192" s="11"/>
    </row>
    <row r="193" spans="1:26" ht="15.75" customHeight="1" x14ac:dyDescent="0.25">
      <c r="A193" s="9"/>
      <c r="B193" s="9"/>
      <c r="C193" s="9"/>
      <c r="D193" s="9"/>
      <c r="E193" s="9"/>
      <c r="F193" s="9"/>
      <c r="G193" s="9"/>
      <c r="H193" s="9"/>
      <c r="I193" s="9"/>
      <c r="J193" s="9"/>
      <c r="K193" s="9"/>
      <c r="L193" s="9"/>
      <c r="M193" s="9"/>
      <c r="N193" s="9"/>
      <c r="O193" s="9"/>
      <c r="P193" s="9"/>
      <c r="Q193" s="9"/>
      <c r="R193" s="9"/>
      <c r="S193" s="11"/>
      <c r="T193" s="11"/>
      <c r="U193" s="11"/>
      <c r="V193" s="11"/>
      <c r="W193" s="11"/>
      <c r="X193" s="11"/>
      <c r="Y193" s="11"/>
      <c r="Z193" s="11"/>
    </row>
    <row r="194" spans="1:26" ht="15.75" customHeight="1" x14ac:dyDescent="0.25">
      <c r="A194" s="9"/>
      <c r="B194" s="9"/>
      <c r="C194" s="9"/>
      <c r="D194" s="9"/>
      <c r="E194" s="9"/>
      <c r="F194" s="9"/>
      <c r="G194" s="9"/>
      <c r="H194" s="9"/>
      <c r="I194" s="9"/>
      <c r="J194" s="9"/>
      <c r="K194" s="9"/>
      <c r="L194" s="9"/>
      <c r="M194" s="9"/>
      <c r="N194" s="9"/>
      <c r="O194" s="9"/>
      <c r="P194" s="9"/>
      <c r="Q194" s="9"/>
      <c r="R194" s="9"/>
      <c r="S194" s="11"/>
      <c r="T194" s="11"/>
      <c r="U194" s="11"/>
      <c r="V194" s="11"/>
      <c r="W194" s="11"/>
      <c r="X194" s="11"/>
      <c r="Y194" s="11"/>
      <c r="Z194" s="11"/>
    </row>
    <row r="195" spans="1:26" ht="15.75" customHeight="1" x14ac:dyDescent="0.25">
      <c r="A195" s="9"/>
      <c r="B195" s="9"/>
      <c r="C195" s="9"/>
      <c r="D195" s="9"/>
      <c r="E195" s="9"/>
      <c r="F195" s="9"/>
      <c r="G195" s="9"/>
      <c r="H195" s="9"/>
      <c r="I195" s="9"/>
      <c r="J195" s="9"/>
      <c r="K195" s="9"/>
      <c r="L195" s="9"/>
      <c r="M195" s="9"/>
      <c r="N195" s="9"/>
      <c r="O195" s="9"/>
      <c r="P195" s="9"/>
      <c r="Q195" s="9"/>
      <c r="R195" s="9"/>
      <c r="S195" s="11"/>
      <c r="T195" s="11"/>
      <c r="U195" s="11"/>
      <c r="V195" s="11"/>
      <c r="W195" s="11"/>
      <c r="X195" s="11"/>
      <c r="Y195" s="11"/>
      <c r="Z195" s="11"/>
    </row>
    <row r="196" spans="1:26" ht="15.75" customHeight="1" x14ac:dyDescent="0.25">
      <c r="A196" s="9"/>
      <c r="B196" s="9"/>
      <c r="C196" s="9"/>
      <c r="D196" s="9"/>
      <c r="E196" s="9"/>
      <c r="F196" s="9"/>
      <c r="G196" s="9"/>
      <c r="H196" s="9"/>
      <c r="I196" s="9"/>
      <c r="J196" s="9"/>
      <c r="K196" s="9"/>
      <c r="L196" s="9"/>
      <c r="M196" s="9"/>
      <c r="N196" s="9"/>
      <c r="O196" s="9"/>
      <c r="P196" s="9"/>
      <c r="Q196" s="9"/>
      <c r="R196" s="9"/>
      <c r="S196" s="11"/>
      <c r="T196" s="11"/>
      <c r="U196" s="11"/>
      <c r="V196" s="11"/>
      <c r="W196" s="11"/>
      <c r="X196" s="11"/>
      <c r="Y196" s="11"/>
      <c r="Z196" s="11"/>
    </row>
    <row r="197" spans="1:26" ht="15.75" customHeight="1" x14ac:dyDescent="0.25">
      <c r="A197" s="9"/>
      <c r="B197" s="9"/>
      <c r="C197" s="9"/>
      <c r="D197" s="9"/>
      <c r="E197" s="9"/>
      <c r="F197" s="9"/>
      <c r="G197" s="9"/>
      <c r="H197" s="9"/>
      <c r="I197" s="9"/>
      <c r="J197" s="9"/>
      <c r="K197" s="9"/>
      <c r="L197" s="9"/>
      <c r="M197" s="9"/>
      <c r="N197" s="9"/>
      <c r="O197" s="9"/>
      <c r="P197" s="9"/>
      <c r="Q197" s="9"/>
      <c r="R197" s="9"/>
      <c r="S197" s="11"/>
      <c r="T197" s="11"/>
      <c r="U197" s="11"/>
      <c r="V197" s="11"/>
      <c r="W197" s="11"/>
      <c r="X197" s="11"/>
      <c r="Y197" s="11"/>
      <c r="Z197" s="11"/>
    </row>
    <row r="198" spans="1:26" ht="15.75" customHeight="1" x14ac:dyDescent="0.25">
      <c r="A198" s="9"/>
      <c r="B198" s="9"/>
      <c r="C198" s="9"/>
      <c r="D198" s="9"/>
      <c r="E198" s="9"/>
      <c r="F198" s="9"/>
      <c r="G198" s="9"/>
      <c r="H198" s="9"/>
      <c r="I198" s="9"/>
      <c r="J198" s="9"/>
      <c r="K198" s="9"/>
      <c r="L198" s="9"/>
      <c r="M198" s="9"/>
      <c r="N198" s="9"/>
      <c r="O198" s="9"/>
      <c r="P198" s="9"/>
      <c r="Q198" s="9"/>
      <c r="R198" s="9"/>
      <c r="S198" s="11"/>
      <c r="T198" s="11"/>
      <c r="U198" s="11"/>
      <c r="V198" s="11"/>
      <c r="W198" s="11"/>
      <c r="X198" s="11"/>
      <c r="Y198" s="11"/>
      <c r="Z198" s="11"/>
    </row>
    <row r="199" spans="1:26" ht="15.75" customHeight="1" x14ac:dyDescent="0.25">
      <c r="A199" s="9"/>
      <c r="B199" s="9"/>
      <c r="C199" s="9"/>
      <c r="D199" s="9"/>
      <c r="E199" s="9"/>
      <c r="F199" s="9"/>
      <c r="G199" s="9"/>
      <c r="H199" s="9"/>
      <c r="I199" s="9"/>
      <c r="J199" s="9"/>
      <c r="K199" s="9"/>
      <c r="L199" s="9"/>
      <c r="M199" s="9"/>
      <c r="N199" s="9"/>
      <c r="O199" s="9"/>
      <c r="P199" s="9"/>
      <c r="Q199" s="9"/>
      <c r="R199" s="9"/>
      <c r="S199" s="11"/>
      <c r="T199" s="11"/>
      <c r="U199" s="11"/>
      <c r="V199" s="11"/>
      <c r="W199" s="11"/>
      <c r="X199" s="11"/>
      <c r="Y199" s="11"/>
      <c r="Z199" s="11"/>
    </row>
    <row r="200" spans="1:26" ht="15.75" customHeight="1" x14ac:dyDescent="0.25">
      <c r="A200" s="9"/>
      <c r="B200" s="9"/>
      <c r="C200" s="9"/>
      <c r="D200" s="9"/>
      <c r="E200" s="9"/>
      <c r="F200" s="9"/>
      <c r="G200" s="9"/>
      <c r="H200" s="9"/>
      <c r="I200" s="9"/>
      <c r="J200" s="9"/>
      <c r="K200" s="9"/>
      <c r="L200" s="9"/>
      <c r="M200" s="9"/>
      <c r="N200" s="9"/>
      <c r="O200" s="9"/>
      <c r="P200" s="9"/>
      <c r="Q200" s="9"/>
      <c r="R200" s="9"/>
      <c r="S200" s="11"/>
      <c r="T200" s="11"/>
      <c r="U200" s="11"/>
      <c r="V200" s="11"/>
      <c r="W200" s="11"/>
      <c r="X200" s="11"/>
      <c r="Y200" s="11"/>
      <c r="Z200" s="11"/>
    </row>
    <row r="201" spans="1:26" ht="15.75" customHeight="1" x14ac:dyDescent="0.25">
      <c r="A201" s="9"/>
      <c r="B201" s="9"/>
      <c r="C201" s="9"/>
      <c r="D201" s="9"/>
      <c r="E201" s="9"/>
      <c r="F201" s="9"/>
      <c r="G201" s="9"/>
      <c r="H201" s="9"/>
      <c r="I201" s="9"/>
      <c r="J201" s="9"/>
      <c r="K201" s="9"/>
      <c r="L201" s="9"/>
      <c r="M201" s="9"/>
      <c r="N201" s="9"/>
      <c r="O201" s="9"/>
      <c r="P201" s="9"/>
      <c r="Q201" s="9"/>
      <c r="R201" s="9"/>
      <c r="S201" s="11"/>
      <c r="T201" s="11"/>
      <c r="U201" s="11"/>
      <c r="V201" s="11"/>
      <c r="W201" s="11"/>
      <c r="X201" s="11"/>
      <c r="Y201" s="11"/>
      <c r="Z201" s="11"/>
    </row>
    <row r="202" spans="1:26" ht="15.75" customHeight="1" x14ac:dyDescent="0.25">
      <c r="A202" s="9"/>
      <c r="B202" s="9"/>
      <c r="C202" s="9"/>
      <c r="D202" s="9"/>
      <c r="E202" s="9"/>
      <c r="F202" s="9"/>
      <c r="G202" s="9"/>
      <c r="H202" s="9"/>
      <c r="I202" s="9"/>
      <c r="J202" s="9"/>
      <c r="K202" s="9"/>
      <c r="L202" s="9"/>
      <c r="M202" s="9"/>
      <c r="N202" s="9"/>
      <c r="O202" s="9"/>
      <c r="P202" s="9"/>
      <c r="Q202" s="9"/>
      <c r="R202" s="9"/>
      <c r="S202" s="11"/>
      <c r="T202" s="11"/>
      <c r="U202" s="11"/>
      <c r="V202" s="11"/>
      <c r="W202" s="11"/>
      <c r="X202" s="11"/>
      <c r="Y202" s="11"/>
      <c r="Z202" s="11"/>
    </row>
    <row r="203" spans="1:26" ht="15.75" customHeight="1" x14ac:dyDescent="0.25">
      <c r="A203" s="9"/>
      <c r="B203" s="9"/>
      <c r="C203" s="9"/>
      <c r="D203" s="9"/>
      <c r="E203" s="9"/>
      <c r="F203" s="9"/>
      <c r="G203" s="9"/>
      <c r="H203" s="9"/>
      <c r="I203" s="9"/>
      <c r="J203" s="9"/>
      <c r="K203" s="9"/>
      <c r="L203" s="9"/>
      <c r="M203" s="9"/>
      <c r="N203" s="9"/>
      <c r="O203" s="9"/>
      <c r="P203" s="9"/>
      <c r="Q203" s="9"/>
      <c r="R203" s="9"/>
      <c r="S203" s="11"/>
      <c r="T203" s="11"/>
      <c r="U203" s="11"/>
      <c r="V203" s="11"/>
      <c r="W203" s="11"/>
      <c r="X203" s="11"/>
      <c r="Y203" s="11"/>
      <c r="Z203" s="11"/>
    </row>
    <row r="204" spans="1:26" ht="15.75" customHeight="1" x14ac:dyDescent="0.25">
      <c r="A204" s="9"/>
      <c r="B204" s="9"/>
      <c r="C204" s="9"/>
      <c r="D204" s="9"/>
      <c r="E204" s="9"/>
      <c r="F204" s="9"/>
      <c r="G204" s="9"/>
      <c r="H204" s="9"/>
      <c r="I204" s="9"/>
      <c r="J204" s="9"/>
      <c r="K204" s="9"/>
      <c r="L204" s="9"/>
      <c r="M204" s="9"/>
      <c r="N204" s="9"/>
      <c r="O204" s="9"/>
      <c r="P204" s="9"/>
      <c r="Q204" s="9"/>
      <c r="R204" s="9"/>
      <c r="S204" s="11"/>
      <c r="T204" s="11"/>
      <c r="U204" s="11"/>
      <c r="V204" s="11"/>
      <c r="W204" s="11"/>
      <c r="X204" s="11"/>
      <c r="Y204" s="11"/>
      <c r="Z204" s="11"/>
    </row>
    <row r="205" spans="1:26" ht="15.75" customHeight="1" x14ac:dyDescent="0.25">
      <c r="A205" s="9"/>
      <c r="B205" s="9"/>
      <c r="C205" s="9"/>
      <c r="D205" s="9"/>
      <c r="E205" s="9"/>
      <c r="F205" s="9"/>
      <c r="G205" s="9"/>
      <c r="H205" s="9"/>
      <c r="I205" s="9"/>
      <c r="J205" s="9"/>
      <c r="K205" s="9"/>
      <c r="L205" s="9"/>
      <c r="M205" s="9"/>
      <c r="N205" s="9"/>
      <c r="O205" s="9"/>
      <c r="P205" s="9"/>
      <c r="Q205" s="9"/>
      <c r="R205" s="9"/>
      <c r="S205" s="11"/>
      <c r="T205" s="11"/>
      <c r="U205" s="11"/>
      <c r="V205" s="11"/>
      <c r="W205" s="11"/>
      <c r="X205" s="11"/>
      <c r="Y205" s="11"/>
      <c r="Z205" s="11"/>
    </row>
    <row r="206" spans="1:26" ht="15.75" customHeight="1" x14ac:dyDescent="0.25">
      <c r="A206" s="9"/>
      <c r="B206" s="9"/>
      <c r="C206" s="9"/>
      <c r="D206" s="9"/>
      <c r="E206" s="9"/>
      <c r="F206" s="9"/>
      <c r="G206" s="9"/>
      <c r="H206" s="9"/>
      <c r="I206" s="9"/>
      <c r="J206" s="9"/>
      <c r="K206" s="9"/>
      <c r="L206" s="9"/>
      <c r="M206" s="9"/>
      <c r="N206" s="9"/>
      <c r="O206" s="9"/>
      <c r="P206" s="9"/>
      <c r="Q206" s="9"/>
      <c r="R206" s="9"/>
      <c r="S206" s="11"/>
      <c r="T206" s="11"/>
      <c r="U206" s="11"/>
      <c r="V206" s="11"/>
      <c r="W206" s="11"/>
      <c r="X206" s="11"/>
      <c r="Y206" s="11"/>
      <c r="Z206" s="11"/>
    </row>
    <row r="207" spans="1:26" ht="15.75" customHeight="1" x14ac:dyDescent="0.25">
      <c r="A207" s="9"/>
      <c r="B207" s="9"/>
      <c r="C207" s="9"/>
      <c r="D207" s="9"/>
      <c r="E207" s="9"/>
      <c r="F207" s="9"/>
      <c r="G207" s="9"/>
      <c r="H207" s="9"/>
      <c r="I207" s="9"/>
      <c r="J207" s="9"/>
      <c r="K207" s="9"/>
      <c r="L207" s="9"/>
      <c r="M207" s="9"/>
      <c r="N207" s="9"/>
      <c r="O207" s="9"/>
      <c r="P207" s="9"/>
      <c r="Q207" s="9"/>
      <c r="R207" s="9"/>
      <c r="S207" s="11"/>
      <c r="T207" s="11"/>
      <c r="U207" s="11"/>
      <c r="V207" s="11"/>
      <c r="W207" s="11"/>
      <c r="X207" s="11"/>
      <c r="Y207" s="11"/>
      <c r="Z207" s="11"/>
    </row>
    <row r="208" spans="1:26" ht="15.75" customHeight="1" x14ac:dyDescent="0.25">
      <c r="A208" s="9"/>
      <c r="B208" s="9"/>
      <c r="C208" s="9"/>
      <c r="D208" s="9"/>
      <c r="E208" s="9"/>
      <c r="F208" s="9"/>
      <c r="G208" s="9"/>
      <c r="H208" s="9"/>
      <c r="I208" s="9"/>
      <c r="J208" s="9"/>
      <c r="K208" s="9"/>
      <c r="L208" s="9"/>
      <c r="M208" s="9"/>
      <c r="N208" s="9"/>
      <c r="O208" s="9"/>
      <c r="P208" s="9"/>
      <c r="Q208" s="9"/>
      <c r="R208" s="9"/>
      <c r="S208" s="11"/>
      <c r="T208" s="11"/>
      <c r="U208" s="11"/>
      <c r="V208" s="11"/>
      <c r="W208" s="11"/>
      <c r="X208" s="11"/>
      <c r="Y208" s="11"/>
      <c r="Z208" s="11"/>
    </row>
    <row r="209" spans="1:26" ht="15.75" customHeight="1" x14ac:dyDescent="0.25">
      <c r="A209" s="9"/>
      <c r="B209" s="9"/>
      <c r="C209" s="9"/>
      <c r="D209" s="9"/>
      <c r="E209" s="9"/>
      <c r="F209" s="9"/>
      <c r="G209" s="9"/>
      <c r="H209" s="9"/>
      <c r="I209" s="9"/>
      <c r="J209" s="9"/>
      <c r="K209" s="9"/>
      <c r="L209" s="9"/>
      <c r="M209" s="9"/>
      <c r="N209" s="9"/>
      <c r="O209" s="9"/>
      <c r="P209" s="9"/>
      <c r="Q209" s="9"/>
      <c r="R209" s="9"/>
      <c r="S209" s="11"/>
      <c r="T209" s="11"/>
      <c r="U209" s="11"/>
      <c r="V209" s="11"/>
      <c r="W209" s="11"/>
      <c r="X209" s="11"/>
      <c r="Y209" s="11"/>
      <c r="Z209" s="11"/>
    </row>
    <row r="210" spans="1:26" ht="15.75" customHeight="1" x14ac:dyDescent="0.25">
      <c r="A210" s="9"/>
      <c r="B210" s="9"/>
      <c r="C210" s="9"/>
      <c r="D210" s="9"/>
      <c r="E210" s="9"/>
      <c r="F210" s="9"/>
      <c r="G210" s="9"/>
      <c r="H210" s="9"/>
      <c r="I210" s="9"/>
      <c r="J210" s="9"/>
      <c r="K210" s="9"/>
      <c r="L210" s="9"/>
      <c r="M210" s="9"/>
      <c r="N210" s="9"/>
      <c r="O210" s="9"/>
      <c r="P210" s="9"/>
      <c r="Q210" s="9"/>
      <c r="R210" s="9"/>
      <c r="S210" s="11"/>
      <c r="T210" s="11"/>
      <c r="U210" s="11"/>
      <c r="V210" s="11"/>
      <c r="W210" s="11"/>
      <c r="X210" s="11"/>
      <c r="Y210" s="11"/>
      <c r="Z210" s="11"/>
    </row>
    <row r="211" spans="1:26" ht="15.75" customHeight="1" x14ac:dyDescent="0.25">
      <c r="A211" s="9"/>
      <c r="B211" s="9"/>
      <c r="C211" s="9"/>
      <c r="D211" s="9"/>
      <c r="E211" s="9"/>
      <c r="F211" s="9"/>
      <c r="G211" s="9"/>
      <c r="H211" s="9"/>
      <c r="I211" s="9"/>
      <c r="J211" s="9"/>
      <c r="K211" s="9"/>
      <c r="L211" s="9"/>
      <c r="M211" s="9"/>
      <c r="N211" s="9"/>
      <c r="O211" s="9"/>
      <c r="P211" s="9"/>
      <c r="Q211" s="9"/>
      <c r="R211" s="9"/>
      <c r="S211" s="11"/>
      <c r="T211" s="11"/>
      <c r="U211" s="11"/>
      <c r="V211" s="11"/>
      <c r="W211" s="11"/>
      <c r="X211" s="11"/>
      <c r="Y211" s="11"/>
      <c r="Z211" s="11"/>
    </row>
    <row r="212" spans="1:26" ht="15.75" customHeight="1" x14ac:dyDescent="0.25">
      <c r="A212" s="9"/>
      <c r="B212" s="9"/>
      <c r="C212" s="9"/>
      <c r="D212" s="9"/>
      <c r="E212" s="9"/>
      <c r="F212" s="9"/>
      <c r="G212" s="9"/>
      <c r="H212" s="9"/>
      <c r="I212" s="9"/>
      <c r="J212" s="9"/>
      <c r="K212" s="9"/>
      <c r="L212" s="9"/>
      <c r="M212" s="9"/>
      <c r="N212" s="9"/>
      <c r="O212" s="9"/>
      <c r="P212" s="9"/>
      <c r="Q212" s="9"/>
      <c r="R212" s="9"/>
      <c r="S212" s="11"/>
      <c r="T212" s="11"/>
      <c r="U212" s="11"/>
      <c r="V212" s="11"/>
      <c r="W212" s="11"/>
      <c r="X212" s="11"/>
      <c r="Y212" s="11"/>
      <c r="Z212" s="11"/>
    </row>
    <row r="213" spans="1:26" ht="15.75" customHeight="1" x14ac:dyDescent="0.25">
      <c r="A213" s="9"/>
      <c r="B213" s="9"/>
      <c r="C213" s="9"/>
      <c r="D213" s="9"/>
      <c r="E213" s="9"/>
      <c r="F213" s="9"/>
      <c r="G213" s="9"/>
      <c r="H213" s="9"/>
      <c r="I213" s="9"/>
      <c r="J213" s="9"/>
      <c r="K213" s="9"/>
      <c r="L213" s="9"/>
      <c r="M213" s="9"/>
      <c r="N213" s="9"/>
      <c r="O213" s="9"/>
      <c r="P213" s="9"/>
      <c r="Q213" s="9"/>
      <c r="R213" s="9"/>
      <c r="S213" s="11"/>
      <c r="T213" s="11"/>
      <c r="U213" s="11"/>
      <c r="V213" s="11"/>
      <c r="W213" s="11"/>
      <c r="X213" s="11"/>
      <c r="Y213" s="11"/>
      <c r="Z213" s="11"/>
    </row>
    <row r="214" spans="1:26" ht="15.75" customHeight="1" x14ac:dyDescent="0.25">
      <c r="A214" s="9"/>
      <c r="B214" s="9"/>
      <c r="C214" s="9"/>
      <c r="D214" s="9"/>
      <c r="E214" s="9"/>
      <c r="F214" s="9"/>
      <c r="G214" s="9"/>
      <c r="H214" s="9"/>
      <c r="I214" s="9"/>
      <c r="J214" s="9"/>
      <c r="K214" s="9"/>
      <c r="L214" s="9"/>
      <c r="M214" s="9"/>
      <c r="N214" s="9"/>
      <c r="O214" s="9"/>
      <c r="P214" s="9"/>
      <c r="Q214" s="9"/>
      <c r="R214" s="9"/>
      <c r="S214" s="11"/>
      <c r="T214" s="11"/>
      <c r="U214" s="11"/>
      <c r="V214" s="11"/>
      <c r="W214" s="11"/>
      <c r="X214" s="11"/>
      <c r="Y214" s="11"/>
      <c r="Z214" s="11"/>
    </row>
    <row r="215" spans="1:26" ht="15.75" customHeight="1" x14ac:dyDescent="0.25">
      <c r="A215" s="9"/>
      <c r="B215" s="9"/>
      <c r="C215" s="9"/>
      <c r="D215" s="9"/>
      <c r="E215" s="9"/>
      <c r="F215" s="9"/>
      <c r="G215" s="9"/>
      <c r="H215" s="9"/>
      <c r="I215" s="9"/>
      <c r="J215" s="9"/>
      <c r="K215" s="9"/>
      <c r="L215" s="9"/>
      <c r="M215" s="9"/>
      <c r="N215" s="9"/>
      <c r="O215" s="9"/>
      <c r="P215" s="9"/>
      <c r="Q215" s="9"/>
      <c r="R215" s="9"/>
      <c r="S215" s="11"/>
      <c r="T215" s="11"/>
      <c r="U215" s="11"/>
      <c r="V215" s="11"/>
      <c r="W215" s="11"/>
      <c r="X215" s="11"/>
      <c r="Y215" s="11"/>
      <c r="Z215" s="11"/>
    </row>
    <row r="216" spans="1:26" ht="15.75" customHeight="1" x14ac:dyDescent="0.25">
      <c r="A216" s="9"/>
      <c r="B216" s="9"/>
      <c r="C216" s="9"/>
      <c r="D216" s="9"/>
      <c r="E216" s="9"/>
      <c r="F216" s="9"/>
      <c r="G216" s="9"/>
      <c r="H216" s="9"/>
      <c r="I216" s="9"/>
      <c r="J216" s="9"/>
      <c r="K216" s="9"/>
      <c r="L216" s="9"/>
      <c r="M216" s="9"/>
      <c r="N216" s="9"/>
      <c r="O216" s="9"/>
      <c r="P216" s="9"/>
      <c r="Q216" s="9"/>
      <c r="R216" s="9"/>
      <c r="S216" s="11"/>
      <c r="T216" s="11"/>
      <c r="U216" s="11"/>
      <c r="V216" s="11"/>
      <c r="W216" s="11"/>
      <c r="X216" s="11"/>
      <c r="Y216" s="11"/>
      <c r="Z216" s="11"/>
    </row>
    <row r="217" spans="1:26" ht="15.75" customHeight="1" x14ac:dyDescent="0.25">
      <c r="A217" s="9"/>
      <c r="B217" s="9"/>
      <c r="C217" s="9"/>
      <c r="D217" s="9"/>
      <c r="E217" s="9"/>
      <c r="F217" s="9"/>
      <c r="G217" s="9"/>
      <c r="H217" s="9"/>
      <c r="I217" s="9"/>
      <c r="J217" s="9"/>
      <c r="K217" s="9"/>
      <c r="L217" s="9"/>
      <c r="M217" s="9"/>
      <c r="N217" s="9"/>
      <c r="O217" s="9"/>
      <c r="P217" s="9"/>
      <c r="Q217" s="9"/>
      <c r="R217" s="9"/>
      <c r="S217" s="11"/>
      <c r="T217" s="11"/>
      <c r="U217" s="11"/>
      <c r="V217" s="11"/>
      <c r="W217" s="11"/>
      <c r="X217" s="11"/>
      <c r="Y217" s="11"/>
      <c r="Z217" s="11"/>
    </row>
    <row r="218" spans="1:26" ht="15.75" customHeight="1" x14ac:dyDescent="0.25">
      <c r="A218" s="9"/>
      <c r="B218" s="9"/>
      <c r="C218" s="9"/>
      <c r="D218" s="9"/>
      <c r="E218" s="9"/>
      <c r="F218" s="9"/>
      <c r="G218" s="9"/>
      <c r="H218" s="9"/>
      <c r="I218" s="9"/>
      <c r="J218" s="9"/>
      <c r="K218" s="9"/>
      <c r="L218" s="9"/>
      <c r="M218" s="9"/>
      <c r="N218" s="9"/>
      <c r="O218" s="9"/>
      <c r="P218" s="9"/>
      <c r="Q218" s="9"/>
      <c r="R218" s="9"/>
      <c r="S218" s="11"/>
      <c r="T218" s="11"/>
      <c r="U218" s="11"/>
      <c r="V218" s="11"/>
      <c r="W218" s="11"/>
      <c r="X218" s="11"/>
      <c r="Y218" s="11"/>
      <c r="Z218" s="11"/>
    </row>
    <row r="219" spans="1:26" ht="15.75" customHeight="1" x14ac:dyDescent="0.25">
      <c r="A219" s="9"/>
      <c r="B219" s="9"/>
      <c r="C219" s="9"/>
      <c r="D219" s="9"/>
      <c r="E219" s="9"/>
      <c r="F219" s="9"/>
      <c r="G219" s="9"/>
      <c r="H219" s="9"/>
      <c r="I219" s="9"/>
      <c r="J219" s="9"/>
      <c r="K219" s="9"/>
      <c r="L219" s="9"/>
      <c r="M219" s="9"/>
      <c r="N219" s="9"/>
      <c r="O219" s="9"/>
      <c r="P219" s="9"/>
      <c r="Q219" s="9"/>
      <c r="R219" s="9"/>
      <c r="S219" s="11"/>
      <c r="T219" s="11"/>
      <c r="U219" s="11"/>
      <c r="V219" s="11"/>
      <c r="W219" s="11"/>
      <c r="X219" s="11"/>
      <c r="Y219" s="11"/>
      <c r="Z219" s="11"/>
    </row>
    <row r="220" spans="1:26" ht="15.75" customHeight="1" x14ac:dyDescent="0.25">
      <c r="A220" s="9"/>
      <c r="B220" s="9"/>
      <c r="C220" s="9"/>
      <c r="D220" s="9"/>
      <c r="E220" s="9"/>
      <c r="F220" s="9"/>
      <c r="G220" s="9"/>
      <c r="H220" s="9"/>
      <c r="I220" s="9"/>
      <c r="J220" s="9"/>
      <c r="K220" s="9"/>
      <c r="L220" s="9"/>
      <c r="M220" s="9"/>
      <c r="N220" s="9"/>
      <c r="O220" s="9"/>
      <c r="P220" s="9"/>
      <c r="Q220" s="9"/>
      <c r="R220" s="9"/>
      <c r="S220" s="11"/>
      <c r="T220" s="11"/>
      <c r="U220" s="11"/>
      <c r="V220" s="11"/>
      <c r="W220" s="11"/>
      <c r="X220" s="11"/>
      <c r="Y220" s="11"/>
      <c r="Z220" s="11"/>
    </row>
    <row r="221" spans="1:26" ht="15.75" customHeight="1" x14ac:dyDescent="0.25">
      <c r="A221" s="9"/>
      <c r="B221" s="9"/>
      <c r="C221" s="9"/>
      <c r="D221" s="9"/>
      <c r="E221" s="9"/>
      <c r="F221" s="9"/>
      <c r="G221" s="9"/>
      <c r="H221" s="9"/>
      <c r="I221" s="9"/>
      <c r="J221" s="9"/>
      <c r="K221" s="9"/>
      <c r="L221" s="9"/>
      <c r="M221" s="9"/>
      <c r="N221" s="9"/>
      <c r="O221" s="9"/>
      <c r="P221" s="9"/>
      <c r="Q221" s="9"/>
      <c r="R221" s="9"/>
      <c r="S221" s="11"/>
      <c r="T221" s="11"/>
      <c r="U221" s="11"/>
      <c r="V221" s="11"/>
      <c r="W221" s="11"/>
      <c r="X221" s="11"/>
      <c r="Y221" s="11"/>
      <c r="Z221" s="11"/>
    </row>
    <row r="222" spans="1:26" ht="15.75" customHeight="1" x14ac:dyDescent="0.25">
      <c r="A222" s="9"/>
      <c r="B222" s="9"/>
      <c r="C222" s="9"/>
      <c r="D222" s="9"/>
      <c r="E222" s="9"/>
      <c r="F222" s="9"/>
      <c r="G222" s="9"/>
      <c r="H222" s="9"/>
      <c r="I222" s="9"/>
      <c r="J222" s="9"/>
      <c r="K222" s="9"/>
      <c r="L222" s="9"/>
      <c r="M222" s="9"/>
      <c r="N222" s="9"/>
      <c r="O222" s="9"/>
      <c r="P222" s="9"/>
      <c r="Q222" s="9"/>
      <c r="R222" s="9"/>
      <c r="S222" s="11"/>
      <c r="T222" s="11"/>
      <c r="U222" s="11"/>
      <c r="V222" s="11"/>
      <c r="W222" s="11"/>
      <c r="X222" s="11"/>
      <c r="Y222" s="11"/>
      <c r="Z222" s="11"/>
    </row>
    <row r="223" spans="1:26" ht="15.75" customHeight="1" x14ac:dyDescent="0.2">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x14ac:dyDescent="0.2">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x14ac:dyDescent="0.2">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x14ac:dyDescent="0.2">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x14ac:dyDescent="0.2">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x14ac:dyDescent="0.2">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x14ac:dyDescent="0.2">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x14ac:dyDescent="0.2">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x14ac:dyDescent="0.2">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x14ac:dyDescent="0.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x14ac:dyDescent="0.2">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x14ac:dyDescent="0.2">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x14ac:dyDescent="0.2">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x14ac:dyDescent="0.2">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x14ac:dyDescent="0.2">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x14ac:dyDescent="0.2">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x14ac:dyDescent="0.2">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x14ac:dyDescent="0.2">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x14ac:dyDescent="0.2">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x14ac:dyDescent="0.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x14ac:dyDescent="0.2">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x14ac:dyDescent="0.2">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x14ac:dyDescent="0.2">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x14ac:dyDescent="0.2">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x14ac:dyDescent="0.2">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x14ac:dyDescent="0.2">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x14ac:dyDescent="0.2">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x14ac:dyDescent="0.2">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x14ac:dyDescent="0.2">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x14ac:dyDescent="0.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x14ac:dyDescent="0.2">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x14ac:dyDescent="0.2">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x14ac:dyDescent="0.2">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x14ac:dyDescent="0.2">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x14ac:dyDescent="0.2">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x14ac:dyDescent="0.2">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x14ac:dyDescent="0.2">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x14ac:dyDescent="0.2">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x14ac:dyDescent="0.2">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x14ac:dyDescent="0.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x14ac:dyDescent="0.2">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x14ac:dyDescent="0.2">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x14ac:dyDescent="0.2">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x14ac:dyDescent="0.2">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x14ac:dyDescent="0.2">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x14ac:dyDescent="0.2">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x14ac:dyDescent="0.2">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x14ac:dyDescent="0.2">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x14ac:dyDescent="0.2">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x14ac:dyDescent="0.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x14ac:dyDescent="0.2">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x14ac:dyDescent="0.2">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x14ac:dyDescent="0.2">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x14ac:dyDescent="0.2">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x14ac:dyDescent="0.2">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x14ac:dyDescent="0.2">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x14ac:dyDescent="0.2">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x14ac:dyDescent="0.2">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x14ac:dyDescent="0.2">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x14ac:dyDescent="0.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x14ac:dyDescent="0.2">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x14ac:dyDescent="0.2">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x14ac:dyDescent="0.2">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x14ac:dyDescent="0.2">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x14ac:dyDescent="0.2">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x14ac:dyDescent="0.2">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x14ac:dyDescent="0.2">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x14ac:dyDescent="0.2">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x14ac:dyDescent="0.2">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x14ac:dyDescent="0.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x14ac:dyDescent="0.2">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x14ac:dyDescent="0.2">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x14ac:dyDescent="0.2">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x14ac:dyDescent="0.2">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x14ac:dyDescent="0.2">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x14ac:dyDescent="0.2">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x14ac:dyDescent="0.2">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x14ac:dyDescent="0.2">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x14ac:dyDescent="0.2">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x14ac:dyDescent="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x14ac:dyDescent="0.2">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x14ac:dyDescent="0.2">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x14ac:dyDescent="0.2">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x14ac:dyDescent="0.2">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x14ac:dyDescent="0.2">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x14ac:dyDescent="0.2">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x14ac:dyDescent="0.2">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x14ac:dyDescent="0.2">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x14ac:dyDescent="0.2">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x14ac:dyDescent="0.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x14ac:dyDescent="0.2">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x14ac:dyDescent="0.2">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x14ac:dyDescent="0.2">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x14ac:dyDescent="0.2">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x14ac:dyDescent="0.2">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x14ac:dyDescent="0.2">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x14ac:dyDescent="0.2">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x14ac:dyDescent="0.2">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x14ac:dyDescent="0.2">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x14ac:dyDescent="0.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x14ac:dyDescent="0.2">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x14ac:dyDescent="0.2">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x14ac:dyDescent="0.2">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x14ac:dyDescent="0.2">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x14ac:dyDescent="0.2">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x14ac:dyDescent="0.2">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x14ac:dyDescent="0.2">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x14ac:dyDescent="0.2">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x14ac:dyDescent="0.2">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x14ac:dyDescent="0.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x14ac:dyDescent="0.2">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x14ac:dyDescent="0.2">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x14ac:dyDescent="0.2">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x14ac:dyDescent="0.2">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x14ac:dyDescent="0.2">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x14ac:dyDescent="0.2">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x14ac:dyDescent="0.2">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x14ac:dyDescent="0.2">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x14ac:dyDescent="0.2">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x14ac:dyDescent="0.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x14ac:dyDescent="0.2">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x14ac:dyDescent="0.2">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x14ac:dyDescent="0.2">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x14ac:dyDescent="0.2">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x14ac:dyDescent="0.2">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x14ac:dyDescent="0.2">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x14ac:dyDescent="0.2">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x14ac:dyDescent="0.2">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x14ac:dyDescent="0.2">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x14ac:dyDescent="0.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x14ac:dyDescent="0.2">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x14ac:dyDescent="0.2">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x14ac:dyDescent="0.2">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x14ac:dyDescent="0.2">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x14ac:dyDescent="0.2">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x14ac:dyDescent="0.2">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x14ac:dyDescent="0.2">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x14ac:dyDescent="0.2">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x14ac:dyDescent="0.2">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x14ac:dyDescent="0.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x14ac:dyDescent="0.2">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x14ac:dyDescent="0.2">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x14ac:dyDescent="0.2">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x14ac:dyDescent="0.2">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x14ac:dyDescent="0.2">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x14ac:dyDescent="0.2">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x14ac:dyDescent="0.2">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x14ac:dyDescent="0.2">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x14ac:dyDescent="0.2">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x14ac:dyDescent="0.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x14ac:dyDescent="0.2">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x14ac:dyDescent="0.2">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x14ac:dyDescent="0.2">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x14ac:dyDescent="0.2">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x14ac:dyDescent="0.2">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x14ac:dyDescent="0.2">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x14ac:dyDescent="0.2">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x14ac:dyDescent="0.2">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x14ac:dyDescent="0.2">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x14ac:dyDescent="0.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x14ac:dyDescent="0.2">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x14ac:dyDescent="0.2">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x14ac:dyDescent="0.2">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x14ac:dyDescent="0.2">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x14ac:dyDescent="0.2">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x14ac:dyDescent="0.2">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x14ac:dyDescent="0.2">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x14ac:dyDescent="0.2">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x14ac:dyDescent="0.2">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x14ac:dyDescent="0.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x14ac:dyDescent="0.2">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x14ac:dyDescent="0.2">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x14ac:dyDescent="0.2">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x14ac:dyDescent="0.2">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x14ac:dyDescent="0.2">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x14ac:dyDescent="0.2">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x14ac:dyDescent="0.2">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x14ac:dyDescent="0.2">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x14ac:dyDescent="0.2">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x14ac:dyDescent="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x14ac:dyDescent="0.2">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x14ac:dyDescent="0.2">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x14ac:dyDescent="0.2">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x14ac:dyDescent="0.2">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x14ac:dyDescent="0.2">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x14ac:dyDescent="0.2">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x14ac:dyDescent="0.2">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x14ac:dyDescent="0.2">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x14ac:dyDescent="0.2">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x14ac:dyDescent="0.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x14ac:dyDescent="0.2">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x14ac:dyDescent="0.2">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x14ac:dyDescent="0.2">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x14ac:dyDescent="0.2">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x14ac:dyDescent="0.2">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x14ac:dyDescent="0.2">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x14ac:dyDescent="0.2">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x14ac:dyDescent="0.2">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x14ac:dyDescent="0.2">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x14ac:dyDescent="0.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x14ac:dyDescent="0.2">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x14ac:dyDescent="0.2">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x14ac:dyDescent="0.2">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x14ac:dyDescent="0.2">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x14ac:dyDescent="0.2">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x14ac:dyDescent="0.2">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x14ac:dyDescent="0.2">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x14ac:dyDescent="0.2">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x14ac:dyDescent="0.2">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x14ac:dyDescent="0.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x14ac:dyDescent="0.2">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x14ac:dyDescent="0.2">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x14ac:dyDescent="0.2">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x14ac:dyDescent="0.2">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x14ac:dyDescent="0.2">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x14ac:dyDescent="0.2">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x14ac:dyDescent="0.2">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x14ac:dyDescent="0.2">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x14ac:dyDescent="0.2">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x14ac:dyDescent="0.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x14ac:dyDescent="0.2">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x14ac:dyDescent="0.2">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x14ac:dyDescent="0.2">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x14ac:dyDescent="0.2">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x14ac:dyDescent="0.2">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x14ac:dyDescent="0.2">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x14ac:dyDescent="0.2">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x14ac:dyDescent="0.2">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x14ac:dyDescent="0.2">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x14ac:dyDescent="0.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x14ac:dyDescent="0.2">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x14ac:dyDescent="0.2">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x14ac:dyDescent="0.2">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x14ac:dyDescent="0.2">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x14ac:dyDescent="0.2">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x14ac:dyDescent="0.2">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x14ac:dyDescent="0.2">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x14ac:dyDescent="0.2">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x14ac:dyDescent="0.2">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x14ac:dyDescent="0.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x14ac:dyDescent="0.2">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x14ac:dyDescent="0.2">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x14ac:dyDescent="0.2">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x14ac:dyDescent="0.2">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x14ac:dyDescent="0.2">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x14ac:dyDescent="0.2">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x14ac:dyDescent="0.2">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x14ac:dyDescent="0.2">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x14ac:dyDescent="0.2">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x14ac:dyDescent="0.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x14ac:dyDescent="0.2">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x14ac:dyDescent="0.2">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x14ac:dyDescent="0.2">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x14ac:dyDescent="0.2">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x14ac:dyDescent="0.2">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x14ac:dyDescent="0.2">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x14ac:dyDescent="0.2">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x14ac:dyDescent="0.2">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x14ac:dyDescent="0.2">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x14ac:dyDescent="0.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x14ac:dyDescent="0.2">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x14ac:dyDescent="0.2">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x14ac:dyDescent="0.2">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x14ac:dyDescent="0.2">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x14ac:dyDescent="0.2">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x14ac:dyDescent="0.2">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x14ac:dyDescent="0.2">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x14ac:dyDescent="0.2">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x14ac:dyDescent="0.2">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x14ac:dyDescent="0.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x14ac:dyDescent="0.2">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x14ac:dyDescent="0.2">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x14ac:dyDescent="0.2">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x14ac:dyDescent="0.2">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x14ac:dyDescent="0.2">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x14ac:dyDescent="0.2">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x14ac:dyDescent="0.2">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x14ac:dyDescent="0.2">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x14ac:dyDescent="0.2">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x14ac:dyDescent="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x14ac:dyDescent="0.2">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x14ac:dyDescent="0.2">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x14ac:dyDescent="0.2">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x14ac:dyDescent="0.2">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x14ac:dyDescent="0.2">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x14ac:dyDescent="0.2">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x14ac:dyDescent="0.2">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x14ac:dyDescent="0.2">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x14ac:dyDescent="0.2">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x14ac:dyDescent="0.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x14ac:dyDescent="0.2">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x14ac:dyDescent="0.2">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x14ac:dyDescent="0.2">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x14ac:dyDescent="0.2">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x14ac:dyDescent="0.2">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x14ac:dyDescent="0.2">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x14ac:dyDescent="0.2">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x14ac:dyDescent="0.2">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x14ac:dyDescent="0.2">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x14ac:dyDescent="0.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x14ac:dyDescent="0.2">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x14ac:dyDescent="0.2">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x14ac:dyDescent="0.2">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x14ac:dyDescent="0.2">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x14ac:dyDescent="0.2">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x14ac:dyDescent="0.2">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x14ac:dyDescent="0.2">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x14ac:dyDescent="0.2">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x14ac:dyDescent="0.2">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x14ac:dyDescent="0.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x14ac:dyDescent="0.2">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x14ac:dyDescent="0.2">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x14ac:dyDescent="0.2">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x14ac:dyDescent="0.2">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x14ac:dyDescent="0.2">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x14ac:dyDescent="0.2">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x14ac:dyDescent="0.2">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x14ac:dyDescent="0.2">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x14ac:dyDescent="0.2">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x14ac:dyDescent="0.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x14ac:dyDescent="0.2">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x14ac:dyDescent="0.2">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x14ac:dyDescent="0.2">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x14ac:dyDescent="0.2">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x14ac:dyDescent="0.2">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x14ac:dyDescent="0.2">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x14ac:dyDescent="0.2">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x14ac:dyDescent="0.2">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x14ac:dyDescent="0.2">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x14ac:dyDescent="0.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x14ac:dyDescent="0.2">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x14ac:dyDescent="0.2">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x14ac:dyDescent="0.2">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x14ac:dyDescent="0.2">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x14ac:dyDescent="0.2">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x14ac:dyDescent="0.2">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x14ac:dyDescent="0.2">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x14ac:dyDescent="0.2">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x14ac:dyDescent="0.2">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x14ac:dyDescent="0.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x14ac:dyDescent="0.2">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x14ac:dyDescent="0.2">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x14ac:dyDescent="0.2">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x14ac:dyDescent="0.2">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x14ac:dyDescent="0.2">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x14ac:dyDescent="0.2">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x14ac:dyDescent="0.2">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x14ac:dyDescent="0.2">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x14ac:dyDescent="0.2">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x14ac:dyDescent="0.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x14ac:dyDescent="0.2">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x14ac:dyDescent="0.2">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x14ac:dyDescent="0.2">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x14ac:dyDescent="0.2">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x14ac:dyDescent="0.2">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x14ac:dyDescent="0.2">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x14ac:dyDescent="0.2">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x14ac:dyDescent="0.2">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x14ac:dyDescent="0.2">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x14ac:dyDescent="0.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x14ac:dyDescent="0.2">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x14ac:dyDescent="0.2">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x14ac:dyDescent="0.2">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x14ac:dyDescent="0.2">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x14ac:dyDescent="0.2">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x14ac:dyDescent="0.2">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x14ac:dyDescent="0.2">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x14ac:dyDescent="0.2">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x14ac:dyDescent="0.2">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x14ac:dyDescent="0.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x14ac:dyDescent="0.2">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x14ac:dyDescent="0.2">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x14ac:dyDescent="0.2">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x14ac:dyDescent="0.2">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x14ac:dyDescent="0.2">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x14ac:dyDescent="0.2">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x14ac:dyDescent="0.2">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x14ac:dyDescent="0.2">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x14ac:dyDescent="0.2">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x14ac:dyDescent="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x14ac:dyDescent="0.2">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x14ac:dyDescent="0.2">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x14ac:dyDescent="0.2">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x14ac:dyDescent="0.2">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x14ac:dyDescent="0.2">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x14ac:dyDescent="0.2">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x14ac:dyDescent="0.2">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x14ac:dyDescent="0.2">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x14ac:dyDescent="0.2">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x14ac:dyDescent="0.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x14ac:dyDescent="0.2">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x14ac:dyDescent="0.2">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x14ac:dyDescent="0.2">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x14ac:dyDescent="0.2">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x14ac:dyDescent="0.2">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x14ac:dyDescent="0.2">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x14ac:dyDescent="0.2">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x14ac:dyDescent="0.2">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x14ac:dyDescent="0.2">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x14ac:dyDescent="0.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x14ac:dyDescent="0.2">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x14ac:dyDescent="0.2">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x14ac:dyDescent="0.2">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x14ac:dyDescent="0.2">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x14ac:dyDescent="0.2">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x14ac:dyDescent="0.2">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x14ac:dyDescent="0.2">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x14ac:dyDescent="0.2">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x14ac:dyDescent="0.2">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x14ac:dyDescent="0.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x14ac:dyDescent="0.2">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x14ac:dyDescent="0.2">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x14ac:dyDescent="0.2">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x14ac:dyDescent="0.2">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x14ac:dyDescent="0.2">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x14ac:dyDescent="0.2">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x14ac:dyDescent="0.2">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x14ac:dyDescent="0.2">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x14ac:dyDescent="0.2">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x14ac:dyDescent="0.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x14ac:dyDescent="0.2">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x14ac:dyDescent="0.2">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x14ac:dyDescent="0.2">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x14ac:dyDescent="0.2">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x14ac:dyDescent="0.2">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x14ac:dyDescent="0.2">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x14ac:dyDescent="0.2">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x14ac:dyDescent="0.2">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x14ac:dyDescent="0.2">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x14ac:dyDescent="0.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x14ac:dyDescent="0.2">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x14ac:dyDescent="0.2">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x14ac:dyDescent="0.2">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x14ac:dyDescent="0.2">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x14ac:dyDescent="0.2">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x14ac:dyDescent="0.2">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x14ac:dyDescent="0.2">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x14ac:dyDescent="0.2">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x14ac:dyDescent="0.2">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x14ac:dyDescent="0.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x14ac:dyDescent="0.2">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x14ac:dyDescent="0.2">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x14ac:dyDescent="0.2">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x14ac:dyDescent="0.2">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x14ac:dyDescent="0.2">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x14ac:dyDescent="0.2">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x14ac:dyDescent="0.2">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x14ac:dyDescent="0.2">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x14ac:dyDescent="0.2">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x14ac:dyDescent="0.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x14ac:dyDescent="0.2">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x14ac:dyDescent="0.2">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x14ac:dyDescent="0.2">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x14ac:dyDescent="0.2">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x14ac:dyDescent="0.2">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x14ac:dyDescent="0.2">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x14ac:dyDescent="0.2">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x14ac:dyDescent="0.2">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x14ac:dyDescent="0.2">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x14ac:dyDescent="0.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x14ac:dyDescent="0.2">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x14ac:dyDescent="0.2">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x14ac:dyDescent="0.2">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x14ac:dyDescent="0.2">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x14ac:dyDescent="0.2">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x14ac:dyDescent="0.2">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x14ac:dyDescent="0.2">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x14ac:dyDescent="0.2">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x14ac:dyDescent="0.2">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x14ac:dyDescent="0.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x14ac:dyDescent="0.2">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x14ac:dyDescent="0.2">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x14ac:dyDescent="0.2">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x14ac:dyDescent="0.2">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x14ac:dyDescent="0.2">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x14ac:dyDescent="0.2">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x14ac:dyDescent="0.2">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x14ac:dyDescent="0.2">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x14ac:dyDescent="0.2">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x14ac:dyDescent="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x14ac:dyDescent="0.2">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x14ac:dyDescent="0.2">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x14ac:dyDescent="0.2">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x14ac:dyDescent="0.2">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x14ac:dyDescent="0.2">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x14ac:dyDescent="0.2">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x14ac:dyDescent="0.2">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x14ac:dyDescent="0.2">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x14ac:dyDescent="0.2">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x14ac:dyDescent="0.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x14ac:dyDescent="0.2">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x14ac:dyDescent="0.2">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x14ac:dyDescent="0.2">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x14ac:dyDescent="0.2">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x14ac:dyDescent="0.2">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x14ac:dyDescent="0.2">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x14ac:dyDescent="0.2">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x14ac:dyDescent="0.2">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x14ac:dyDescent="0.2">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x14ac:dyDescent="0.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x14ac:dyDescent="0.2">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x14ac:dyDescent="0.2">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x14ac:dyDescent="0.2">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x14ac:dyDescent="0.2">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x14ac:dyDescent="0.2">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x14ac:dyDescent="0.2">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x14ac:dyDescent="0.2">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x14ac:dyDescent="0.2">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x14ac:dyDescent="0.2">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x14ac:dyDescent="0.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x14ac:dyDescent="0.2">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x14ac:dyDescent="0.2">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x14ac:dyDescent="0.2">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x14ac:dyDescent="0.2">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x14ac:dyDescent="0.2">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x14ac:dyDescent="0.2">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x14ac:dyDescent="0.2">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x14ac:dyDescent="0.2">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x14ac:dyDescent="0.2">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x14ac:dyDescent="0.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x14ac:dyDescent="0.2">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x14ac:dyDescent="0.2">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x14ac:dyDescent="0.2">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x14ac:dyDescent="0.2">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x14ac:dyDescent="0.2">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x14ac:dyDescent="0.2">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x14ac:dyDescent="0.2">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x14ac:dyDescent="0.2">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x14ac:dyDescent="0.2">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x14ac:dyDescent="0.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x14ac:dyDescent="0.2">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x14ac:dyDescent="0.2">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x14ac:dyDescent="0.2">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x14ac:dyDescent="0.2">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x14ac:dyDescent="0.2">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x14ac:dyDescent="0.2">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x14ac:dyDescent="0.2">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x14ac:dyDescent="0.2">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x14ac:dyDescent="0.2">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x14ac:dyDescent="0.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x14ac:dyDescent="0.2">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x14ac:dyDescent="0.2">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x14ac:dyDescent="0.2">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x14ac:dyDescent="0.2">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x14ac:dyDescent="0.2">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x14ac:dyDescent="0.2">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x14ac:dyDescent="0.2">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x14ac:dyDescent="0.2">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x14ac:dyDescent="0.2">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x14ac:dyDescent="0.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x14ac:dyDescent="0.2">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x14ac:dyDescent="0.2">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x14ac:dyDescent="0.2">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x14ac:dyDescent="0.2">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x14ac:dyDescent="0.2">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x14ac:dyDescent="0.2">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x14ac:dyDescent="0.2">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x14ac:dyDescent="0.2">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x14ac:dyDescent="0.2">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x14ac:dyDescent="0.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x14ac:dyDescent="0.2">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x14ac:dyDescent="0.2">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x14ac:dyDescent="0.2">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x14ac:dyDescent="0.2">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x14ac:dyDescent="0.2">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x14ac:dyDescent="0.2">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x14ac:dyDescent="0.2">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x14ac:dyDescent="0.2">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x14ac:dyDescent="0.2">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x14ac:dyDescent="0.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x14ac:dyDescent="0.2">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x14ac:dyDescent="0.2">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x14ac:dyDescent="0.2">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x14ac:dyDescent="0.2">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x14ac:dyDescent="0.2">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x14ac:dyDescent="0.2">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x14ac:dyDescent="0.2">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x14ac:dyDescent="0.2">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x14ac:dyDescent="0.2">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x14ac:dyDescent="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x14ac:dyDescent="0.2">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x14ac:dyDescent="0.2">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x14ac:dyDescent="0.2">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x14ac:dyDescent="0.2">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x14ac:dyDescent="0.2">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x14ac:dyDescent="0.2">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x14ac:dyDescent="0.2">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x14ac:dyDescent="0.2">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x14ac:dyDescent="0.2">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x14ac:dyDescent="0.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x14ac:dyDescent="0.2">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x14ac:dyDescent="0.2">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x14ac:dyDescent="0.2">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x14ac:dyDescent="0.2">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x14ac:dyDescent="0.2">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x14ac:dyDescent="0.2">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x14ac:dyDescent="0.2">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x14ac:dyDescent="0.2">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x14ac:dyDescent="0.2">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x14ac:dyDescent="0.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x14ac:dyDescent="0.2">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x14ac:dyDescent="0.2">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x14ac:dyDescent="0.2">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x14ac:dyDescent="0.2">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x14ac:dyDescent="0.2">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x14ac:dyDescent="0.2">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x14ac:dyDescent="0.2">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x14ac:dyDescent="0.2">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x14ac:dyDescent="0.2">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x14ac:dyDescent="0.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x14ac:dyDescent="0.2">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x14ac:dyDescent="0.2">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x14ac:dyDescent="0.2">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x14ac:dyDescent="0.2">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x14ac:dyDescent="0.2">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x14ac:dyDescent="0.2">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x14ac:dyDescent="0.2">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x14ac:dyDescent="0.2">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x14ac:dyDescent="0.2">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x14ac:dyDescent="0.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x14ac:dyDescent="0.2">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x14ac:dyDescent="0.2">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x14ac:dyDescent="0.2">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x14ac:dyDescent="0.2">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x14ac:dyDescent="0.2">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x14ac:dyDescent="0.2">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x14ac:dyDescent="0.2">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x14ac:dyDescent="0.2">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x14ac:dyDescent="0.2">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x14ac:dyDescent="0.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x14ac:dyDescent="0.2">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x14ac:dyDescent="0.2">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x14ac:dyDescent="0.2">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x14ac:dyDescent="0.2">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x14ac:dyDescent="0.2">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x14ac:dyDescent="0.2">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x14ac:dyDescent="0.2">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x14ac:dyDescent="0.2">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x14ac:dyDescent="0.2">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x14ac:dyDescent="0.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x14ac:dyDescent="0.2">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x14ac:dyDescent="0.2">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x14ac:dyDescent="0.2">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x14ac:dyDescent="0.2">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x14ac:dyDescent="0.2">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x14ac:dyDescent="0.2">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x14ac:dyDescent="0.2">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x14ac:dyDescent="0.2">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x14ac:dyDescent="0.2">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x14ac:dyDescent="0.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x14ac:dyDescent="0.2">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x14ac:dyDescent="0.2">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x14ac:dyDescent="0.2">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x14ac:dyDescent="0.2">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x14ac:dyDescent="0.2">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x14ac:dyDescent="0.2">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x14ac:dyDescent="0.2">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x14ac:dyDescent="0.2">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x14ac:dyDescent="0.2">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x14ac:dyDescent="0.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x14ac:dyDescent="0.2">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x14ac:dyDescent="0.2">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x14ac:dyDescent="0.2">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x14ac:dyDescent="0.2">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x14ac:dyDescent="0.2">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x14ac:dyDescent="0.2">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x14ac:dyDescent="0.2">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x14ac:dyDescent="0.2">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x14ac:dyDescent="0.2">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x14ac:dyDescent="0.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x14ac:dyDescent="0.2">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x14ac:dyDescent="0.2">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x14ac:dyDescent="0.2">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x14ac:dyDescent="0.2">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x14ac:dyDescent="0.2">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x14ac:dyDescent="0.2">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x14ac:dyDescent="0.2">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x14ac:dyDescent="0.2">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x14ac:dyDescent="0.2">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x14ac:dyDescent="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x14ac:dyDescent="0.2">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x14ac:dyDescent="0.2">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x14ac:dyDescent="0.2">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x14ac:dyDescent="0.2">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x14ac:dyDescent="0.2">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x14ac:dyDescent="0.2">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x14ac:dyDescent="0.2">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x14ac:dyDescent="0.2">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x14ac:dyDescent="0.2">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x14ac:dyDescent="0.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x14ac:dyDescent="0.2">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x14ac:dyDescent="0.2">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x14ac:dyDescent="0.2">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x14ac:dyDescent="0.2">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x14ac:dyDescent="0.2">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x14ac:dyDescent="0.2">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x14ac:dyDescent="0.2">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x14ac:dyDescent="0.2">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x14ac:dyDescent="0.2">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x14ac:dyDescent="0.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x14ac:dyDescent="0.2">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x14ac:dyDescent="0.2">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x14ac:dyDescent="0.2">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x14ac:dyDescent="0.2">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x14ac:dyDescent="0.2">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x14ac:dyDescent="0.2">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x14ac:dyDescent="0.2">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x14ac:dyDescent="0.2">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x14ac:dyDescent="0.2">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x14ac:dyDescent="0.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x14ac:dyDescent="0.2">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x14ac:dyDescent="0.2">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x14ac:dyDescent="0.2">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x14ac:dyDescent="0.2">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x14ac:dyDescent="0.2">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x14ac:dyDescent="0.2">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x14ac:dyDescent="0.2">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x14ac:dyDescent="0.2">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x14ac:dyDescent="0.2">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x14ac:dyDescent="0.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x14ac:dyDescent="0.2">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x14ac:dyDescent="0.2">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x14ac:dyDescent="0.2">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x14ac:dyDescent="0.2">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x14ac:dyDescent="0.2">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x14ac:dyDescent="0.2">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x14ac:dyDescent="0.2">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x14ac:dyDescent="0.2">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x14ac:dyDescent="0.2">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x14ac:dyDescent="0.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x14ac:dyDescent="0.2">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x14ac:dyDescent="0.2">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x14ac:dyDescent="0.2">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x14ac:dyDescent="0.2">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x14ac:dyDescent="0.2">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x14ac:dyDescent="0.2">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x14ac:dyDescent="0.2">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x14ac:dyDescent="0.2">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x14ac:dyDescent="0.2">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x14ac:dyDescent="0.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x14ac:dyDescent="0.2">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x14ac:dyDescent="0.2">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x14ac:dyDescent="0.2">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x14ac:dyDescent="0.2">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x14ac:dyDescent="0.2">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x14ac:dyDescent="0.2">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x14ac:dyDescent="0.2">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x14ac:dyDescent="0.2">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x14ac:dyDescent="0.2">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x14ac:dyDescent="0.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x14ac:dyDescent="0.2">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x14ac:dyDescent="0.2">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x14ac:dyDescent="0.2">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x14ac:dyDescent="0.2">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x14ac:dyDescent="0.2">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x14ac:dyDescent="0.2">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x14ac:dyDescent="0.2">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x14ac:dyDescent="0.2">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x14ac:dyDescent="0.2">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x14ac:dyDescent="0.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x14ac:dyDescent="0.2">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x14ac:dyDescent="0.2">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x14ac:dyDescent="0.2">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x14ac:dyDescent="0.2">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x14ac:dyDescent="0.2">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x14ac:dyDescent="0.2">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x14ac:dyDescent="0.2">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x14ac:dyDescent="0.2">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x14ac:dyDescent="0.2">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x14ac:dyDescent="0.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x14ac:dyDescent="0.2">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x14ac:dyDescent="0.2">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x14ac:dyDescent="0.2">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x14ac:dyDescent="0.2">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x14ac:dyDescent="0.2">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x14ac:dyDescent="0.2">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x14ac:dyDescent="0.2">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x14ac:dyDescent="0.2">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95"/>
  <sheetViews>
    <sheetView tabSelected="1" topLeftCell="N1" zoomScale="160" zoomScaleNormal="160" workbookViewId="0">
      <pane ySplit="1" topLeftCell="A2" activePane="bottomLeft" state="frozen"/>
      <selection pane="bottomLeft" activeCell="O2" sqref="O2"/>
    </sheetView>
  </sheetViews>
  <sheetFormatPr baseColWidth="10" defaultColWidth="12.5703125" defaultRowHeight="15" customHeight="1" x14ac:dyDescent="0.2"/>
  <cols>
    <col min="1" max="1" width="5.5703125" customWidth="1"/>
    <col min="2" max="2" width="13.7109375" customWidth="1"/>
    <col min="3" max="3" width="14.5703125" customWidth="1"/>
    <col min="4" max="4" width="14.28515625" customWidth="1"/>
    <col min="5" max="5" width="13.5703125" customWidth="1"/>
    <col min="6" max="6" width="27.42578125" customWidth="1"/>
    <col min="7" max="7" width="23.140625" customWidth="1"/>
    <col min="8" max="8" width="31.42578125" customWidth="1"/>
    <col min="9" max="10" width="18.140625" customWidth="1"/>
    <col min="11" max="11" width="13" customWidth="1"/>
    <col min="12" max="12" width="12.7109375" customWidth="1"/>
    <col min="13" max="13" width="12.42578125" customWidth="1"/>
    <col min="14" max="14" width="35.140625" customWidth="1"/>
    <col min="15" max="15" width="21.42578125" customWidth="1"/>
    <col min="16" max="16" width="19.28515625" customWidth="1"/>
    <col min="17" max="17" width="23.85546875" customWidth="1"/>
    <col min="18" max="21" width="15.5703125" customWidth="1"/>
    <col min="22" max="25" width="16.42578125" customWidth="1"/>
    <col min="26" max="27" width="16" customWidth="1"/>
  </cols>
  <sheetData>
    <row r="1" spans="1:27" ht="72" customHeight="1" x14ac:dyDescent="0.2">
      <c r="A1" s="28" t="s">
        <v>45</v>
      </c>
      <c r="B1" s="29" t="s">
        <v>46</v>
      </c>
      <c r="C1" s="30" t="s">
        <v>47</v>
      </c>
      <c r="D1" s="31" t="s">
        <v>38</v>
      </c>
      <c r="E1" s="31" t="s">
        <v>40</v>
      </c>
      <c r="F1" s="32" t="s">
        <v>39</v>
      </c>
      <c r="G1" s="31" t="s">
        <v>48</v>
      </c>
      <c r="H1" s="64" t="s">
        <v>49</v>
      </c>
      <c r="I1" s="31" t="s">
        <v>50</v>
      </c>
      <c r="J1" s="31" t="s">
        <v>51</v>
      </c>
      <c r="K1" s="31" t="s">
        <v>52</v>
      </c>
      <c r="L1" s="31" t="s">
        <v>53</v>
      </c>
      <c r="M1" s="31" t="s">
        <v>54</v>
      </c>
      <c r="N1" s="31" t="s">
        <v>55</v>
      </c>
      <c r="O1" s="31" t="s">
        <v>56</v>
      </c>
      <c r="P1" s="31" t="s">
        <v>57</v>
      </c>
      <c r="Q1" s="31" t="s">
        <v>58</v>
      </c>
      <c r="R1" s="31" t="s">
        <v>59</v>
      </c>
      <c r="S1" s="31" t="s">
        <v>60</v>
      </c>
      <c r="T1" s="31" t="s">
        <v>61</v>
      </c>
      <c r="U1" s="31" t="s">
        <v>62</v>
      </c>
      <c r="V1" s="31" t="s">
        <v>63</v>
      </c>
      <c r="W1" s="31" t="s">
        <v>64</v>
      </c>
      <c r="X1" s="31" t="s">
        <v>65</v>
      </c>
      <c r="Y1" s="31" t="s">
        <v>66</v>
      </c>
      <c r="Z1" s="33" t="s">
        <v>67</v>
      </c>
      <c r="AA1" s="34"/>
    </row>
    <row r="2" spans="1:27" ht="15.75" customHeight="1" x14ac:dyDescent="0.2">
      <c r="A2" s="35" t="s">
        <v>68</v>
      </c>
      <c r="B2" s="36" t="s">
        <v>17</v>
      </c>
      <c r="C2" s="36" t="str">
        <f>CONCATENATE(VLOOKUP($D2,CODIFICACIÓN_RUTA!$B$2:$C$3,2,0),MID($F2,1,1)&amp;MID($F2,6,1),VLOOKUP($E2,CODIFICACIÓN_RUTA!$E$2:$F$10,2,0),$A2)</f>
        <v>01RD01001</v>
      </c>
      <c r="D2" s="36" t="s">
        <v>14</v>
      </c>
      <c r="E2" s="36" t="s">
        <v>16</v>
      </c>
      <c r="F2" s="37" t="s">
        <v>69</v>
      </c>
      <c r="G2" s="36" t="s">
        <v>70</v>
      </c>
      <c r="H2" s="36" t="s">
        <v>71</v>
      </c>
      <c r="I2" s="38" t="s">
        <v>72</v>
      </c>
      <c r="J2" s="36">
        <v>1</v>
      </c>
      <c r="K2" s="36" t="s">
        <v>73</v>
      </c>
      <c r="L2" s="36">
        <v>2830</v>
      </c>
      <c r="M2" s="36" t="s">
        <v>74</v>
      </c>
      <c r="N2" s="85" t="s">
        <v>75</v>
      </c>
      <c r="O2" s="36" t="s">
        <v>76</v>
      </c>
      <c r="P2" s="38" t="s">
        <v>77</v>
      </c>
      <c r="Q2" s="38" t="s">
        <v>78</v>
      </c>
      <c r="R2" s="39" t="s">
        <v>79</v>
      </c>
      <c r="S2" s="40" t="s">
        <v>80</v>
      </c>
      <c r="T2" s="40" t="s">
        <v>81</v>
      </c>
      <c r="U2" s="39" t="s">
        <v>82</v>
      </c>
      <c r="V2" s="39" t="s">
        <v>83</v>
      </c>
      <c r="W2" s="39" t="s">
        <v>84</v>
      </c>
      <c r="X2" s="39"/>
      <c r="Y2" s="39"/>
      <c r="Z2" s="36"/>
      <c r="AA2" s="41"/>
    </row>
    <row r="3" spans="1:27" ht="15.75" customHeight="1" x14ac:dyDescent="0.2">
      <c r="A3" s="36" t="s">
        <v>43</v>
      </c>
      <c r="B3" s="36" t="s">
        <v>17</v>
      </c>
      <c r="C3" s="36" t="str">
        <f>CONCATENATE(VLOOKUP($D3,CODIFICACIÓN_RUTA!$B$2:$C$3,2,0),MID($F3,1,1)&amp;MID($F3,6,1),VLOOKUP($E3,CODIFICACIÓN_RUTA!$E$2:$F$10,2,0),$A3)</f>
        <v>01RM01002</v>
      </c>
      <c r="D3" s="36" t="s">
        <v>14</v>
      </c>
      <c r="E3" s="36" t="s">
        <v>16</v>
      </c>
      <c r="F3" s="37" t="s">
        <v>44</v>
      </c>
      <c r="G3" s="36" t="s">
        <v>85</v>
      </c>
      <c r="H3" s="36" t="s">
        <v>86</v>
      </c>
      <c r="I3" s="38" t="s">
        <v>87</v>
      </c>
      <c r="J3" s="36">
        <v>5</v>
      </c>
      <c r="K3" s="38" t="s">
        <v>88</v>
      </c>
      <c r="L3" s="38">
        <v>3100</v>
      </c>
      <c r="M3" s="38" t="s">
        <v>74</v>
      </c>
      <c r="N3" s="42" t="s">
        <v>89</v>
      </c>
      <c r="O3" s="38" t="s">
        <v>90</v>
      </c>
      <c r="P3" s="38" t="s">
        <v>91</v>
      </c>
      <c r="Q3" s="38" t="s">
        <v>92</v>
      </c>
      <c r="R3" s="38" t="s">
        <v>93</v>
      </c>
      <c r="S3" s="36" t="s">
        <v>94</v>
      </c>
      <c r="T3" s="36"/>
      <c r="U3" s="39"/>
      <c r="V3" s="39"/>
      <c r="W3" s="39"/>
      <c r="X3" s="39"/>
      <c r="Y3" s="39"/>
      <c r="Z3" s="36"/>
      <c r="AA3" s="41"/>
    </row>
    <row r="4" spans="1:27" ht="15.75" customHeight="1" x14ac:dyDescent="0.2">
      <c r="A4" s="36" t="s">
        <v>95</v>
      </c>
      <c r="B4" s="36" t="s">
        <v>17</v>
      </c>
      <c r="C4" s="36" t="str">
        <f>CONCATENATE(VLOOKUP($D4,CODIFICACIÓN_RUTA!$B$2:$C$3,2,0),MID($F4,1,1)&amp;MID($F4,6,1),VLOOKUP($E4,CODIFICACIÓN_RUTA!$E$2:$F$10,2,0),$A4)</f>
        <v>01RA03003</v>
      </c>
      <c r="D4" s="36" t="s">
        <v>14</v>
      </c>
      <c r="E4" s="36" t="s">
        <v>96</v>
      </c>
      <c r="F4" s="37" t="s">
        <v>97</v>
      </c>
      <c r="G4" s="36" t="s">
        <v>85</v>
      </c>
      <c r="H4" s="36" t="s">
        <v>98</v>
      </c>
      <c r="I4" s="38" t="s">
        <v>99</v>
      </c>
      <c r="J4" s="36">
        <v>5</v>
      </c>
      <c r="K4" s="38" t="s">
        <v>100</v>
      </c>
      <c r="L4" s="38">
        <v>2800</v>
      </c>
      <c r="M4" s="38" t="s">
        <v>74</v>
      </c>
      <c r="N4" s="42" t="s">
        <v>101</v>
      </c>
      <c r="O4" s="36" t="s">
        <v>102</v>
      </c>
      <c r="P4" s="38" t="s">
        <v>103</v>
      </c>
      <c r="Q4" s="38"/>
      <c r="R4" s="39"/>
      <c r="S4" s="39"/>
      <c r="T4" s="39"/>
      <c r="U4" s="39"/>
      <c r="V4" s="39"/>
      <c r="W4" s="39"/>
      <c r="X4" s="39"/>
      <c r="Y4" s="39" t="s">
        <v>104</v>
      </c>
      <c r="Z4" s="36"/>
      <c r="AA4" s="41"/>
    </row>
    <row r="5" spans="1:27" ht="15.75" customHeight="1" x14ac:dyDescent="0.2">
      <c r="A5" s="36" t="s">
        <v>105</v>
      </c>
      <c r="B5" s="36" t="s">
        <v>17</v>
      </c>
      <c r="C5" s="36" t="str">
        <f>CONCATENATE(VLOOKUP($D5,CODIFICACIÓN_RUTA!$B$2:$C$3,2,0),MID($F5,1,1)&amp;MID($F5,6,1),VLOOKUP($E5,CODIFICACIÓN_RUTA!$E$2:$F$10,2,0),$A5)</f>
        <v>01RD02004</v>
      </c>
      <c r="D5" s="36" t="s">
        <v>14</v>
      </c>
      <c r="E5" s="36" t="s">
        <v>20</v>
      </c>
      <c r="F5" s="37" t="s">
        <v>106</v>
      </c>
      <c r="G5" s="36" t="s">
        <v>85</v>
      </c>
      <c r="H5" s="36" t="s">
        <v>107</v>
      </c>
      <c r="I5" s="38" t="s">
        <v>72</v>
      </c>
      <c r="J5" s="36">
        <v>3</v>
      </c>
      <c r="K5" s="36" t="s">
        <v>108</v>
      </c>
      <c r="L5" s="36">
        <v>2850</v>
      </c>
      <c r="M5" s="36" t="s">
        <v>74</v>
      </c>
      <c r="N5" s="42" t="s">
        <v>109</v>
      </c>
      <c r="O5" s="36" t="s">
        <v>110</v>
      </c>
      <c r="P5" s="39" t="s">
        <v>111</v>
      </c>
      <c r="Q5" s="36" t="s">
        <v>112</v>
      </c>
      <c r="R5" s="39"/>
      <c r="S5" s="39"/>
      <c r="T5" s="39"/>
      <c r="U5" s="39"/>
      <c r="V5" s="39"/>
      <c r="W5" s="39"/>
      <c r="X5" s="39"/>
      <c r="Y5" s="39"/>
      <c r="Z5" s="36"/>
      <c r="AA5" s="41"/>
    </row>
    <row r="6" spans="1:27" ht="15.75" customHeight="1" x14ac:dyDescent="0.2">
      <c r="A6" s="36" t="s">
        <v>113</v>
      </c>
      <c r="B6" s="36" t="s">
        <v>17</v>
      </c>
      <c r="C6" s="36" t="str">
        <f>CONCATENATE(VLOOKUP($D6,CODIFICACIÓN_RUTA!$B$2:$C$3,2,0),MID($F6,1,1)&amp;MID($F6,6,1),VLOOKUP($E6,CODIFICACIÓN_RUTA!$E$2:$F$10,2,0),$A6)</f>
        <v>01RC01005</v>
      </c>
      <c r="D6" s="36" t="s">
        <v>14</v>
      </c>
      <c r="E6" s="36" t="s">
        <v>16</v>
      </c>
      <c r="F6" s="37" t="s">
        <v>114</v>
      </c>
      <c r="G6" s="36" t="s">
        <v>70</v>
      </c>
      <c r="H6" s="36" t="s">
        <v>115</v>
      </c>
      <c r="I6" s="38" t="s">
        <v>116</v>
      </c>
      <c r="J6" s="36">
        <v>4</v>
      </c>
      <c r="K6" s="38" t="s">
        <v>117</v>
      </c>
      <c r="L6" s="38">
        <v>2820</v>
      </c>
      <c r="M6" s="38" t="s">
        <v>74</v>
      </c>
      <c r="N6" s="43" t="s">
        <v>118</v>
      </c>
      <c r="O6" s="38" t="s">
        <v>90</v>
      </c>
      <c r="P6" s="40" t="s">
        <v>80</v>
      </c>
      <c r="Q6" s="38" t="s">
        <v>83</v>
      </c>
      <c r="R6" s="39"/>
      <c r="S6" s="39"/>
      <c r="T6" s="39"/>
      <c r="U6" s="39"/>
      <c r="V6" s="39"/>
      <c r="W6" s="39"/>
      <c r="X6" s="39"/>
      <c r="Y6" s="39" t="s">
        <v>119</v>
      </c>
      <c r="Z6" s="36"/>
      <c r="AA6" s="41"/>
    </row>
    <row r="7" spans="1:27" ht="15.75" customHeight="1" x14ac:dyDescent="0.2">
      <c r="A7" s="36" t="s">
        <v>120</v>
      </c>
      <c r="B7" s="36" t="s">
        <v>17</v>
      </c>
      <c r="C7" s="36" t="str">
        <f>CONCATENATE(VLOOKUP($D7,CODIFICACIÓN_RUTA!$B$2:$C$3,2,0),MID($F7,1,1)&amp;MID($F7,6,1),VLOOKUP($E7,CODIFICACIÓN_RUTA!$E$2:$F$10,2,0),$A7)</f>
        <v>01RR01006</v>
      </c>
      <c r="D7" s="36" t="s">
        <v>14</v>
      </c>
      <c r="E7" s="36" t="s">
        <v>16</v>
      </c>
      <c r="F7" s="37" t="s">
        <v>121</v>
      </c>
      <c r="G7" s="36" t="s">
        <v>85</v>
      </c>
      <c r="H7" s="36" t="s">
        <v>122</v>
      </c>
      <c r="I7" s="38" t="s">
        <v>72</v>
      </c>
      <c r="J7" s="36">
        <v>3</v>
      </c>
      <c r="K7" s="36" t="s">
        <v>123</v>
      </c>
      <c r="L7" s="36">
        <v>2850</v>
      </c>
      <c r="M7" s="36" t="s">
        <v>74</v>
      </c>
      <c r="N7" s="43" t="s">
        <v>124</v>
      </c>
      <c r="O7" s="38" t="s">
        <v>125</v>
      </c>
      <c r="P7" s="40" t="s">
        <v>80</v>
      </c>
      <c r="Q7" s="38" t="s">
        <v>81</v>
      </c>
      <c r="R7" s="38" t="s">
        <v>83</v>
      </c>
      <c r="S7" s="39"/>
      <c r="T7" s="39"/>
      <c r="U7" s="39"/>
      <c r="V7" s="39"/>
      <c r="W7" s="39"/>
      <c r="X7" s="39"/>
      <c r="Y7" s="39" t="s">
        <v>126</v>
      </c>
      <c r="Z7" s="36"/>
      <c r="AA7" s="41"/>
    </row>
    <row r="8" spans="1:27" ht="15.75" customHeight="1" x14ac:dyDescent="0.2">
      <c r="A8" s="36" t="s">
        <v>127</v>
      </c>
      <c r="B8" s="36" t="s">
        <v>17</v>
      </c>
      <c r="C8" s="36" t="str">
        <f>CONCATENATE(VLOOKUP($D8,CODIFICACIÓN_RUTA!$B$2:$C$3,2,0),MID($F8,1,1)&amp;MID($F8,6,1),VLOOKUP($E8,CODIFICACIÓN_RUTA!$E$2:$F$10,2,0),$A8)</f>
        <v>01RD01007</v>
      </c>
      <c r="D8" s="36" t="s">
        <v>14</v>
      </c>
      <c r="E8" s="36" t="s">
        <v>16</v>
      </c>
      <c r="F8" s="37" t="s">
        <v>128</v>
      </c>
      <c r="G8" s="36" t="s">
        <v>129</v>
      </c>
      <c r="H8" s="36" t="s">
        <v>130</v>
      </c>
      <c r="I8" s="38" t="s">
        <v>99</v>
      </c>
      <c r="J8" s="36">
        <v>4</v>
      </c>
      <c r="K8" s="36" t="s">
        <v>131</v>
      </c>
      <c r="L8" s="36">
        <v>2825</v>
      </c>
      <c r="M8" s="36" t="s">
        <v>74</v>
      </c>
      <c r="N8" s="43" t="s">
        <v>132</v>
      </c>
      <c r="O8" s="36" t="s">
        <v>133</v>
      </c>
      <c r="P8" s="44" t="s">
        <v>134</v>
      </c>
      <c r="Q8" s="38"/>
      <c r="R8" s="39"/>
      <c r="S8" s="39"/>
      <c r="T8" s="39"/>
      <c r="U8" s="39"/>
      <c r="V8" s="39"/>
      <c r="W8" s="39"/>
      <c r="X8" s="39"/>
      <c r="Y8" s="39" t="s">
        <v>135</v>
      </c>
      <c r="Z8" s="36"/>
      <c r="AA8" s="41"/>
    </row>
    <row r="9" spans="1:27" ht="15.75" customHeight="1" x14ac:dyDescent="0.2">
      <c r="A9" s="36" t="s">
        <v>136</v>
      </c>
      <c r="B9" s="36" t="s">
        <v>17</v>
      </c>
      <c r="C9" s="36" t="str">
        <f>CONCATENATE(VLOOKUP($D9,CODIFICACIÓN_RUTA!$B$2:$C$3,2,0),MID($F9,1,1)&amp;MID($F9,6,1),VLOOKUP($E9,CODIFICACIÓN_RUTA!$E$2:$F$10,2,0),$A9)</f>
        <v>01RC01008</v>
      </c>
      <c r="D9" s="36" t="s">
        <v>14</v>
      </c>
      <c r="E9" s="36" t="s">
        <v>16</v>
      </c>
      <c r="F9" s="37" t="s">
        <v>137</v>
      </c>
      <c r="G9" s="36" t="s">
        <v>70</v>
      </c>
      <c r="H9" s="36" t="s">
        <v>115</v>
      </c>
      <c r="I9" s="38" t="s">
        <v>72</v>
      </c>
      <c r="J9" s="36">
        <v>4</v>
      </c>
      <c r="K9" s="36" t="s">
        <v>138</v>
      </c>
      <c r="L9" s="36">
        <v>2850</v>
      </c>
      <c r="M9" s="36" t="s">
        <v>74</v>
      </c>
      <c r="N9" s="43" t="s">
        <v>139</v>
      </c>
      <c r="O9" s="38" t="s">
        <v>90</v>
      </c>
      <c r="P9" s="38" t="s">
        <v>83</v>
      </c>
      <c r="Q9" s="44" t="s">
        <v>134</v>
      </c>
      <c r="R9" s="39"/>
      <c r="S9" s="39"/>
      <c r="T9" s="39"/>
      <c r="U9" s="39"/>
      <c r="V9" s="39"/>
      <c r="W9" s="39"/>
      <c r="X9" s="39"/>
      <c r="Y9" s="39" t="s">
        <v>140</v>
      </c>
      <c r="Z9" s="36"/>
      <c r="AA9" s="41"/>
    </row>
    <row r="10" spans="1:27" ht="15.75" customHeight="1" x14ac:dyDescent="0.2">
      <c r="A10" s="36" t="s">
        <v>141</v>
      </c>
      <c r="B10" s="36" t="s">
        <v>17</v>
      </c>
      <c r="C10" s="36" t="str">
        <f>CONCATENATE(VLOOKUP($D10,CODIFICACIÓN_RUTA!$B$2:$C$3,2,0),MID($F10,1,1)&amp;MID($F10,6,1),VLOOKUP($E10,CODIFICACIÓN_RUTA!$E$2:$F$10,2,0),$A10)</f>
        <v>01RP01009</v>
      </c>
      <c r="D10" s="36" t="s">
        <v>14</v>
      </c>
      <c r="E10" s="36" t="s">
        <v>16</v>
      </c>
      <c r="F10" s="37" t="s">
        <v>142</v>
      </c>
      <c r="G10" s="36" t="s">
        <v>129</v>
      </c>
      <c r="H10" s="36" t="s">
        <v>143</v>
      </c>
      <c r="I10" s="38" t="s">
        <v>72</v>
      </c>
      <c r="J10" s="36">
        <v>4</v>
      </c>
      <c r="K10" s="36" t="s">
        <v>144</v>
      </c>
      <c r="L10" s="36">
        <v>2830</v>
      </c>
      <c r="M10" s="36" t="s">
        <v>74</v>
      </c>
      <c r="N10" s="43" t="s">
        <v>145</v>
      </c>
      <c r="O10" s="38" t="s">
        <v>146</v>
      </c>
      <c r="P10" s="38" t="s">
        <v>147</v>
      </c>
      <c r="Q10" s="38" t="s">
        <v>83</v>
      </c>
      <c r="R10" s="40" t="s">
        <v>148</v>
      </c>
      <c r="S10" s="40" t="s">
        <v>149</v>
      </c>
      <c r="T10" s="38" t="s">
        <v>125</v>
      </c>
      <c r="U10" s="38"/>
      <c r="V10" s="39"/>
      <c r="W10" s="39"/>
      <c r="X10" s="39"/>
      <c r="Y10" s="39"/>
      <c r="Z10" s="36"/>
      <c r="AA10" s="41"/>
    </row>
    <row r="11" spans="1:27" ht="15.75" customHeight="1" x14ac:dyDescent="0.2">
      <c r="A11" s="36" t="s">
        <v>150</v>
      </c>
      <c r="B11" s="36" t="s">
        <v>17</v>
      </c>
      <c r="C11" s="36" t="str">
        <f>CONCATENATE(VLOOKUP($D11,CODIFICACIÓN_RUTA!$B$2:$C$3,2,0),MID($F11,1,1)&amp;MID($F11,6,1),VLOOKUP($E11,CODIFICACIÓN_RUTA!$E$2:$F$10,2,0),$A11)</f>
        <v>01SA01010</v>
      </c>
      <c r="D11" s="36" t="s">
        <v>14</v>
      </c>
      <c r="E11" s="36" t="s">
        <v>16</v>
      </c>
      <c r="F11" s="37" t="s">
        <v>151</v>
      </c>
      <c r="G11" s="36" t="s">
        <v>85</v>
      </c>
      <c r="H11" s="36" t="s">
        <v>152</v>
      </c>
      <c r="I11" s="38" t="s">
        <v>72</v>
      </c>
      <c r="J11" s="36">
        <v>4</v>
      </c>
      <c r="K11" s="36" t="s">
        <v>144</v>
      </c>
      <c r="L11" s="36">
        <v>2830</v>
      </c>
      <c r="M11" s="36" t="s">
        <v>74</v>
      </c>
      <c r="N11" s="43" t="s">
        <v>153</v>
      </c>
      <c r="O11" s="38" t="s">
        <v>133</v>
      </c>
      <c r="P11" s="38" t="s">
        <v>154</v>
      </c>
      <c r="Q11" s="38" t="s">
        <v>155</v>
      </c>
      <c r="R11" s="40" t="s">
        <v>156</v>
      </c>
      <c r="S11" s="39"/>
      <c r="T11" s="39"/>
      <c r="U11" s="39"/>
      <c r="V11" s="39"/>
      <c r="W11" s="39"/>
      <c r="X11" s="39"/>
      <c r="Y11" s="39"/>
      <c r="Z11" s="36"/>
      <c r="AA11" s="41"/>
    </row>
    <row r="12" spans="1:27" ht="15.75" customHeight="1" x14ac:dyDescent="0.2">
      <c r="A12" s="36" t="s">
        <v>157</v>
      </c>
      <c r="B12" s="36" t="s">
        <v>17</v>
      </c>
      <c r="C12" s="36" t="str">
        <f>CONCATENATE(VLOOKUP($D12,CODIFICACIÓN_RUTA!$B$2:$C$3,2,0),MID($F12,1,1)&amp;MID($F12,6,1),VLOOKUP($E12,CODIFICACIÓN_RUTA!$E$2:$F$10,2,0),$A12)</f>
        <v>01RC01011</v>
      </c>
      <c r="D12" s="36" t="s">
        <v>14</v>
      </c>
      <c r="E12" s="36" t="s">
        <v>16</v>
      </c>
      <c r="F12" s="37" t="s">
        <v>158</v>
      </c>
      <c r="G12" s="36" t="s">
        <v>85</v>
      </c>
      <c r="H12" s="36" t="s">
        <v>159</v>
      </c>
      <c r="I12" s="38" t="s">
        <v>72</v>
      </c>
      <c r="J12" s="36">
        <v>4</v>
      </c>
      <c r="K12" s="36" t="s">
        <v>160</v>
      </c>
      <c r="L12" s="36">
        <v>2850</v>
      </c>
      <c r="M12" s="36" t="s">
        <v>74</v>
      </c>
      <c r="N12" s="43" t="s">
        <v>161</v>
      </c>
      <c r="O12" s="38" t="s">
        <v>83</v>
      </c>
      <c r="P12" s="38" t="s">
        <v>81</v>
      </c>
      <c r="Q12" s="40" t="s">
        <v>80</v>
      </c>
      <c r="R12" s="38" t="s">
        <v>125</v>
      </c>
      <c r="S12" s="36" t="s">
        <v>94</v>
      </c>
      <c r="T12" s="38"/>
      <c r="U12" s="39"/>
      <c r="V12" s="39"/>
      <c r="W12" s="39"/>
      <c r="X12" s="39"/>
      <c r="Y12" s="39" t="s">
        <v>162</v>
      </c>
      <c r="Z12" s="36"/>
      <c r="AA12" s="41"/>
    </row>
    <row r="13" spans="1:27" ht="15.75" customHeight="1" x14ac:dyDescent="0.2">
      <c r="A13" s="36" t="s">
        <v>163</v>
      </c>
      <c r="B13" s="36" t="s">
        <v>17</v>
      </c>
      <c r="C13" s="36" t="str">
        <f>CONCATENATE(VLOOKUP($D13,CODIFICACIÓN_RUTA!$B$2:$C$3,2,0),MID($F13,1,1)&amp;MID($F13,6,1),VLOOKUP($E13,CODIFICACIÓN_RUTA!$E$2:$F$10,2,0),$A13)</f>
        <v>02RE04012</v>
      </c>
      <c r="D13" s="36" t="s">
        <v>18</v>
      </c>
      <c r="E13" s="36" t="s">
        <v>24</v>
      </c>
      <c r="F13" s="37" t="s">
        <v>164</v>
      </c>
      <c r="G13" s="36" t="s">
        <v>70</v>
      </c>
      <c r="H13" s="36" t="s">
        <v>165</v>
      </c>
      <c r="I13" s="38" t="s">
        <v>99</v>
      </c>
      <c r="J13" s="36">
        <v>9</v>
      </c>
      <c r="K13" s="36" t="s">
        <v>166</v>
      </c>
      <c r="L13" s="36">
        <v>2800</v>
      </c>
      <c r="M13" s="36" t="s">
        <v>74</v>
      </c>
      <c r="N13" s="43" t="s">
        <v>167</v>
      </c>
      <c r="O13" s="36" t="s">
        <v>168</v>
      </c>
      <c r="P13" s="38" t="s">
        <v>169</v>
      </c>
      <c r="Q13" s="38" t="s">
        <v>170</v>
      </c>
      <c r="R13" s="38"/>
      <c r="S13" s="38"/>
      <c r="T13" s="39"/>
      <c r="U13" s="39"/>
      <c r="V13" s="39"/>
      <c r="W13" s="39"/>
      <c r="X13" s="39"/>
      <c r="Y13" s="39" t="s">
        <v>171</v>
      </c>
      <c r="Z13" s="36"/>
      <c r="AA13" s="41"/>
    </row>
    <row r="14" spans="1:27" ht="15.75" customHeight="1" x14ac:dyDescent="0.2">
      <c r="A14" s="36" t="s">
        <v>172</v>
      </c>
      <c r="B14" s="36" t="s">
        <v>17</v>
      </c>
      <c r="C14" s="36" t="str">
        <f>CONCATENATE(VLOOKUP($D14,CODIFICACIÓN_RUTA!$B$2:$C$3,2,0),MID($F14,1,1)&amp;MID($F14,6,1),VLOOKUP($E14,CODIFICACIÓN_RUTA!$E$2:$F$10,2,0),$A14)</f>
        <v>02RC07013</v>
      </c>
      <c r="D14" s="36" t="s">
        <v>18</v>
      </c>
      <c r="E14" s="36" t="s">
        <v>173</v>
      </c>
      <c r="F14" s="37" t="s">
        <v>174</v>
      </c>
      <c r="G14" s="36" t="s">
        <v>70</v>
      </c>
      <c r="H14" s="36" t="s">
        <v>175</v>
      </c>
      <c r="I14" s="38" t="s">
        <v>176</v>
      </c>
      <c r="J14" s="36">
        <v>10</v>
      </c>
      <c r="K14" s="38" t="s">
        <v>177</v>
      </c>
      <c r="L14" s="38">
        <v>2830</v>
      </c>
      <c r="M14" s="38" t="s">
        <v>74</v>
      </c>
      <c r="N14" s="43" t="s">
        <v>178</v>
      </c>
      <c r="O14" s="38" t="s">
        <v>179</v>
      </c>
      <c r="P14" s="45" t="s">
        <v>180</v>
      </c>
      <c r="Q14" s="38"/>
      <c r="R14" s="39"/>
      <c r="S14" s="39"/>
      <c r="T14" s="39"/>
      <c r="U14" s="39"/>
      <c r="V14" s="39"/>
      <c r="W14" s="39"/>
      <c r="X14" s="39"/>
      <c r="Y14" s="39" t="s">
        <v>181</v>
      </c>
      <c r="Z14" s="36"/>
      <c r="AA14" s="41"/>
    </row>
    <row r="15" spans="1:27" ht="15.75" customHeight="1" x14ac:dyDescent="0.2">
      <c r="A15" s="36" t="s">
        <v>182</v>
      </c>
      <c r="B15" s="36" t="s">
        <v>17</v>
      </c>
      <c r="C15" s="36" t="str">
        <f>CONCATENATE(VLOOKUP($D15,CODIFICACIÓN_RUTA!$B$2:$C$3,2,0),MID($F15,1,1)&amp;MID($F15,6,1),VLOOKUP($E15,CODIFICACIÓN_RUTA!$E$2:$F$10,2,0),$A15)</f>
        <v>02RE05014</v>
      </c>
      <c r="D15" s="36" t="s">
        <v>18</v>
      </c>
      <c r="E15" s="36" t="s">
        <v>183</v>
      </c>
      <c r="F15" s="37" t="s">
        <v>184</v>
      </c>
      <c r="G15" s="36" t="s">
        <v>70</v>
      </c>
      <c r="H15" s="36" t="s">
        <v>185</v>
      </c>
      <c r="I15" s="38" t="s">
        <v>176</v>
      </c>
      <c r="J15" s="36">
        <v>7</v>
      </c>
      <c r="K15" s="38" t="s">
        <v>177</v>
      </c>
      <c r="L15" s="38">
        <v>2830</v>
      </c>
      <c r="M15" s="38" t="s">
        <v>74</v>
      </c>
      <c r="N15" s="43" t="s">
        <v>186</v>
      </c>
      <c r="O15" s="36" t="s">
        <v>187</v>
      </c>
      <c r="P15" s="38"/>
      <c r="Q15" s="38"/>
      <c r="R15" s="39"/>
      <c r="S15" s="39"/>
      <c r="T15" s="39"/>
      <c r="U15" s="39"/>
      <c r="V15" s="39"/>
      <c r="W15" s="39"/>
      <c r="X15" s="39"/>
      <c r="Y15" s="39"/>
      <c r="Z15" s="36"/>
      <c r="AA15" s="41"/>
    </row>
    <row r="16" spans="1:27" ht="15.75" customHeight="1" x14ac:dyDescent="0.2">
      <c r="A16" s="36" t="s">
        <v>188</v>
      </c>
      <c r="B16" s="36" t="s">
        <v>17</v>
      </c>
      <c r="C16" s="36" t="str">
        <f>CONCATENATE(VLOOKUP($D16,CODIFICACIÓN_RUTA!$B$2:$C$3,2,0),MID($F16,1,1)&amp;MID($F16,6,1),VLOOKUP($E16,CODIFICACIÓN_RUTA!$E$2:$F$10,2,0),$A16)</f>
        <v>02RE06015</v>
      </c>
      <c r="D16" s="36" t="s">
        <v>18</v>
      </c>
      <c r="E16" s="36" t="s">
        <v>189</v>
      </c>
      <c r="F16" s="37" t="s">
        <v>190</v>
      </c>
      <c r="G16" s="36" t="s">
        <v>70</v>
      </c>
      <c r="H16" s="36" t="s">
        <v>191</v>
      </c>
      <c r="I16" s="38" t="s">
        <v>72</v>
      </c>
      <c r="J16" s="36">
        <v>8</v>
      </c>
      <c r="K16" s="38" t="s">
        <v>192</v>
      </c>
      <c r="L16" s="38">
        <v>2850</v>
      </c>
      <c r="M16" s="38" t="s">
        <v>74</v>
      </c>
      <c r="N16" s="43" t="s">
        <v>193</v>
      </c>
      <c r="O16" s="36" t="s">
        <v>194</v>
      </c>
      <c r="P16" s="38" t="s">
        <v>195</v>
      </c>
      <c r="Q16" s="38" t="s">
        <v>196</v>
      </c>
      <c r="R16" s="39" t="s">
        <v>197</v>
      </c>
      <c r="S16" s="39"/>
      <c r="T16" s="39"/>
      <c r="U16" s="39"/>
      <c r="V16" s="39"/>
      <c r="W16" s="39"/>
      <c r="X16" s="39"/>
      <c r="Y16" s="39"/>
      <c r="Z16" s="38"/>
      <c r="AA16" s="46"/>
    </row>
    <row r="17" spans="1:27" ht="102" customHeight="1" x14ac:dyDescent="0.2">
      <c r="A17" s="36" t="s">
        <v>198</v>
      </c>
      <c r="B17" s="36" t="s">
        <v>17</v>
      </c>
      <c r="C17" s="36" t="str">
        <f>CONCATENATE(VLOOKUP($D17,CODIFICACIÓN_RUTA!$B$2:$C$3,2,0),MID($F17,1,1)&amp;MID($F17,6,1),VLOOKUP($E17,CODIFICACIÓN_RUTA!$E$2:$F$10,2,0),$A17)</f>
        <v>02RM05016</v>
      </c>
      <c r="D17" s="36" t="s">
        <v>18</v>
      </c>
      <c r="E17" s="36" t="s">
        <v>183</v>
      </c>
      <c r="F17" s="37" t="s">
        <v>199</v>
      </c>
      <c r="G17" s="36" t="s">
        <v>129</v>
      </c>
      <c r="H17" s="36" t="s">
        <v>200</v>
      </c>
      <c r="I17" s="38" t="s">
        <v>176</v>
      </c>
      <c r="J17" s="36">
        <v>7</v>
      </c>
      <c r="K17" s="38" t="s">
        <v>201</v>
      </c>
      <c r="L17" s="38">
        <v>1400</v>
      </c>
      <c r="M17" s="38" t="s">
        <v>74</v>
      </c>
      <c r="N17" s="43" t="s">
        <v>202</v>
      </c>
      <c r="O17" s="38" t="s">
        <v>203</v>
      </c>
      <c r="P17" s="37"/>
      <c r="Q17" s="38"/>
      <c r="R17" s="39"/>
      <c r="S17" s="39"/>
      <c r="T17" s="39"/>
      <c r="U17" s="39"/>
      <c r="V17" s="38"/>
      <c r="W17" s="38"/>
      <c r="X17" s="38"/>
      <c r="Y17" s="38" t="s">
        <v>204</v>
      </c>
      <c r="Z17" s="44"/>
      <c r="AA17" s="47"/>
    </row>
    <row r="18" spans="1:27" ht="15.75" customHeight="1" x14ac:dyDescent="0.2">
      <c r="A18" s="36" t="s">
        <v>205</v>
      </c>
      <c r="B18" s="36" t="s">
        <v>17</v>
      </c>
      <c r="C18" s="36" t="str">
        <f>CONCATENATE(VLOOKUP($D18,CODIFICACIÓN_RUTA!$B$2:$C$3,2,0),MID($F18,1,1)&amp;MID($F18,6,1),VLOOKUP($E18,CODIFICACIÓN_RUTA!$E$2:$F$10,2,0),$A18)</f>
        <v>02RD09017</v>
      </c>
      <c r="D18" s="36" t="s">
        <v>18</v>
      </c>
      <c r="E18" s="36" t="s">
        <v>34</v>
      </c>
      <c r="F18" s="37" t="s">
        <v>206</v>
      </c>
      <c r="G18" s="36" t="s">
        <v>70</v>
      </c>
      <c r="H18" s="36" t="s">
        <v>207</v>
      </c>
      <c r="I18" s="38" t="s">
        <v>72</v>
      </c>
      <c r="J18" s="36">
        <v>8</v>
      </c>
      <c r="K18" s="38" t="s">
        <v>208</v>
      </c>
      <c r="L18" s="38">
        <v>2850</v>
      </c>
      <c r="M18" s="38" t="s">
        <v>74</v>
      </c>
      <c r="N18" s="42" t="s">
        <v>209</v>
      </c>
      <c r="O18" s="36" t="s">
        <v>210</v>
      </c>
      <c r="P18" s="36" t="s">
        <v>211</v>
      </c>
      <c r="Q18" s="38" t="s">
        <v>212</v>
      </c>
      <c r="R18" s="39"/>
      <c r="S18" s="39"/>
      <c r="T18" s="39"/>
      <c r="U18" s="39"/>
      <c r="V18" s="39"/>
      <c r="W18" s="39"/>
      <c r="X18" s="39"/>
      <c r="Y18" s="39"/>
      <c r="Z18" s="36"/>
      <c r="AA18" s="41"/>
    </row>
    <row r="19" spans="1:27" ht="15.75" customHeight="1" x14ac:dyDescent="0.2">
      <c r="A19" s="36" t="s">
        <v>213</v>
      </c>
      <c r="B19" s="36" t="s">
        <v>17</v>
      </c>
      <c r="C19" s="36" t="str">
        <f>CONCATENATE(VLOOKUP($D19,CODIFICACIÓN_RUTA!$B$2:$C$3,2,0),MID($F19,1,1)&amp;MID($F19,6,1),VLOOKUP($E19,CODIFICACIÓN_RUTA!$E$2:$F$10,2,0),$A19)</f>
        <v>02RD04018</v>
      </c>
      <c r="D19" s="36" t="s">
        <v>18</v>
      </c>
      <c r="E19" s="36" t="s">
        <v>214</v>
      </c>
      <c r="F19" s="37" t="s">
        <v>215</v>
      </c>
      <c r="G19" s="36" t="s">
        <v>85</v>
      </c>
      <c r="H19" s="36" t="s">
        <v>216</v>
      </c>
      <c r="I19" s="38" t="s">
        <v>72</v>
      </c>
      <c r="J19" s="36">
        <v>6</v>
      </c>
      <c r="K19" s="38" t="s">
        <v>177</v>
      </c>
      <c r="L19" s="38">
        <v>2830</v>
      </c>
      <c r="M19" s="38" t="s">
        <v>74</v>
      </c>
      <c r="N19" s="43" t="s">
        <v>217</v>
      </c>
      <c r="O19" s="36" t="s">
        <v>211</v>
      </c>
      <c r="P19" s="36" t="s">
        <v>218</v>
      </c>
      <c r="Q19" s="38" t="s">
        <v>219</v>
      </c>
      <c r="R19" s="40" t="s">
        <v>220</v>
      </c>
      <c r="S19" s="38" t="s">
        <v>170</v>
      </c>
      <c r="T19" s="40"/>
      <c r="U19" s="38"/>
      <c r="V19" s="38"/>
      <c r="W19" s="38"/>
      <c r="X19" s="38"/>
      <c r="Y19" s="38"/>
      <c r="Z19" s="36"/>
      <c r="AA19" s="41"/>
    </row>
    <row r="20" spans="1:27" ht="15.75" customHeight="1" x14ac:dyDescent="0.2">
      <c r="A20" s="36" t="s">
        <v>221</v>
      </c>
      <c r="B20" s="36" t="s">
        <v>17</v>
      </c>
      <c r="C20" s="36" t="str">
        <f>CONCATENATE(VLOOKUP($D20,CODIFICACIÓN_RUTA!$B$2:$C$3,2,0),MID($F20,1,1)&amp;MID($F20,6,1),VLOOKUP($E20,CODIFICACIÓN_RUTA!$E$2:$F$10,2,0),$A20)</f>
        <v>02RC04019</v>
      </c>
      <c r="D20" s="36" t="s">
        <v>18</v>
      </c>
      <c r="E20" s="36" t="s">
        <v>214</v>
      </c>
      <c r="F20" s="37" t="s">
        <v>222</v>
      </c>
      <c r="G20" s="36" t="s">
        <v>85</v>
      </c>
      <c r="H20" s="36" t="s">
        <v>223</v>
      </c>
      <c r="I20" s="38" t="s">
        <v>72</v>
      </c>
      <c r="J20" s="36">
        <v>8</v>
      </c>
      <c r="K20" s="38" t="s">
        <v>177</v>
      </c>
      <c r="L20" s="38">
        <v>2830</v>
      </c>
      <c r="M20" s="38" t="s">
        <v>74</v>
      </c>
      <c r="N20" s="43" t="s">
        <v>224</v>
      </c>
      <c r="O20" s="38" t="s">
        <v>225</v>
      </c>
      <c r="P20" s="38" t="s">
        <v>226</v>
      </c>
      <c r="Q20" s="39" t="s">
        <v>227</v>
      </c>
      <c r="R20" s="39"/>
      <c r="S20" s="39"/>
      <c r="T20" s="39"/>
      <c r="U20" s="39"/>
      <c r="V20" s="39"/>
      <c r="W20" s="39"/>
      <c r="X20" s="39"/>
      <c r="Y20" s="39"/>
      <c r="Z20" s="36"/>
      <c r="AA20" s="41"/>
    </row>
    <row r="21" spans="1:27" ht="15.75" customHeight="1" x14ac:dyDescent="0.2">
      <c r="A21" s="36" t="s">
        <v>228</v>
      </c>
      <c r="B21" s="36" t="s">
        <v>17</v>
      </c>
      <c r="C21" s="36" t="str">
        <f>CONCATENATE(VLOOKUP($D21,CODIFICACIÓN_RUTA!$B$2:$C$3,2,0),MID($F21,1,1)&amp;MID($F21,6,1),VLOOKUP($E21,CODIFICACIÓN_RUTA!$E$2:$F$10,2,0),$A21)</f>
        <v>02RC04020</v>
      </c>
      <c r="D21" s="36" t="s">
        <v>18</v>
      </c>
      <c r="E21" s="36" t="s">
        <v>214</v>
      </c>
      <c r="F21" s="37" t="s">
        <v>229</v>
      </c>
      <c r="G21" s="36" t="s">
        <v>85</v>
      </c>
      <c r="H21" s="36" t="s">
        <v>230</v>
      </c>
      <c r="I21" s="38" t="s">
        <v>72</v>
      </c>
      <c r="J21" s="36">
        <v>8</v>
      </c>
      <c r="K21" s="38" t="s">
        <v>231</v>
      </c>
      <c r="L21" s="38">
        <v>2800</v>
      </c>
      <c r="M21" s="38" t="s">
        <v>74</v>
      </c>
      <c r="N21" s="43" t="s">
        <v>232</v>
      </c>
      <c r="O21" s="36" t="s">
        <v>233</v>
      </c>
      <c r="P21" s="36" t="s">
        <v>234</v>
      </c>
      <c r="Q21" s="36" t="s">
        <v>211</v>
      </c>
      <c r="R21" s="36" t="s">
        <v>218</v>
      </c>
      <c r="S21" s="38" t="s">
        <v>235</v>
      </c>
      <c r="T21" s="38"/>
      <c r="U21" s="39"/>
      <c r="V21" s="39"/>
      <c r="W21" s="39"/>
      <c r="X21" s="39"/>
      <c r="Y21" s="39" t="s">
        <v>236</v>
      </c>
      <c r="Z21" s="36"/>
      <c r="AA21" s="41"/>
    </row>
    <row r="22" spans="1:27" ht="105" x14ac:dyDescent="0.2">
      <c r="A22" s="36" t="s">
        <v>237</v>
      </c>
      <c r="B22" s="36" t="s">
        <v>17</v>
      </c>
      <c r="C22" s="36" t="str">
        <f>CONCATENATE(VLOOKUP($D22,CODIFICACIÓN_RUTA!$B$2:$C$3,2,0),MID($F22,1,1)&amp;MID($F22,6,1),VLOOKUP($E22,CODIFICACIÓN_RUTA!$E$2:$F$10,2,0),$A22)</f>
        <v>02RC04021</v>
      </c>
      <c r="D22" s="44" t="s">
        <v>18</v>
      </c>
      <c r="E22" s="44" t="s">
        <v>24</v>
      </c>
      <c r="F22" s="37" t="s">
        <v>238</v>
      </c>
      <c r="G22" s="44" t="s">
        <v>129</v>
      </c>
      <c r="H22" s="44" t="s">
        <v>239</v>
      </c>
      <c r="I22" s="38" t="s">
        <v>87</v>
      </c>
      <c r="J22" s="44">
        <v>7</v>
      </c>
      <c r="K22" s="48" t="s">
        <v>240</v>
      </c>
      <c r="L22" s="48">
        <v>3100</v>
      </c>
      <c r="M22" s="48" t="s">
        <v>241</v>
      </c>
      <c r="N22" s="43" t="s">
        <v>242</v>
      </c>
      <c r="O22" s="36" t="s">
        <v>218</v>
      </c>
      <c r="P22" s="38" t="s">
        <v>219</v>
      </c>
      <c r="Q22" s="38" t="s">
        <v>170</v>
      </c>
      <c r="R22" s="44" t="s">
        <v>243</v>
      </c>
      <c r="S22" s="44" t="s">
        <v>244</v>
      </c>
      <c r="T22" s="40"/>
      <c r="U22" s="40"/>
      <c r="V22" s="49"/>
      <c r="W22" s="49"/>
      <c r="X22" s="49"/>
      <c r="Y22" s="49"/>
      <c r="Z22" s="38"/>
      <c r="AA22" s="46"/>
    </row>
    <row r="23" spans="1:27" ht="15.75" customHeight="1" x14ac:dyDescent="0.2">
      <c r="A23" s="36" t="s">
        <v>245</v>
      </c>
      <c r="B23" s="36" t="s">
        <v>17</v>
      </c>
      <c r="C23" s="36" t="str">
        <f>CONCATENATE(VLOOKUP($D23,CODIFICACIÓN_RUTA!$B$2:$C$3,2,0),MID($F23,1,1)&amp;MID($F23,6,1),VLOOKUP($E23,CODIFICACIÓN_RUTA!$E$2:$F$10,2,0),$A23)</f>
        <v>02RH08022</v>
      </c>
      <c r="D23" s="44" t="s">
        <v>18</v>
      </c>
      <c r="E23" s="44" t="s">
        <v>32</v>
      </c>
      <c r="F23" s="37" t="s">
        <v>246</v>
      </c>
      <c r="G23" s="44" t="s">
        <v>85</v>
      </c>
      <c r="H23" s="44" t="s">
        <v>247</v>
      </c>
      <c r="I23" s="38" t="s">
        <v>72</v>
      </c>
      <c r="J23" s="44">
        <v>8</v>
      </c>
      <c r="K23" s="50" t="s">
        <v>248</v>
      </c>
      <c r="L23" s="50">
        <v>2850</v>
      </c>
      <c r="M23" s="50" t="s">
        <v>74</v>
      </c>
      <c r="N23" s="43" t="s">
        <v>249</v>
      </c>
      <c r="O23" s="38" t="s">
        <v>250</v>
      </c>
      <c r="P23" s="38" t="s">
        <v>251</v>
      </c>
      <c r="Q23" s="38"/>
      <c r="R23" s="49"/>
      <c r="S23" s="40"/>
      <c r="T23" s="49"/>
      <c r="U23" s="49"/>
      <c r="V23" s="49"/>
      <c r="W23" s="49"/>
      <c r="X23" s="49"/>
      <c r="Y23" s="49"/>
      <c r="Z23" s="44"/>
      <c r="AA23" s="47"/>
    </row>
    <row r="24" spans="1:27" ht="15.75" customHeight="1" x14ac:dyDescent="0.2">
      <c r="A24" s="36" t="s">
        <v>252</v>
      </c>
      <c r="B24" s="36" t="s">
        <v>17</v>
      </c>
      <c r="C24" s="36" t="str">
        <f>CONCATENATE(VLOOKUP($D24,CODIFICACIÓN_RUTA!$B$2:$C$3,2,0),MID($F24,1,1)&amp;MID($F24,6,1),VLOOKUP($E24,CODIFICACIÓN_RUTA!$E$2:$F$10,2,0),$A24)</f>
        <v>02RM05023</v>
      </c>
      <c r="D24" s="44" t="s">
        <v>18</v>
      </c>
      <c r="E24" s="44" t="s">
        <v>26</v>
      </c>
      <c r="F24" s="37" t="s">
        <v>253</v>
      </c>
      <c r="G24" s="44" t="s">
        <v>129</v>
      </c>
      <c r="H24" s="44" t="s">
        <v>254</v>
      </c>
      <c r="I24" s="38" t="s">
        <v>176</v>
      </c>
      <c r="J24" s="44">
        <v>7</v>
      </c>
      <c r="K24" s="50" t="s">
        <v>240</v>
      </c>
      <c r="L24" s="50">
        <v>3100</v>
      </c>
      <c r="M24" s="50" t="s">
        <v>241</v>
      </c>
      <c r="N24" s="43" t="s">
        <v>255</v>
      </c>
      <c r="O24" s="38" t="s">
        <v>170</v>
      </c>
      <c r="P24" s="38" t="s">
        <v>256</v>
      </c>
      <c r="Q24" s="44" t="s">
        <v>257</v>
      </c>
      <c r="R24" s="49"/>
      <c r="S24" s="44"/>
      <c r="T24" s="49"/>
      <c r="U24" s="49"/>
      <c r="V24" s="49"/>
      <c r="W24" s="49"/>
      <c r="X24" s="49"/>
      <c r="Y24" s="49"/>
      <c r="Z24" s="44"/>
      <c r="AA24" s="47"/>
    </row>
    <row r="25" spans="1:27" ht="15.75" customHeight="1" x14ac:dyDescent="0.2">
      <c r="A25" s="36" t="s">
        <v>258</v>
      </c>
      <c r="B25" s="36" t="s">
        <v>17</v>
      </c>
      <c r="C25" s="36" t="str">
        <f>CONCATENATE(VLOOKUP($D25,CODIFICACIÓN_RUTA!$B$2:$C$3,2,0),MID($F25,1,1)&amp;MID($F25,6,1),VLOOKUP($E25,CODIFICACIÓN_RUTA!$E$2:$F$10,2,0),$A25)</f>
        <v>01RM01024</v>
      </c>
      <c r="D25" s="44" t="s">
        <v>14</v>
      </c>
      <c r="E25" s="44" t="s">
        <v>16</v>
      </c>
      <c r="F25" s="37" t="s">
        <v>259</v>
      </c>
      <c r="G25" s="38" t="s">
        <v>85</v>
      </c>
      <c r="H25" s="38" t="s">
        <v>260</v>
      </c>
      <c r="I25" s="38" t="s">
        <v>72</v>
      </c>
      <c r="J25" s="44">
        <v>4</v>
      </c>
      <c r="K25" s="50" t="s">
        <v>117</v>
      </c>
      <c r="L25" s="50">
        <v>2830</v>
      </c>
      <c r="M25" s="50" t="s">
        <v>74</v>
      </c>
      <c r="N25" s="43" t="s">
        <v>261</v>
      </c>
      <c r="O25" s="44" t="s">
        <v>83</v>
      </c>
      <c r="P25" s="38" t="s">
        <v>262</v>
      </c>
      <c r="Q25" s="38"/>
      <c r="R25" s="40"/>
      <c r="S25" s="49"/>
      <c r="T25" s="40"/>
      <c r="U25" s="49"/>
      <c r="V25" s="49"/>
      <c r="W25" s="49"/>
      <c r="X25" s="49"/>
      <c r="Y25" s="49" t="s">
        <v>162</v>
      </c>
      <c r="Z25" s="44"/>
      <c r="AA25" s="47"/>
    </row>
    <row r="26" spans="1:27" ht="15.75" customHeight="1" x14ac:dyDescent="0.2">
      <c r="A26" s="36" t="s">
        <v>263</v>
      </c>
      <c r="B26" s="36" t="s">
        <v>17</v>
      </c>
      <c r="C26" s="36" t="str">
        <f>CONCATENATE(VLOOKUP($D26,CODIFICACIÓN_RUTA!$B$2:$C$3,2,0),MID($F26,1,1)&amp;MID($F26,6,1),VLOOKUP($E26,CODIFICACIÓN_RUTA!$E$2:$F$10,2,0),$A26)</f>
        <v>02RP08025</v>
      </c>
      <c r="D26" s="44" t="s">
        <v>18</v>
      </c>
      <c r="E26" s="44" t="s">
        <v>32</v>
      </c>
      <c r="F26" s="37" t="s">
        <v>264</v>
      </c>
      <c r="G26" s="44" t="s">
        <v>129</v>
      </c>
      <c r="H26" s="44" t="s">
        <v>265</v>
      </c>
      <c r="I26" s="38" t="s">
        <v>72</v>
      </c>
      <c r="J26" s="44">
        <v>6</v>
      </c>
      <c r="K26" s="50" t="s">
        <v>208</v>
      </c>
      <c r="L26" s="50">
        <v>2850</v>
      </c>
      <c r="M26" s="50" t="s">
        <v>74</v>
      </c>
      <c r="N26" s="43" t="s">
        <v>266</v>
      </c>
      <c r="O26" s="38"/>
      <c r="P26" s="36"/>
      <c r="Q26" s="38"/>
      <c r="R26" s="38"/>
      <c r="S26" s="49"/>
      <c r="T26" s="49"/>
      <c r="U26" s="49"/>
      <c r="V26" s="49"/>
      <c r="W26" s="49"/>
      <c r="X26" s="49"/>
      <c r="Y26" s="51" t="s">
        <v>267</v>
      </c>
      <c r="Z26" s="44"/>
      <c r="AA26" s="47"/>
    </row>
    <row r="27" spans="1:27" ht="15.75" customHeight="1" x14ac:dyDescent="0.2">
      <c r="A27" s="36" t="s">
        <v>268</v>
      </c>
      <c r="B27" s="36" t="s">
        <v>17</v>
      </c>
      <c r="C27" s="36" t="str">
        <f>CONCATENATE(VLOOKUP($D27,CODIFICACIÓN_RUTA!$B$2:$C$3,2,0),MID($F27,1,1)&amp;MID($F27,6,1),VLOOKUP($E27,CODIFICACIÓN_RUTA!$E$2:$F$10,2,0),$A27)</f>
        <v>01RT01026</v>
      </c>
      <c r="D27" s="44" t="s">
        <v>14</v>
      </c>
      <c r="E27" s="44" t="s">
        <v>16</v>
      </c>
      <c r="F27" s="37" t="s">
        <v>269</v>
      </c>
      <c r="G27" s="44" t="s">
        <v>85</v>
      </c>
      <c r="H27" s="44" t="s">
        <v>270</v>
      </c>
      <c r="I27" s="38" t="s">
        <v>72</v>
      </c>
      <c r="J27" s="44">
        <v>3</v>
      </c>
      <c r="K27" s="48" t="s">
        <v>271</v>
      </c>
      <c r="L27" s="48">
        <v>2850</v>
      </c>
      <c r="M27" s="48" t="s">
        <v>74</v>
      </c>
      <c r="N27" s="43" t="s">
        <v>272</v>
      </c>
      <c r="O27" s="38" t="s">
        <v>273</v>
      </c>
      <c r="P27" s="38" t="s">
        <v>274</v>
      </c>
      <c r="Q27" s="38"/>
      <c r="R27" s="40"/>
      <c r="S27" s="49"/>
      <c r="T27" s="49"/>
      <c r="U27" s="49"/>
      <c r="V27" s="49"/>
      <c r="W27" s="49"/>
      <c r="X27" s="49"/>
      <c r="Y27" s="49"/>
      <c r="Z27" s="44"/>
      <c r="AA27" s="47"/>
    </row>
    <row r="28" spans="1:27" ht="15.75" customHeight="1" x14ac:dyDescent="0.2">
      <c r="A28" s="36" t="s">
        <v>275</v>
      </c>
      <c r="B28" s="36" t="s">
        <v>21</v>
      </c>
      <c r="C28" s="36" t="str">
        <f>CONCATENATE(VLOOKUP($D28,CODIFICACIÓN_RUTA!$B$2:$C$3,2,0),MID($F28,1,1)&amp;MID($F28,6,1),VLOOKUP($E28,CODIFICACIÓN_RUTA!$E$2:$F$10,2,0),$A28)</f>
        <v>02RG08027</v>
      </c>
      <c r="D28" s="44" t="s">
        <v>18</v>
      </c>
      <c r="E28" s="44" t="s">
        <v>32</v>
      </c>
      <c r="F28" s="37" t="s">
        <v>276</v>
      </c>
      <c r="G28" s="44" t="s">
        <v>85</v>
      </c>
      <c r="H28" s="44" t="s">
        <v>277</v>
      </c>
      <c r="I28" s="38" t="s">
        <v>116</v>
      </c>
      <c r="J28" s="44">
        <v>7</v>
      </c>
      <c r="K28" s="48"/>
      <c r="L28" s="48">
        <v>2600</v>
      </c>
      <c r="M28" s="48" t="s">
        <v>74</v>
      </c>
      <c r="N28" s="43" t="s">
        <v>278</v>
      </c>
      <c r="O28" s="38" t="s">
        <v>110</v>
      </c>
      <c r="P28" s="38" t="s">
        <v>212</v>
      </c>
      <c r="Q28" s="38" t="s">
        <v>250</v>
      </c>
      <c r="R28" s="38"/>
      <c r="S28" s="38"/>
      <c r="T28" s="38"/>
      <c r="U28" s="49"/>
      <c r="V28" s="49"/>
      <c r="W28" s="49"/>
      <c r="X28" s="49"/>
      <c r="Y28" s="49"/>
      <c r="Z28" s="44" t="s">
        <v>279</v>
      </c>
      <c r="AA28" s="47"/>
    </row>
    <row r="29" spans="1:27" ht="15.75" customHeight="1" x14ac:dyDescent="0.2">
      <c r="A29" s="36" t="s">
        <v>280</v>
      </c>
      <c r="B29" s="36" t="s">
        <v>17</v>
      </c>
      <c r="C29" s="36" t="str">
        <f>CONCATENATE(VLOOKUP($D29,CODIFICACIÓN_RUTA!$B$2:$C$3,2,0),MID($F29,1,1)&amp;MID($F29,6,1),VLOOKUP($E29,CODIFICACIÓN_RUTA!$E$2:$F$10,2,0),$A29)</f>
        <v>01RH02028</v>
      </c>
      <c r="D29" s="44" t="s">
        <v>14</v>
      </c>
      <c r="E29" s="44" t="s">
        <v>20</v>
      </c>
      <c r="F29" s="37" t="s">
        <v>281</v>
      </c>
      <c r="G29" s="44" t="s">
        <v>70</v>
      </c>
      <c r="H29" s="44" t="s">
        <v>282</v>
      </c>
      <c r="I29" s="38" t="s">
        <v>72</v>
      </c>
      <c r="J29" s="44">
        <v>4</v>
      </c>
      <c r="K29" s="52" t="s">
        <v>117</v>
      </c>
      <c r="L29" s="52">
        <v>2830</v>
      </c>
      <c r="M29" s="52" t="s">
        <v>74</v>
      </c>
      <c r="N29" s="42" t="s">
        <v>283</v>
      </c>
      <c r="O29" s="36" t="s">
        <v>284</v>
      </c>
      <c r="P29" s="36" t="s">
        <v>285</v>
      </c>
      <c r="Q29" s="45" t="s">
        <v>111</v>
      </c>
      <c r="R29" s="37" t="s">
        <v>110</v>
      </c>
      <c r="S29" s="49"/>
      <c r="T29" s="49"/>
      <c r="U29" s="49"/>
      <c r="V29" s="49"/>
      <c r="W29" s="49"/>
      <c r="X29" s="49"/>
      <c r="Y29" s="49"/>
      <c r="Z29" s="44"/>
      <c r="AA29" s="47"/>
    </row>
    <row r="30" spans="1:27" ht="15.75" customHeight="1" x14ac:dyDescent="0.2">
      <c r="A30" s="36" t="s">
        <v>286</v>
      </c>
      <c r="B30" s="36" t="s">
        <v>17</v>
      </c>
      <c r="C30" s="36" t="str">
        <f>CONCATENATE(VLOOKUP($D30,CODIFICACIÓN_RUTA!$B$2:$C$3,2,0),MID($F30,1,1)&amp;MID($F30,6,1),VLOOKUP($E30,CODIFICACIÓN_RUTA!$E$2:$F$10,2,0),$A30)</f>
        <v>02RL05029</v>
      </c>
      <c r="D30" s="44" t="s">
        <v>18</v>
      </c>
      <c r="E30" s="44" t="s">
        <v>26</v>
      </c>
      <c r="F30" s="37" t="s">
        <v>287</v>
      </c>
      <c r="G30" s="44" t="s">
        <v>70</v>
      </c>
      <c r="H30" s="44" t="s">
        <v>288</v>
      </c>
      <c r="I30" s="38" t="s">
        <v>72</v>
      </c>
      <c r="J30" s="44">
        <v>6</v>
      </c>
      <c r="K30" s="52" t="s">
        <v>289</v>
      </c>
      <c r="L30" s="52">
        <v>1400</v>
      </c>
      <c r="M30" s="52" t="s">
        <v>74</v>
      </c>
      <c r="N30" s="42" t="s">
        <v>290</v>
      </c>
      <c r="O30" s="45" t="s">
        <v>169</v>
      </c>
      <c r="P30" s="45" t="s">
        <v>291</v>
      </c>
      <c r="Q30" s="37" t="s">
        <v>225</v>
      </c>
      <c r="R30" s="45" t="s">
        <v>292</v>
      </c>
      <c r="S30" s="45" t="s">
        <v>170</v>
      </c>
      <c r="T30" s="49"/>
      <c r="U30" s="49"/>
      <c r="V30" s="49"/>
      <c r="W30" s="49"/>
      <c r="X30" s="49"/>
      <c r="Y30" s="49"/>
      <c r="Z30" s="44"/>
      <c r="AA30" s="47"/>
    </row>
    <row r="31" spans="1:27" ht="15.75" customHeight="1" x14ac:dyDescent="0.2">
      <c r="A31" s="36" t="s">
        <v>293</v>
      </c>
      <c r="B31" s="36" t="s">
        <v>17</v>
      </c>
      <c r="C31" s="36" t="str">
        <f>CONCATENATE(VLOOKUP($D31,CODIFICACIÓN_RUTA!$B$2:$C$3,2,0),MID($F31,1,1)&amp;MID($F31,6,1),VLOOKUP($E31,CODIFICACIÓN_RUTA!$E$2:$F$10,2,0),$A31)</f>
        <v>02RC08030</v>
      </c>
      <c r="D31" s="44" t="s">
        <v>18</v>
      </c>
      <c r="E31" s="44" t="s">
        <v>32</v>
      </c>
      <c r="F31" s="37" t="s">
        <v>294</v>
      </c>
      <c r="G31" s="44" t="s">
        <v>85</v>
      </c>
      <c r="H31" s="44" t="s">
        <v>295</v>
      </c>
      <c r="I31" s="38" t="s">
        <v>72</v>
      </c>
      <c r="J31" s="44">
        <v>6</v>
      </c>
      <c r="K31" s="48" t="s">
        <v>289</v>
      </c>
      <c r="L31" s="48">
        <v>2420</v>
      </c>
      <c r="M31" s="48" t="s">
        <v>241</v>
      </c>
      <c r="N31" s="43" t="s">
        <v>296</v>
      </c>
      <c r="O31" s="36" t="s">
        <v>297</v>
      </c>
      <c r="P31" s="36" t="s">
        <v>298</v>
      </c>
      <c r="Q31" s="36" t="s">
        <v>299</v>
      </c>
      <c r="R31" s="49"/>
      <c r="S31" s="49"/>
      <c r="T31" s="49"/>
      <c r="U31" s="49"/>
      <c r="V31" s="49"/>
      <c r="W31" s="49"/>
      <c r="X31" s="49"/>
      <c r="Y31" s="49"/>
      <c r="Z31" s="44"/>
      <c r="AA31" s="47"/>
    </row>
    <row r="32" spans="1:27" ht="15.75" customHeight="1" x14ac:dyDescent="0.2">
      <c r="A32" s="36" t="s">
        <v>300</v>
      </c>
      <c r="B32" s="36" t="s">
        <v>17</v>
      </c>
      <c r="C32" s="36" t="str">
        <f>CONCATENATE(VLOOKUP($D32,CODIFICACIÓN_RUTA!$B$2:$C$3,2,0),MID($F32,1,1)&amp;MID($F32,6,1),VLOOKUP($E32,CODIFICACIÓN_RUTA!$E$2:$F$10,2,0),$A32)</f>
        <v>01RU01031</v>
      </c>
      <c r="D32" s="44" t="s">
        <v>14</v>
      </c>
      <c r="E32" s="44" t="s">
        <v>16</v>
      </c>
      <c r="F32" s="37" t="s">
        <v>301</v>
      </c>
      <c r="G32" s="44" t="s">
        <v>85</v>
      </c>
      <c r="H32" s="44" t="s">
        <v>241</v>
      </c>
      <c r="I32" s="38" t="s">
        <v>72</v>
      </c>
      <c r="J32" s="44">
        <v>5</v>
      </c>
      <c r="K32" s="48" t="s">
        <v>302</v>
      </c>
      <c r="L32" s="48">
        <v>2850</v>
      </c>
      <c r="M32" s="48" t="s">
        <v>74</v>
      </c>
      <c r="N32" s="43" t="s">
        <v>296</v>
      </c>
      <c r="O32" s="36" t="s">
        <v>93</v>
      </c>
      <c r="P32" s="36" t="s">
        <v>303</v>
      </c>
      <c r="Q32" s="36"/>
      <c r="R32" s="49"/>
      <c r="S32" s="49"/>
      <c r="T32" s="49"/>
      <c r="U32" s="49"/>
      <c r="V32" s="49"/>
      <c r="W32" s="49"/>
      <c r="X32" s="49"/>
      <c r="Y32" s="49" t="s">
        <v>162</v>
      </c>
      <c r="Z32" s="44"/>
      <c r="AA32" s="47"/>
    </row>
    <row r="33" spans="1:27" ht="15.75" customHeight="1" x14ac:dyDescent="0.2">
      <c r="A33" s="36" t="s">
        <v>304</v>
      </c>
      <c r="B33" s="36" t="s">
        <v>17</v>
      </c>
      <c r="C33" s="36" t="str">
        <f>CONCATENATE(VLOOKUP($D33,CODIFICACIÓN_RUTA!$B$2:$C$3,2,0),MID($F33,1,1)&amp;MID($F33,6,1),VLOOKUP($E33,CODIFICACIÓN_RUTA!$E$2:$F$10,2,0),$A33)</f>
        <v>02RP08032</v>
      </c>
      <c r="D33" s="44" t="s">
        <v>18</v>
      </c>
      <c r="E33" s="44" t="s">
        <v>32</v>
      </c>
      <c r="F33" s="37" t="s">
        <v>305</v>
      </c>
      <c r="G33" s="44" t="s">
        <v>70</v>
      </c>
      <c r="H33" s="44" t="s">
        <v>306</v>
      </c>
      <c r="I33" s="38" t="s">
        <v>72</v>
      </c>
      <c r="J33" s="44">
        <v>8</v>
      </c>
      <c r="K33" s="48" t="s">
        <v>307</v>
      </c>
      <c r="L33" s="48">
        <v>2770</v>
      </c>
      <c r="M33" s="48" t="s">
        <v>74</v>
      </c>
      <c r="N33" s="43" t="s">
        <v>308</v>
      </c>
      <c r="O33" s="36"/>
      <c r="P33" s="36"/>
      <c r="Q33" s="36"/>
      <c r="R33" s="49"/>
      <c r="S33" s="49"/>
      <c r="T33" s="49"/>
      <c r="U33" s="49"/>
      <c r="V33" s="49"/>
      <c r="W33" s="49"/>
      <c r="X33" s="49"/>
      <c r="Y33" s="49" t="s">
        <v>309</v>
      </c>
      <c r="Z33" s="44"/>
      <c r="AA33" s="47"/>
    </row>
    <row r="34" spans="1:27" ht="15.75" customHeight="1" x14ac:dyDescent="0.2">
      <c r="A34" s="36" t="s">
        <v>310</v>
      </c>
      <c r="B34" s="36" t="s">
        <v>17</v>
      </c>
      <c r="C34" s="36" t="str">
        <f>CONCATENATE(VLOOKUP($D34,CODIFICACIÓN_RUTA!$B$2:$C$3,2,0),MID($F34,1,1)&amp;MID($F34,6,1),VLOOKUP($E34,CODIFICACIÓN_RUTA!$E$2:$F$10,2,0),$A34)</f>
        <v>01RP01033</v>
      </c>
      <c r="D34" s="44" t="s">
        <v>14</v>
      </c>
      <c r="E34" s="44" t="s">
        <v>16</v>
      </c>
      <c r="F34" s="37" t="s">
        <v>311</v>
      </c>
      <c r="G34" s="44" t="s">
        <v>85</v>
      </c>
      <c r="H34" s="44" t="s">
        <v>312</v>
      </c>
      <c r="I34" s="38" t="s">
        <v>72</v>
      </c>
      <c r="J34" s="44">
        <v>2.2999999999999998</v>
      </c>
      <c r="K34" s="48" t="s">
        <v>313</v>
      </c>
      <c r="L34" s="48">
        <v>2910</v>
      </c>
      <c r="M34" s="48" t="s">
        <v>74</v>
      </c>
      <c r="N34" s="43" t="s">
        <v>314</v>
      </c>
      <c r="O34" s="36" t="s">
        <v>92</v>
      </c>
      <c r="P34" s="38"/>
      <c r="Q34" s="38"/>
      <c r="R34" s="49"/>
      <c r="S34" s="40"/>
      <c r="T34" s="40"/>
      <c r="U34" s="40"/>
      <c r="V34" s="49"/>
      <c r="W34" s="49"/>
      <c r="X34" s="49"/>
      <c r="Y34" s="49"/>
      <c r="Z34" s="44"/>
      <c r="AA34" s="47"/>
    </row>
    <row r="35" spans="1:27" ht="15.75" customHeight="1" x14ac:dyDescent="0.2">
      <c r="A35" s="36" t="s">
        <v>315</v>
      </c>
      <c r="B35" s="36" t="s">
        <v>17</v>
      </c>
      <c r="C35" s="36" t="str">
        <f>CONCATENATE(VLOOKUP($D35,CODIFICACIÓN_RUTA!$B$2:$C$3,2,0),MID($F35,1,1)&amp;MID($F35,6,1),VLOOKUP($E35,CODIFICACIÓN_RUTA!$E$2:$F$10,2,0),$A35)</f>
        <v>01RB01034</v>
      </c>
      <c r="D35" s="44" t="s">
        <v>14</v>
      </c>
      <c r="E35" s="44" t="s">
        <v>16</v>
      </c>
      <c r="F35" s="37" t="s">
        <v>316</v>
      </c>
      <c r="G35" s="44" t="s">
        <v>85</v>
      </c>
      <c r="H35" s="44" t="s">
        <v>317</v>
      </c>
      <c r="I35" s="38" t="s">
        <v>72</v>
      </c>
      <c r="J35" s="44">
        <v>3</v>
      </c>
      <c r="K35" s="48" t="s">
        <v>144</v>
      </c>
      <c r="L35" s="48">
        <v>2230</v>
      </c>
      <c r="M35" s="48" t="s">
        <v>74</v>
      </c>
      <c r="N35" s="43" t="s">
        <v>318</v>
      </c>
      <c r="O35" s="38" t="s">
        <v>319</v>
      </c>
      <c r="P35" s="36" t="s">
        <v>320</v>
      </c>
      <c r="Q35" s="38" t="s">
        <v>321</v>
      </c>
      <c r="R35" s="40"/>
      <c r="S35" s="49"/>
      <c r="T35" s="49"/>
      <c r="U35" s="49"/>
      <c r="V35" s="49"/>
      <c r="W35" s="49"/>
      <c r="X35" s="49"/>
      <c r="Y35" s="49" t="s">
        <v>322</v>
      </c>
      <c r="Z35" s="44"/>
      <c r="AA35" s="47"/>
    </row>
    <row r="36" spans="1:27" ht="15.75" customHeight="1" x14ac:dyDescent="0.2">
      <c r="A36" s="36" t="s">
        <v>323</v>
      </c>
      <c r="B36" s="36" t="s">
        <v>17</v>
      </c>
      <c r="C36" s="36" t="str">
        <f>CONCATENATE(VLOOKUP($D36,CODIFICACIÓN_RUTA!$B$2:$C$3,2,0),MID($F36,1,1)&amp;MID($F36,6,1),VLOOKUP($E36,CODIFICACIÓN_RUTA!$E$2:$F$10,2,0),$A36)</f>
        <v>01RB01035</v>
      </c>
      <c r="D36" s="44" t="s">
        <v>14</v>
      </c>
      <c r="E36" s="44" t="s">
        <v>16</v>
      </c>
      <c r="F36" s="37" t="s">
        <v>324</v>
      </c>
      <c r="G36" s="44" t="s">
        <v>85</v>
      </c>
      <c r="H36" s="44" t="s">
        <v>325</v>
      </c>
      <c r="I36" s="38" t="s">
        <v>72</v>
      </c>
      <c r="J36" s="44">
        <v>3</v>
      </c>
      <c r="K36" s="48" t="s">
        <v>326</v>
      </c>
      <c r="L36" s="48">
        <v>2910</v>
      </c>
      <c r="M36" s="48" t="s">
        <v>74</v>
      </c>
      <c r="N36" s="43" t="s">
        <v>327</v>
      </c>
      <c r="O36" s="36" t="s">
        <v>92</v>
      </c>
      <c r="P36" s="38"/>
      <c r="Q36" s="38"/>
      <c r="R36" s="40"/>
      <c r="S36" s="49"/>
      <c r="T36" s="49"/>
      <c r="U36" s="49"/>
      <c r="V36" s="49"/>
      <c r="W36" s="49"/>
      <c r="X36" s="49"/>
      <c r="Y36" s="49"/>
      <c r="Z36" s="44"/>
      <c r="AA36" s="47"/>
    </row>
    <row r="37" spans="1:27" ht="15.75" customHeight="1" x14ac:dyDescent="0.2">
      <c r="A37" s="36" t="s">
        <v>328</v>
      </c>
      <c r="B37" s="36" t="s">
        <v>17</v>
      </c>
      <c r="C37" s="36" t="str">
        <f>CONCATENATE(VLOOKUP($D37,CODIFICACIÓN_RUTA!$B$2:$C$3,2,0),MID($F37,1,1)&amp;MID($F37,6,1),VLOOKUP($E37,CODIFICACIÓN_RUTA!$E$2:$F$10,2,0),$A37)</f>
        <v>02RL07036</v>
      </c>
      <c r="D37" s="44" t="s">
        <v>18</v>
      </c>
      <c r="E37" s="44" t="s">
        <v>30</v>
      </c>
      <c r="F37" s="37" t="s">
        <v>329</v>
      </c>
      <c r="G37" s="44" t="s">
        <v>70</v>
      </c>
      <c r="H37" s="44" t="s">
        <v>330</v>
      </c>
      <c r="I37" s="38" t="s">
        <v>87</v>
      </c>
      <c r="J37" s="44">
        <v>7</v>
      </c>
      <c r="K37" s="50" t="s">
        <v>248</v>
      </c>
      <c r="L37" s="50">
        <v>3460</v>
      </c>
      <c r="M37" s="50" t="s">
        <v>241</v>
      </c>
      <c r="N37" s="43" t="s">
        <v>331</v>
      </c>
      <c r="O37" s="36" t="s">
        <v>332</v>
      </c>
      <c r="P37" s="36" t="s">
        <v>333</v>
      </c>
      <c r="Q37" s="36" t="s">
        <v>180</v>
      </c>
      <c r="R37" s="49" t="s">
        <v>334</v>
      </c>
      <c r="S37" s="49"/>
      <c r="T37" s="49"/>
      <c r="U37" s="49"/>
      <c r="V37" s="49"/>
      <c r="W37" s="49"/>
      <c r="X37" s="49"/>
      <c r="Y37" s="49"/>
      <c r="Z37" s="38"/>
      <c r="AA37" s="46"/>
    </row>
    <row r="38" spans="1:27" ht="15.75" customHeight="1" x14ac:dyDescent="0.2">
      <c r="A38" s="36" t="s">
        <v>335</v>
      </c>
      <c r="B38" s="36" t="s">
        <v>17</v>
      </c>
      <c r="C38" s="36" t="str">
        <f>CONCATENATE(VLOOKUP($D38,CODIFICACIÓN_RUTA!$B$2:$C$3,2,0),MID($F38,1,1)&amp;MID($F38,6,1),VLOOKUP($E38,CODIFICACIÓN_RUTA!$E$2:$F$10,2,0),$A38)</f>
        <v>02E 07037</v>
      </c>
      <c r="D38" s="44" t="s">
        <v>18</v>
      </c>
      <c r="E38" s="44" t="s">
        <v>30</v>
      </c>
      <c r="F38" s="37" t="s">
        <v>336</v>
      </c>
      <c r="G38" s="44" t="s">
        <v>70</v>
      </c>
      <c r="H38" s="44" t="s">
        <v>337</v>
      </c>
      <c r="I38" s="38" t="s">
        <v>87</v>
      </c>
      <c r="J38" s="44">
        <v>7</v>
      </c>
      <c r="K38" s="50" t="s">
        <v>248</v>
      </c>
      <c r="L38" s="50">
        <v>3460</v>
      </c>
      <c r="M38" s="50" t="s">
        <v>338</v>
      </c>
      <c r="N38" s="43" t="s">
        <v>339</v>
      </c>
      <c r="O38" s="36" t="s">
        <v>332</v>
      </c>
      <c r="P38" s="36" t="s">
        <v>333</v>
      </c>
      <c r="Q38" s="36" t="s">
        <v>180</v>
      </c>
      <c r="R38" s="36" t="s">
        <v>334</v>
      </c>
      <c r="S38" s="49"/>
      <c r="T38" s="49"/>
      <c r="U38" s="49"/>
      <c r="V38" s="40"/>
      <c r="W38" s="40"/>
      <c r="X38" s="40"/>
      <c r="Y38" s="40"/>
      <c r="Z38" s="44"/>
      <c r="AA38" s="47"/>
    </row>
    <row r="39" spans="1:27" ht="15.75" customHeight="1" x14ac:dyDescent="0.2">
      <c r="A39" s="36" t="s">
        <v>340</v>
      </c>
      <c r="B39" s="36" t="s">
        <v>17</v>
      </c>
      <c r="C39" s="36" t="str">
        <f>CONCATENATE(VLOOKUP($D39,CODIFICACIÓN_RUTA!$B$2:$C$3,2,0),MID($F39,1,1)&amp;MID($F39,6,1),VLOOKUP($E39,CODIFICACIÓN_RUTA!$E$2:$F$10,2,0),$A39)</f>
        <v>01RC01038</v>
      </c>
      <c r="D39" s="44" t="s">
        <v>14</v>
      </c>
      <c r="E39" s="44" t="s">
        <v>16</v>
      </c>
      <c r="F39" s="37" t="s">
        <v>341</v>
      </c>
      <c r="G39" s="44" t="s">
        <v>85</v>
      </c>
      <c r="H39" s="44" t="s">
        <v>342</v>
      </c>
      <c r="I39" s="38" t="s">
        <v>72</v>
      </c>
      <c r="J39" s="44">
        <v>1</v>
      </c>
      <c r="K39" s="50" t="s">
        <v>343</v>
      </c>
      <c r="L39" s="50">
        <v>2850</v>
      </c>
      <c r="M39" s="50" t="s">
        <v>74</v>
      </c>
      <c r="N39" s="43" t="s">
        <v>344</v>
      </c>
      <c r="O39" s="36" t="s">
        <v>345</v>
      </c>
      <c r="P39" s="38"/>
      <c r="Q39" s="38"/>
      <c r="R39" s="49"/>
      <c r="S39" s="49"/>
      <c r="T39" s="49"/>
      <c r="U39" s="49"/>
      <c r="V39" s="49"/>
      <c r="W39" s="49"/>
      <c r="X39" s="49"/>
      <c r="Y39" s="49"/>
      <c r="Z39" s="44"/>
      <c r="AA39" s="47"/>
    </row>
    <row r="40" spans="1:27" ht="15.75" customHeight="1" x14ac:dyDescent="0.2">
      <c r="A40" s="36" t="s">
        <v>346</v>
      </c>
      <c r="B40" s="36" t="s">
        <v>17</v>
      </c>
      <c r="C40" s="36" t="str">
        <f>CONCATENATE(VLOOKUP($D40,CODIFICACIÓN_RUTA!$B$2:$C$3,2,0),MID($F40,1,1)&amp;MID($F40,6,1),VLOOKUP($E40,CODIFICACIÓN_RUTA!$E$2:$F$10,2,0),$A40)</f>
        <v>01RL01039</v>
      </c>
      <c r="D40" s="44" t="s">
        <v>14</v>
      </c>
      <c r="E40" s="44" t="s">
        <v>16</v>
      </c>
      <c r="F40" s="37" t="s">
        <v>347</v>
      </c>
      <c r="G40" s="44" t="s">
        <v>85</v>
      </c>
      <c r="H40" s="44" t="s">
        <v>348</v>
      </c>
      <c r="I40" s="38" t="s">
        <v>72</v>
      </c>
      <c r="J40" s="44">
        <v>4</v>
      </c>
      <c r="K40" s="50" t="s">
        <v>349</v>
      </c>
      <c r="L40" s="50">
        <v>2850</v>
      </c>
      <c r="M40" s="50" t="s">
        <v>74</v>
      </c>
      <c r="N40" s="43" t="s">
        <v>350</v>
      </c>
      <c r="O40" s="36" t="s">
        <v>351</v>
      </c>
      <c r="P40" s="38" t="s">
        <v>149</v>
      </c>
      <c r="Q40" s="38"/>
      <c r="R40" s="40"/>
      <c r="S40" s="49"/>
      <c r="T40" s="49"/>
      <c r="U40" s="49"/>
      <c r="V40" s="49"/>
      <c r="W40" s="49"/>
      <c r="X40" s="49"/>
      <c r="Y40" s="49"/>
      <c r="Z40" s="44"/>
      <c r="AA40" s="47"/>
    </row>
    <row r="41" spans="1:27" ht="15.75" customHeight="1" x14ac:dyDescent="0.2">
      <c r="A41" s="36" t="s">
        <v>352</v>
      </c>
      <c r="B41" s="36" t="s">
        <v>17</v>
      </c>
      <c r="C41" s="36" t="str">
        <f>CONCATENATE(VLOOKUP($D41,CODIFICACIÓN_RUTA!$B$2:$C$3,2,0),MID($F41,1,1)&amp;MID($F41,6,1),VLOOKUP($E41,CODIFICACIÓN_RUTA!$E$2:$F$10,2,0),$A41)</f>
        <v>01RD02040</v>
      </c>
      <c r="D41" s="44" t="s">
        <v>14</v>
      </c>
      <c r="E41" s="44" t="s">
        <v>20</v>
      </c>
      <c r="F41" s="37" t="s">
        <v>353</v>
      </c>
      <c r="G41" s="44" t="s">
        <v>85</v>
      </c>
      <c r="H41" s="44" t="s">
        <v>354</v>
      </c>
      <c r="I41" s="38" t="s">
        <v>72</v>
      </c>
      <c r="J41" s="44">
        <v>3</v>
      </c>
      <c r="K41" s="50" t="s">
        <v>355</v>
      </c>
      <c r="L41" s="50">
        <v>2850</v>
      </c>
      <c r="M41" s="50" t="s">
        <v>74</v>
      </c>
      <c r="N41" s="43" t="s">
        <v>356</v>
      </c>
      <c r="O41" s="36" t="s">
        <v>357</v>
      </c>
      <c r="P41" s="36" t="s">
        <v>358</v>
      </c>
      <c r="Q41" s="38"/>
      <c r="R41" s="49"/>
      <c r="S41" s="49"/>
      <c r="T41" s="49"/>
      <c r="U41" s="49"/>
      <c r="V41" s="49"/>
      <c r="W41" s="49"/>
      <c r="X41" s="49"/>
      <c r="Y41" s="49"/>
      <c r="Z41" s="44"/>
      <c r="AA41" s="47"/>
    </row>
    <row r="42" spans="1:27" ht="15.75" customHeight="1" x14ac:dyDescent="0.2">
      <c r="A42" s="36" t="s">
        <v>359</v>
      </c>
      <c r="B42" s="36" t="s">
        <v>17</v>
      </c>
      <c r="C42" s="36" t="str">
        <f>CONCATENATE(VLOOKUP($D42,CODIFICACIÓN_RUTA!$B$2:$C$3,2,0),MID($F42,1,1)&amp;MID($F42,6,1),VLOOKUP($E42,CODIFICACIÓN_RUTA!$E$2:$F$10,2,0),$A42)</f>
        <v>02RP07041</v>
      </c>
      <c r="D42" s="44" t="s">
        <v>18</v>
      </c>
      <c r="E42" s="44" t="s">
        <v>30</v>
      </c>
      <c r="F42" s="37" t="s">
        <v>360</v>
      </c>
      <c r="G42" s="44" t="s">
        <v>85</v>
      </c>
      <c r="H42" s="44" t="s">
        <v>361</v>
      </c>
      <c r="I42" s="38" t="s">
        <v>87</v>
      </c>
      <c r="J42" s="44">
        <v>6</v>
      </c>
      <c r="K42" s="50" t="s">
        <v>362</v>
      </c>
      <c r="L42" s="50">
        <v>3460</v>
      </c>
      <c r="M42" s="50" t="s">
        <v>241</v>
      </c>
      <c r="N42" s="43" t="s">
        <v>363</v>
      </c>
      <c r="O42" s="44" t="s">
        <v>364</v>
      </c>
      <c r="P42" s="38"/>
      <c r="Q42" s="38"/>
      <c r="R42" s="49"/>
      <c r="S42" s="49"/>
      <c r="T42" s="49"/>
      <c r="U42" s="49"/>
      <c r="V42" s="49"/>
      <c r="W42" s="49"/>
      <c r="X42" s="49"/>
      <c r="Y42" s="49"/>
      <c r="Z42" s="44"/>
      <c r="AA42" s="47"/>
    </row>
    <row r="43" spans="1:27" ht="15.75" customHeight="1" x14ac:dyDescent="0.2">
      <c r="A43" s="36" t="s">
        <v>365</v>
      </c>
      <c r="B43" s="36" t="s">
        <v>17</v>
      </c>
      <c r="C43" s="36" t="str">
        <f>CONCATENATE(VLOOKUP($D43,CODIFICACIÓN_RUTA!$B$2:$C$3,2,0),MID($F43,1,1)&amp;MID($F43,6,1),VLOOKUP($E43,CODIFICACIÓN_RUTA!$E$2:$F$10,2,0),$A43)</f>
        <v>01RJ03042</v>
      </c>
      <c r="D43" s="44" t="s">
        <v>14</v>
      </c>
      <c r="E43" s="44" t="s">
        <v>22</v>
      </c>
      <c r="F43" s="37" t="s">
        <v>366</v>
      </c>
      <c r="G43" s="44" t="s">
        <v>85</v>
      </c>
      <c r="H43" s="44" t="s">
        <v>367</v>
      </c>
      <c r="I43" s="38" t="s">
        <v>87</v>
      </c>
      <c r="J43" s="44">
        <v>3</v>
      </c>
      <c r="K43" s="44" t="s">
        <v>117</v>
      </c>
      <c r="L43" s="44">
        <v>3460</v>
      </c>
      <c r="M43" s="44" t="s">
        <v>241</v>
      </c>
      <c r="N43" s="43" t="s">
        <v>368</v>
      </c>
      <c r="O43" s="36" t="s">
        <v>369</v>
      </c>
      <c r="P43" s="38"/>
      <c r="Q43" s="38"/>
      <c r="R43" s="49"/>
      <c r="S43" s="49"/>
      <c r="T43" s="49"/>
      <c r="U43" s="49"/>
      <c r="V43" s="49"/>
      <c r="W43" s="49"/>
      <c r="X43" s="49"/>
      <c r="Y43" s="49"/>
      <c r="Z43" s="44"/>
      <c r="AA43" s="47"/>
    </row>
    <row r="44" spans="1:27" ht="15.75" customHeight="1" x14ac:dyDescent="0.2">
      <c r="A44" s="36" t="s">
        <v>370</v>
      </c>
      <c r="B44" s="36" t="s">
        <v>17</v>
      </c>
      <c r="C44" s="36" t="str">
        <f>CONCATENATE(VLOOKUP($D44,CODIFICACIÓN_RUTA!$B$2:$C$3,2,0),MID($F44,1,1)&amp;MID($F44,6,1),VLOOKUP($E44,CODIFICACIÓN_RUTA!$E$2:$F$10,2,0),$A44)</f>
        <v>01RM01043</v>
      </c>
      <c r="D44" s="44" t="s">
        <v>14</v>
      </c>
      <c r="E44" s="44" t="s">
        <v>16</v>
      </c>
      <c r="F44" s="37" t="s">
        <v>371</v>
      </c>
      <c r="G44" s="44" t="s">
        <v>129</v>
      </c>
      <c r="H44" s="44" t="s">
        <v>372</v>
      </c>
      <c r="I44" s="38" t="s">
        <v>72</v>
      </c>
      <c r="J44" s="44">
        <v>1</v>
      </c>
      <c r="K44" s="44" t="s">
        <v>343</v>
      </c>
      <c r="L44" s="44">
        <v>2850</v>
      </c>
      <c r="M44" s="44" t="s">
        <v>74</v>
      </c>
      <c r="N44" s="43" t="s">
        <v>373</v>
      </c>
      <c r="O44" s="38" t="s">
        <v>374</v>
      </c>
      <c r="P44" s="38"/>
      <c r="Q44" s="38"/>
      <c r="R44" s="49"/>
      <c r="S44" s="49"/>
      <c r="T44" s="49"/>
      <c r="U44" s="49"/>
      <c r="V44" s="49"/>
      <c r="W44" s="49"/>
      <c r="X44" s="49"/>
      <c r="Y44" s="49"/>
      <c r="Z44" s="44"/>
      <c r="AA44" s="47"/>
    </row>
    <row r="45" spans="1:27" ht="15.75" customHeight="1" x14ac:dyDescent="0.2">
      <c r="A45" s="36" t="s">
        <v>375</v>
      </c>
      <c r="B45" s="36" t="s">
        <v>17</v>
      </c>
      <c r="C45" s="36" t="str">
        <f>CONCATENATE(VLOOKUP($D45,CODIFICACIÓN_RUTA!$B$2:$C$3,2,0),MID($F45,1,1)&amp;MID($F45,6,1),VLOOKUP($E45,CODIFICACIÓN_RUTA!$E$2:$F$10,2,0),$A45)</f>
        <v>01RQ01044</v>
      </c>
      <c r="D45" s="44" t="s">
        <v>14</v>
      </c>
      <c r="E45" s="44" t="s">
        <v>16</v>
      </c>
      <c r="F45" s="37" t="s">
        <v>376</v>
      </c>
      <c r="G45" s="44" t="s">
        <v>70</v>
      </c>
      <c r="H45" s="44" t="s">
        <v>377</v>
      </c>
      <c r="I45" s="38" t="s">
        <v>72</v>
      </c>
      <c r="J45" s="44">
        <v>4</v>
      </c>
      <c r="K45" s="44" t="s">
        <v>378</v>
      </c>
      <c r="L45" s="44">
        <v>3100</v>
      </c>
      <c r="M45" s="44" t="s">
        <v>74</v>
      </c>
      <c r="N45" s="43" t="s">
        <v>379</v>
      </c>
      <c r="O45" s="38" t="s">
        <v>90</v>
      </c>
      <c r="P45" s="38" t="s">
        <v>380</v>
      </c>
      <c r="Q45" s="38" t="s">
        <v>80</v>
      </c>
      <c r="R45" s="49"/>
      <c r="S45" s="49"/>
      <c r="T45" s="49"/>
      <c r="U45" s="49"/>
      <c r="V45" s="49"/>
      <c r="W45" s="49"/>
      <c r="X45" s="49"/>
      <c r="Y45" s="49" t="s">
        <v>381</v>
      </c>
      <c r="Z45" s="44"/>
      <c r="AA45" s="47"/>
    </row>
    <row r="46" spans="1:27" ht="15.75" customHeight="1" x14ac:dyDescent="0.2">
      <c r="A46" s="36" t="s">
        <v>382</v>
      </c>
      <c r="B46" s="36" t="s">
        <v>17</v>
      </c>
      <c r="C46" s="36" t="str">
        <f>CONCATENATE(VLOOKUP($D46,CODIFICACIÓN_RUTA!$B$2:$C$3,2,0),MID($F46,1,1)&amp;MID($F46,6,1),VLOOKUP($E46,CODIFICACIÓN_RUTA!$E$2:$F$10,2,0),$A46)</f>
        <v>02RE05045</v>
      </c>
      <c r="D46" s="44" t="s">
        <v>18</v>
      </c>
      <c r="E46" s="44" t="s">
        <v>26</v>
      </c>
      <c r="F46" s="37" t="s">
        <v>383</v>
      </c>
      <c r="G46" s="44" t="s">
        <v>70</v>
      </c>
      <c r="H46" s="44" t="s">
        <v>384</v>
      </c>
      <c r="I46" s="38" t="s">
        <v>176</v>
      </c>
      <c r="J46" s="44">
        <v>8</v>
      </c>
      <c r="K46" s="44" t="s">
        <v>385</v>
      </c>
      <c r="L46" s="44">
        <v>2800</v>
      </c>
      <c r="M46" s="44" t="s">
        <v>241</v>
      </c>
      <c r="N46" s="43" t="s">
        <v>386</v>
      </c>
      <c r="O46" s="38" t="s">
        <v>387</v>
      </c>
      <c r="P46" s="38"/>
      <c r="Q46" s="38"/>
      <c r="R46" s="49"/>
      <c r="S46" s="49"/>
      <c r="T46" s="49"/>
      <c r="U46" s="49"/>
      <c r="V46" s="49"/>
      <c r="W46" s="49"/>
      <c r="X46" s="49"/>
      <c r="Y46" s="49"/>
      <c r="Z46" s="44"/>
      <c r="AA46" s="47"/>
    </row>
    <row r="47" spans="1:27" ht="15.75" customHeight="1" x14ac:dyDescent="0.2">
      <c r="A47" s="36" t="s">
        <v>388</v>
      </c>
      <c r="B47" s="36" t="s">
        <v>17</v>
      </c>
      <c r="C47" s="36" t="str">
        <f>CONCATENATE(VLOOKUP($D47,CODIFICACIÓN_RUTA!$B$2:$C$3,2,0),MID($F47,1,1)&amp;MID($F47,6,1),VLOOKUP($E47,CODIFICACIÓN_RUTA!$E$2:$F$10,2,0),$A47)</f>
        <v>01RB01046</v>
      </c>
      <c r="D47" s="44" t="s">
        <v>14</v>
      </c>
      <c r="E47" s="44" t="s">
        <v>16</v>
      </c>
      <c r="F47" s="37" t="s">
        <v>389</v>
      </c>
      <c r="G47" s="44" t="s">
        <v>85</v>
      </c>
      <c r="H47" s="44" t="s">
        <v>390</v>
      </c>
      <c r="I47" s="38" t="s">
        <v>72</v>
      </c>
      <c r="J47" s="44">
        <v>3</v>
      </c>
      <c r="K47" s="44" t="s">
        <v>117</v>
      </c>
      <c r="L47" s="44">
        <v>3100</v>
      </c>
      <c r="M47" s="44" t="s">
        <v>74</v>
      </c>
      <c r="N47" s="43" t="s">
        <v>391</v>
      </c>
      <c r="O47" s="36" t="s">
        <v>345</v>
      </c>
      <c r="P47" s="38" t="s">
        <v>392</v>
      </c>
      <c r="Q47" s="38"/>
      <c r="R47" s="49"/>
      <c r="S47" s="49"/>
      <c r="T47" s="49"/>
      <c r="U47" s="49"/>
      <c r="V47" s="49"/>
      <c r="W47" s="49"/>
      <c r="X47" s="49"/>
      <c r="Y47" s="49" t="s">
        <v>393</v>
      </c>
      <c r="Z47" s="44"/>
      <c r="AA47" s="47"/>
    </row>
    <row r="48" spans="1:27" ht="15.75" customHeight="1" x14ac:dyDescent="0.2">
      <c r="A48" s="36" t="s">
        <v>394</v>
      </c>
      <c r="B48" s="36" t="s">
        <v>17</v>
      </c>
      <c r="C48" s="36" t="str">
        <f>CONCATENATE(VLOOKUP($D48,CODIFICACIÓN_RUTA!$B$2:$C$3,2,0),MID($F48,1,1)&amp;MID($F48,6,1),VLOOKUP($E48,CODIFICACIÓN_RUTA!$E$2:$F$10,2,0),$A48)</f>
        <v>01RB01047</v>
      </c>
      <c r="D48" s="44" t="s">
        <v>14</v>
      </c>
      <c r="E48" s="44" t="s">
        <v>16</v>
      </c>
      <c r="F48" s="37" t="s">
        <v>395</v>
      </c>
      <c r="G48" s="44" t="s">
        <v>85</v>
      </c>
      <c r="H48" s="44" t="s">
        <v>396</v>
      </c>
      <c r="I48" s="38" t="s">
        <v>72</v>
      </c>
      <c r="J48" s="44">
        <v>3</v>
      </c>
      <c r="K48" s="44" t="s">
        <v>108</v>
      </c>
      <c r="L48" s="44">
        <v>2850</v>
      </c>
      <c r="M48" s="44" t="s">
        <v>74</v>
      </c>
      <c r="N48" s="43" t="s">
        <v>397</v>
      </c>
      <c r="O48" s="38" t="s">
        <v>398</v>
      </c>
      <c r="P48" s="36" t="s">
        <v>92</v>
      </c>
      <c r="Q48" s="38"/>
      <c r="R48" s="49"/>
      <c r="S48" s="49"/>
      <c r="T48" s="49"/>
      <c r="U48" s="49"/>
      <c r="V48" s="49"/>
      <c r="W48" s="49"/>
      <c r="X48" s="49"/>
      <c r="Y48" s="49"/>
      <c r="Z48" s="44"/>
      <c r="AA48" s="47"/>
    </row>
    <row r="49" spans="1:27" ht="15.75" customHeight="1" x14ac:dyDescent="0.2">
      <c r="A49" s="36" t="s">
        <v>399</v>
      </c>
      <c r="B49" s="36" t="s">
        <v>17</v>
      </c>
      <c r="C49" s="36" t="str">
        <f>CONCATENATE(VLOOKUP($D49,CODIFICACIÓN_RUTA!$B$2:$C$3,2,0),MID($F49,1,1)&amp;MID($F49,6,1),VLOOKUP($E49,CODIFICACIÓN_RUTA!$E$2:$F$10,2,0),$A49)</f>
        <v>01RS01048</v>
      </c>
      <c r="D49" s="44" t="s">
        <v>14</v>
      </c>
      <c r="E49" s="44" t="s">
        <v>16</v>
      </c>
      <c r="F49" s="37" t="s">
        <v>400</v>
      </c>
      <c r="G49" s="44" t="s">
        <v>85</v>
      </c>
      <c r="H49" s="44" t="s">
        <v>401</v>
      </c>
      <c r="I49" s="38" t="s">
        <v>72</v>
      </c>
      <c r="J49" s="44">
        <v>3</v>
      </c>
      <c r="K49" s="44" t="s">
        <v>402</v>
      </c>
      <c r="L49" s="44">
        <v>2850</v>
      </c>
      <c r="M49" s="44" t="s">
        <v>74</v>
      </c>
      <c r="N49" s="43" t="s">
        <v>403</v>
      </c>
      <c r="O49" s="38" t="s">
        <v>90</v>
      </c>
      <c r="P49" s="38" t="s">
        <v>404</v>
      </c>
      <c r="Q49" s="36" t="s">
        <v>94</v>
      </c>
      <c r="R49" s="49"/>
      <c r="S49" s="49"/>
      <c r="T49" s="49"/>
      <c r="U49" s="49"/>
      <c r="V49" s="49"/>
      <c r="W49" s="49"/>
      <c r="X49" s="49"/>
      <c r="Y49" s="49"/>
      <c r="Z49" s="44"/>
      <c r="AA49" s="47"/>
    </row>
    <row r="50" spans="1:27" ht="15.75" customHeight="1" x14ac:dyDescent="0.2">
      <c r="A50" s="36" t="s">
        <v>405</v>
      </c>
      <c r="B50" s="36" t="s">
        <v>17</v>
      </c>
      <c r="C50" s="36" t="str">
        <f>CONCATENATE(VLOOKUP($D50,CODIFICACIÓN_RUTA!$B$2:$C$3,2,0),MID($F50,1,1)&amp;MID($F50,6,1),VLOOKUP($E50,CODIFICACIÓN_RUTA!$E$2:$F$10,2,0),$A50)</f>
        <v>01RB01049</v>
      </c>
      <c r="D50" s="44" t="s">
        <v>14</v>
      </c>
      <c r="E50" s="44" t="s">
        <v>16</v>
      </c>
      <c r="F50" s="37" t="s">
        <v>406</v>
      </c>
      <c r="G50" s="44" t="s">
        <v>85</v>
      </c>
      <c r="H50" s="44" t="s">
        <v>407</v>
      </c>
      <c r="I50" s="38" t="s">
        <v>72</v>
      </c>
      <c r="J50" s="44">
        <v>3</v>
      </c>
      <c r="K50" s="44" t="s">
        <v>117</v>
      </c>
      <c r="L50" s="44">
        <v>2850</v>
      </c>
      <c r="M50" s="44" t="s">
        <v>74</v>
      </c>
      <c r="N50" s="43" t="s">
        <v>408</v>
      </c>
      <c r="O50" s="36" t="s">
        <v>351</v>
      </c>
      <c r="P50" s="38" t="s">
        <v>149</v>
      </c>
      <c r="Q50" s="38"/>
      <c r="R50" s="49"/>
      <c r="S50" s="49"/>
      <c r="T50" s="49"/>
      <c r="U50" s="49"/>
      <c r="V50" s="49"/>
      <c r="W50" s="49"/>
      <c r="X50" s="49"/>
      <c r="Y50" s="49"/>
      <c r="Z50" s="44"/>
      <c r="AA50" s="47"/>
    </row>
    <row r="51" spans="1:27" ht="15.75" customHeight="1" x14ac:dyDescent="0.2">
      <c r="A51" s="36" t="s">
        <v>409</v>
      </c>
      <c r="B51" s="36" t="s">
        <v>17</v>
      </c>
      <c r="C51" s="36" t="str">
        <f>CONCATENATE(VLOOKUP($D51,CODIFICACIÓN_RUTA!$B$2:$C$3,2,0),MID($F51,1,1)&amp;MID($F51,6,1),VLOOKUP($E51,CODIFICACIÓN_RUTA!$E$2:$F$10,2,0),$A51)</f>
        <v>01RB01050</v>
      </c>
      <c r="D51" s="44" t="s">
        <v>14</v>
      </c>
      <c r="E51" s="44" t="s">
        <v>16</v>
      </c>
      <c r="F51" s="37" t="s">
        <v>410</v>
      </c>
      <c r="G51" s="44" t="s">
        <v>85</v>
      </c>
      <c r="H51" s="44" t="s">
        <v>411</v>
      </c>
      <c r="I51" s="38" t="s">
        <v>72</v>
      </c>
      <c r="J51" s="44">
        <v>3</v>
      </c>
      <c r="K51" s="44" t="s">
        <v>108</v>
      </c>
      <c r="L51" s="44">
        <v>2850</v>
      </c>
      <c r="M51" s="44" t="s">
        <v>74</v>
      </c>
      <c r="N51" s="43" t="s">
        <v>412</v>
      </c>
      <c r="O51" s="38" t="s">
        <v>413</v>
      </c>
      <c r="P51" s="36" t="s">
        <v>77</v>
      </c>
      <c r="Q51" s="38"/>
      <c r="R51" s="49"/>
      <c r="S51" s="49"/>
      <c r="T51" s="49"/>
      <c r="U51" s="49"/>
      <c r="V51" s="49"/>
      <c r="W51" s="49"/>
      <c r="X51" s="49"/>
      <c r="Y51" s="49" t="s">
        <v>162</v>
      </c>
      <c r="Z51" s="44"/>
      <c r="AA51" s="47"/>
    </row>
    <row r="52" spans="1:27" ht="15.75" customHeight="1" x14ac:dyDescent="0.2">
      <c r="A52" s="36" t="s">
        <v>414</v>
      </c>
      <c r="B52" s="36" t="s">
        <v>17</v>
      </c>
      <c r="C52" s="36" t="str">
        <f>CONCATENATE(VLOOKUP($D52,CODIFICACIÓN_RUTA!$B$2:$C$3,2,0),MID($F52,1,1)&amp;MID($F52,6,1),VLOOKUP($E52,CODIFICACIÓN_RUTA!$E$2:$F$10,2,0),$A52)</f>
        <v>01RB01051</v>
      </c>
      <c r="D52" s="44" t="s">
        <v>14</v>
      </c>
      <c r="E52" s="44" t="s">
        <v>16</v>
      </c>
      <c r="F52" s="37" t="s">
        <v>415</v>
      </c>
      <c r="G52" s="38" t="s">
        <v>85</v>
      </c>
      <c r="H52" s="38" t="s">
        <v>416</v>
      </c>
      <c r="I52" s="38" t="s">
        <v>72</v>
      </c>
      <c r="J52" s="44">
        <v>4</v>
      </c>
      <c r="K52" s="44" t="s">
        <v>117</v>
      </c>
      <c r="L52" s="44">
        <v>2850</v>
      </c>
      <c r="M52" s="44" t="s">
        <v>74</v>
      </c>
      <c r="N52" s="43" t="s">
        <v>417</v>
      </c>
      <c r="O52" s="36" t="s">
        <v>345</v>
      </c>
      <c r="P52" s="38"/>
      <c r="Q52" s="38"/>
      <c r="R52" s="49"/>
      <c r="S52" s="49"/>
      <c r="T52" s="49"/>
      <c r="U52" s="49"/>
      <c r="V52" s="49"/>
      <c r="W52" s="49"/>
      <c r="X52" s="49"/>
      <c r="Y52" s="49" t="s">
        <v>418</v>
      </c>
      <c r="Z52" s="44"/>
      <c r="AA52" s="47"/>
    </row>
    <row r="53" spans="1:27" ht="15.75" customHeight="1" x14ac:dyDescent="0.2">
      <c r="A53" s="36" t="s">
        <v>419</v>
      </c>
      <c r="B53" s="36" t="s">
        <v>17</v>
      </c>
      <c r="C53" s="36" t="str">
        <f>CONCATENATE(VLOOKUP($D53,CODIFICACIÓN_RUTA!$B$2:$C$3,2,0),MID($F53,1,1)&amp;MID($F53,6,1),VLOOKUP($E53,CODIFICACIÓN_RUTA!$E$2:$F$10,2,0),$A53)</f>
        <v>02RU01052</v>
      </c>
      <c r="D53" s="44" t="s">
        <v>18</v>
      </c>
      <c r="E53" s="44" t="s">
        <v>16</v>
      </c>
      <c r="F53" s="37" t="s">
        <v>420</v>
      </c>
      <c r="G53" s="44" t="s">
        <v>85</v>
      </c>
      <c r="H53" s="44" t="s">
        <v>421</v>
      </c>
      <c r="I53" s="38" t="s">
        <v>99</v>
      </c>
      <c r="J53" s="44">
        <v>6</v>
      </c>
      <c r="K53" s="44">
        <v>25</v>
      </c>
      <c r="L53" s="44">
        <v>3642</v>
      </c>
      <c r="M53" s="44"/>
      <c r="N53" s="43" t="s">
        <v>422</v>
      </c>
      <c r="O53" s="36" t="s">
        <v>423</v>
      </c>
      <c r="P53" s="38" t="s">
        <v>424</v>
      </c>
      <c r="Q53" s="38" t="s">
        <v>425</v>
      </c>
      <c r="R53" s="49"/>
      <c r="S53" s="49"/>
      <c r="T53" s="49"/>
      <c r="U53" s="49"/>
      <c r="V53" s="49"/>
      <c r="W53" s="49"/>
      <c r="X53" s="49"/>
      <c r="Y53" s="49"/>
      <c r="Z53" s="44"/>
      <c r="AA53" s="47"/>
    </row>
    <row r="54" spans="1:27" ht="15.75" customHeight="1" x14ac:dyDescent="0.2">
      <c r="A54" s="36" t="s">
        <v>426</v>
      </c>
      <c r="B54" s="36" t="s">
        <v>17</v>
      </c>
      <c r="C54" s="36" t="str">
        <f>CONCATENATE(VLOOKUP($D54,CODIFICACIÓN_RUTA!$B$2:$C$3,2,0),MID($F54,1,1)&amp;MID($F54,6,1),VLOOKUP($E54,CODIFICACIÓN_RUTA!$E$2:$F$10,2,0),$A54)</f>
        <v>01  01053</v>
      </c>
      <c r="D54" s="44" t="s">
        <v>14</v>
      </c>
      <c r="E54" s="44" t="s">
        <v>16</v>
      </c>
      <c r="F54" s="37" t="s">
        <v>427</v>
      </c>
      <c r="G54" s="44" t="s">
        <v>85</v>
      </c>
      <c r="H54" s="44" t="s">
        <v>428</v>
      </c>
      <c r="I54" s="38" t="s">
        <v>99</v>
      </c>
      <c r="J54" s="44">
        <v>2.5</v>
      </c>
      <c r="K54" s="44" t="s">
        <v>117</v>
      </c>
      <c r="L54" s="44">
        <v>2830</v>
      </c>
      <c r="M54" s="44" t="s">
        <v>74</v>
      </c>
      <c r="N54" s="43" t="s">
        <v>429</v>
      </c>
      <c r="O54" s="36" t="s">
        <v>81</v>
      </c>
      <c r="P54" s="36" t="s">
        <v>430</v>
      </c>
      <c r="Q54" s="38" t="s">
        <v>431</v>
      </c>
      <c r="R54" s="49"/>
      <c r="S54" s="49"/>
      <c r="T54" s="49"/>
      <c r="U54" s="49"/>
      <c r="V54" s="49"/>
      <c r="W54" s="49"/>
      <c r="X54" s="49"/>
      <c r="Y54" s="49" t="s">
        <v>162</v>
      </c>
      <c r="Z54" s="44"/>
      <c r="AA54" s="47"/>
    </row>
    <row r="55" spans="1:27" ht="15.75" customHeight="1" x14ac:dyDescent="0.2">
      <c r="A55" s="36" t="s">
        <v>432</v>
      </c>
      <c r="B55" s="36" t="s">
        <v>17</v>
      </c>
      <c r="C55" s="36" t="str">
        <f>CONCATENATE(VLOOKUP($D55,CODIFICACIÓN_RUTA!$B$2:$C$3,2,0),MID($F55,1,1)&amp;MID($F55,6,1),VLOOKUP($E55,CODIFICACIÓN_RUTA!$E$2:$F$10,2,0),$A55)</f>
        <v>01  01054</v>
      </c>
      <c r="D55" s="44" t="s">
        <v>14</v>
      </c>
      <c r="E55" s="44" t="s">
        <v>16</v>
      </c>
      <c r="F55" s="37" t="s">
        <v>433</v>
      </c>
      <c r="G55" s="44" t="s">
        <v>129</v>
      </c>
      <c r="H55" s="44" t="s">
        <v>434</v>
      </c>
      <c r="I55" s="38" t="s">
        <v>99</v>
      </c>
      <c r="J55" s="44">
        <v>6</v>
      </c>
      <c r="K55" s="44" t="s">
        <v>435</v>
      </c>
      <c r="L55" s="44">
        <v>33800</v>
      </c>
      <c r="M55" s="44" t="s">
        <v>74</v>
      </c>
      <c r="N55" s="43" t="s">
        <v>436</v>
      </c>
      <c r="O55" s="44" t="s">
        <v>423</v>
      </c>
      <c r="P55" s="36" t="s">
        <v>437</v>
      </c>
      <c r="Q55" s="38"/>
      <c r="R55" s="49"/>
      <c r="S55" s="49"/>
      <c r="T55" s="49"/>
      <c r="U55" s="49"/>
      <c r="V55" s="49"/>
      <c r="W55" s="49"/>
      <c r="X55" s="49"/>
      <c r="Y55" s="49"/>
      <c r="Z55" s="44"/>
      <c r="AA55" s="47"/>
    </row>
    <row r="56" spans="1:27" ht="15.75" customHeight="1" x14ac:dyDescent="0.2">
      <c r="A56" s="36" t="s">
        <v>438</v>
      </c>
      <c r="B56" s="36" t="s">
        <v>17</v>
      </c>
      <c r="C56" s="36" t="str">
        <f>CONCATENATE(VLOOKUP($D56,CODIFICACIÓN_RUTA!$B$2:$C$3,2,0),MID($F56,1,1)&amp;MID($F56,6,1),VLOOKUP($E56,CODIFICACIÓN_RUTA!$E$2:$F$10,2,0),$A56)</f>
        <v>01  01055</v>
      </c>
      <c r="D56" s="44" t="s">
        <v>14</v>
      </c>
      <c r="E56" s="44" t="s">
        <v>16</v>
      </c>
      <c r="F56" s="37" t="s">
        <v>439</v>
      </c>
      <c r="G56" s="44" t="s">
        <v>70</v>
      </c>
      <c r="H56" s="44" t="s">
        <v>440</v>
      </c>
      <c r="I56" s="38" t="s">
        <v>99</v>
      </c>
      <c r="J56" s="44">
        <v>3</v>
      </c>
      <c r="K56" s="44" t="s">
        <v>271</v>
      </c>
      <c r="L56" s="44">
        <v>2850</v>
      </c>
      <c r="M56" s="44" t="s">
        <v>74</v>
      </c>
      <c r="N56" s="43" t="s">
        <v>441</v>
      </c>
      <c r="O56" s="38" t="s">
        <v>413</v>
      </c>
      <c r="P56" s="36" t="s">
        <v>81</v>
      </c>
      <c r="Q56" s="38" t="s">
        <v>83</v>
      </c>
      <c r="R56" s="38" t="s">
        <v>380</v>
      </c>
      <c r="S56" s="49"/>
      <c r="T56" s="49"/>
      <c r="U56" s="49"/>
      <c r="V56" s="49"/>
      <c r="W56" s="49"/>
      <c r="X56" s="49"/>
      <c r="Y56" s="49"/>
      <c r="Z56" s="44"/>
      <c r="AA56" s="47"/>
    </row>
    <row r="57" spans="1:27" ht="15.75" customHeight="1" x14ac:dyDescent="0.2">
      <c r="A57" s="36" t="s">
        <v>442</v>
      </c>
      <c r="B57" s="36" t="s">
        <v>17</v>
      </c>
      <c r="C57" s="36" t="str">
        <f>CONCATENATE(VLOOKUP($D57,CODIFICACIÓN_RUTA!$B$2:$C$3,2,0),MID($F57,1,1)&amp;MID($F57,6,1),VLOOKUP($E57,CODIFICACIÓN_RUTA!$E$2:$F$10,2,0),$A57)</f>
        <v>01RL01056</v>
      </c>
      <c r="D57" s="44" t="s">
        <v>14</v>
      </c>
      <c r="E57" s="44" t="s">
        <v>16</v>
      </c>
      <c r="F57" s="37" t="s">
        <v>443</v>
      </c>
      <c r="G57" s="44" t="s">
        <v>70</v>
      </c>
      <c r="H57" s="44" t="s">
        <v>444</v>
      </c>
      <c r="I57" s="38" t="s">
        <v>116</v>
      </c>
      <c r="J57" s="44">
        <v>3</v>
      </c>
      <c r="K57" s="44" t="s">
        <v>108</v>
      </c>
      <c r="L57" s="44">
        <v>2850</v>
      </c>
      <c r="M57" s="44" t="s">
        <v>74</v>
      </c>
      <c r="N57" s="43" t="s">
        <v>445</v>
      </c>
      <c r="O57" s="44"/>
      <c r="P57" s="38"/>
      <c r="Q57" s="38"/>
      <c r="R57" s="49"/>
      <c r="S57" s="49"/>
      <c r="T57" s="49"/>
      <c r="U57" s="49"/>
      <c r="V57" s="49"/>
      <c r="W57" s="49"/>
      <c r="X57" s="49"/>
      <c r="Y57" s="49" t="s">
        <v>446</v>
      </c>
      <c r="Z57" s="44"/>
      <c r="AA57" s="47"/>
    </row>
    <row r="58" spans="1:27" ht="15.75" customHeight="1" x14ac:dyDescent="0.2">
      <c r="A58" s="36" t="s">
        <v>447</v>
      </c>
      <c r="B58" s="36" t="s">
        <v>17</v>
      </c>
      <c r="C58" s="36" t="str">
        <f>CONCATENATE(VLOOKUP($D58,CODIFICACIÓN_RUTA!$B$2:$C$3,2,0),MID($F58,1,1)&amp;MID($F58,6,1),VLOOKUP($E58,CODIFICACIÓN_RUTA!$E$2:$F$10,2,0),$A58)</f>
        <v>02RR05057</v>
      </c>
      <c r="D58" s="38" t="s">
        <v>18</v>
      </c>
      <c r="E58" s="38" t="s">
        <v>26</v>
      </c>
      <c r="F58" s="37" t="s">
        <v>448</v>
      </c>
      <c r="G58" s="38" t="s">
        <v>85</v>
      </c>
      <c r="H58" s="38" t="s">
        <v>449</v>
      </c>
      <c r="I58" s="38" t="s">
        <v>87</v>
      </c>
      <c r="J58" s="38">
        <v>7</v>
      </c>
      <c r="K58" s="38" t="s">
        <v>450</v>
      </c>
      <c r="L58" s="38">
        <v>3100</v>
      </c>
      <c r="M58" s="38" t="s">
        <v>74</v>
      </c>
      <c r="N58" s="43" t="s">
        <v>451</v>
      </c>
      <c r="O58" s="38" t="s">
        <v>225</v>
      </c>
      <c r="P58" s="38" t="s">
        <v>452</v>
      </c>
      <c r="Q58" s="38"/>
      <c r="R58" s="40"/>
      <c r="S58" s="40"/>
      <c r="T58" s="40"/>
      <c r="U58" s="40"/>
      <c r="V58" s="40"/>
      <c r="W58" s="40"/>
      <c r="X58" s="40"/>
      <c r="Y58" s="40"/>
      <c r="Z58" s="38"/>
      <c r="AA58" s="46"/>
    </row>
    <row r="59" spans="1:27" ht="15.75" customHeight="1" x14ac:dyDescent="0.2">
      <c r="A59" s="36" t="s">
        <v>453</v>
      </c>
      <c r="B59" s="36" t="s">
        <v>17</v>
      </c>
      <c r="C59" s="36" t="str">
        <f>CONCATENATE(VLOOKUP($D59,CODIFICACIÓN_RUTA!$B$2:$C$3,2,0),MID($F59,1,1)&amp;MID($F59,6,1),VLOOKUP($E59,CODIFICACIÓN_RUTA!$E$2:$F$10,2,0),$A59)</f>
        <v>02RQ05058</v>
      </c>
      <c r="D59" s="44" t="s">
        <v>18</v>
      </c>
      <c r="E59" s="44" t="s">
        <v>26</v>
      </c>
      <c r="F59" s="37" t="s">
        <v>454</v>
      </c>
      <c r="G59" s="44" t="s">
        <v>85</v>
      </c>
      <c r="H59" s="44" t="s">
        <v>455</v>
      </c>
      <c r="I59" s="38" t="s">
        <v>87</v>
      </c>
      <c r="J59" s="44">
        <v>7</v>
      </c>
      <c r="K59" s="44" t="s">
        <v>456</v>
      </c>
      <c r="L59" s="44">
        <v>2832</v>
      </c>
      <c r="M59" s="44" t="s">
        <v>74</v>
      </c>
      <c r="N59" s="43" t="s">
        <v>457</v>
      </c>
      <c r="O59" s="38" t="s">
        <v>458</v>
      </c>
      <c r="P59" s="38"/>
      <c r="Q59" s="38"/>
      <c r="R59" s="49"/>
      <c r="S59" s="49"/>
      <c r="T59" s="49"/>
      <c r="U59" s="49"/>
      <c r="V59" s="49"/>
      <c r="W59" s="49"/>
      <c r="X59" s="49"/>
      <c r="Y59" s="49"/>
      <c r="Z59" s="38"/>
      <c r="AA59" s="46"/>
    </row>
    <row r="60" spans="1:27" ht="15.75" customHeight="1" x14ac:dyDescent="0.2">
      <c r="A60" s="36" t="s">
        <v>459</v>
      </c>
      <c r="B60" s="36" t="s">
        <v>17</v>
      </c>
      <c r="C60" s="36" t="str">
        <f>CONCATENATE(VLOOKUP($D60,CODIFICACIÓN_RUTA!$B$2:$C$3,2,0),MID($F60,1,1)&amp;MID($F60,6,1),VLOOKUP($E60,CODIFICACIÓN_RUTA!$E$2:$F$10,2,0),$A60)</f>
        <v>02RQ05059</v>
      </c>
      <c r="D60" s="44" t="s">
        <v>18</v>
      </c>
      <c r="E60" s="44" t="s">
        <v>26</v>
      </c>
      <c r="F60" s="37" t="s">
        <v>460</v>
      </c>
      <c r="G60" s="44" t="s">
        <v>70</v>
      </c>
      <c r="H60" s="44" t="s">
        <v>461</v>
      </c>
      <c r="I60" s="44" t="s">
        <v>176</v>
      </c>
      <c r="J60" s="44">
        <v>5</v>
      </c>
      <c r="K60" s="44" t="s">
        <v>462</v>
      </c>
      <c r="L60" s="44">
        <v>3180</v>
      </c>
      <c r="M60" s="44" t="s">
        <v>74</v>
      </c>
      <c r="N60" s="43" t="s">
        <v>463</v>
      </c>
      <c r="O60" s="38" t="s">
        <v>464</v>
      </c>
      <c r="P60" s="38"/>
      <c r="Q60" s="38"/>
      <c r="R60" s="49"/>
      <c r="S60" s="49"/>
      <c r="T60" s="49"/>
      <c r="U60" s="49"/>
      <c r="V60" s="49"/>
      <c r="W60" s="49"/>
      <c r="X60" s="49"/>
      <c r="Y60" s="49"/>
      <c r="Z60" s="44"/>
      <c r="AA60" s="47"/>
    </row>
    <row r="61" spans="1:27" ht="15.75" customHeight="1" x14ac:dyDescent="0.2">
      <c r="A61" s="36" t="s">
        <v>465</v>
      </c>
      <c r="B61" s="36" t="s">
        <v>17</v>
      </c>
      <c r="C61" s="36" t="str">
        <f>CONCATENATE(VLOOKUP($D61,CODIFICACIÓN_RUTA!$B$2:$C$3,2,0),MID($F61,1,1)&amp;MID($F61,6,1),VLOOKUP($E61,CODIFICACIÓN_RUTA!$E$2:$F$10,2,0),$A61)</f>
        <v>02RT04060</v>
      </c>
      <c r="D61" s="44" t="s">
        <v>18</v>
      </c>
      <c r="E61" s="44" t="s">
        <v>24</v>
      </c>
      <c r="F61" s="37" t="s">
        <v>466</v>
      </c>
      <c r="G61" s="44" t="s">
        <v>85</v>
      </c>
      <c r="H61" s="44" t="s">
        <v>467</v>
      </c>
      <c r="I61" s="38" t="s">
        <v>87</v>
      </c>
      <c r="J61" s="44">
        <v>5</v>
      </c>
      <c r="K61" s="44" t="s">
        <v>462</v>
      </c>
      <c r="L61" s="44">
        <v>2800</v>
      </c>
      <c r="M61" s="44" t="s">
        <v>241</v>
      </c>
      <c r="N61" s="43" t="s">
        <v>468</v>
      </c>
      <c r="O61" s="38" t="s">
        <v>225</v>
      </c>
      <c r="P61" s="38" t="s">
        <v>469</v>
      </c>
      <c r="Q61" s="38"/>
      <c r="R61" s="49"/>
      <c r="S61" s="49"/>
      <c r="T61" s="49"/>
      <c r="U61" s="49"/>
      <c r="V61" s="49"/>
      <c r="W61" s="49"/>
      <c r="X61" s="49"/>
      <c r="Y61" s="49"/>
      <c r="Z61" s="44"/>
      <c r="AA61" s="47"/>
    </row>
    <row r="62" spans="1:27" ht="15.75" customHeight="1" x14ac:dyDescent="0.2">
      <c r="A62" s="36" t="s">
        <v>470</v>
      </c>
      <c r="B62" s="36" t="s">
        <v>17</v>
      </c>
      <c r="C62" s="36" t="str">
        <f>CONCATENATE(VLOOKUP($D62,CODIFICACIÓN_RUTA!$B$2:$C$3,2,0),MID($F62,1,1)&amp;MID($F62,6,1),VLOOKUP($E62,CODIFICACIÓN_RUTA!$E$2:$F$10,2,0),$A62)</f>
        <v>02RA07061</v>
      </c>
      <c r="D62" s="44" t="s">
        <v>18</v>
      </c>
      <c r="E62" s="44" t="s">
        <v>30</v>
      </c>
      <c r="F62" s="37" t="s">
        <v>471</v>
      </c>
      <c r="G62" s="44" t="s">
        <v>70</v>
      </c>
      <c r="H62" s="44" t="s">
        <v>472</v>
      </c>
      <c r="I62" s="44" t="s">
        <v>176</v>
      </c>
      <c r="J62" s="44">
        <v>7</v>
      </c>
      <c r="K62" s="44" t="s">
        <v>248</v>
      </c>
      <c r="L62" s="44">
        <v>4800</v>
      </c>
      <c r="M62" s="44" t="s">
        <v>241</v>
      </c>
      <c r="N62" s="43" t="s">
        <v>473</v>
      </c>
      <c r="O62" s="38" t="s">
        <v>474</v>
      </c>
      <c r="P62" s="36" t="s">
        <v>180</v>
      </c>
      <c r="Q62" s="38"/>
      <c r="R62" s="49"/>
      <c r="S62" s="49"/>
      <c r="T62" s="49"/>
      <c r="U62" s="49"/>
      <c r="V62" s="49"/>
      <c r="W62" s="49"/>
      <c r="X62" s="49"/>
      <c r="Y62" s="49"/>
      <c r="Z62" s="44"/>
      <c r="AA62" s="47"/>
    </row>
    <row r="63" spans="1:27" ht="15.75" customHeight="1" x14ac:dyDescent="0.2">
      <c r="A63" s="36" t="s">
        <v>475</v>
      </c>
      <c r="B63" s="36" t="s">
        <v>17</v>
      </c>
      <c r="C63" s="36" t="str">
        <f>CONCATENATE(VLOOKUP($D63,CODIFICACIÓN_RUTA!$B$2:$C$3,2,0),MID($F63,1,1)&amp;MID($F63,6,1),VLOOKUP($E63,CODIFICACIÓN_RUTA!$E$2:$F$10,2,0),$A63)</f>
        <v>01RM01062</v>
      </c>
      <c r="D63" s="44" t="s">
        <v>14</v>
      </c>
      <c r="E63" s="44" t="s">
        <v>16</v>
      </c>
      <c r="F63" s="37" t="s">
        <v>476</v>
      </c>
      <c r="G63" s="44" t="s">
        <v>85</v>
      </c>
      <c r="H63" s="44" t="s">
        <v>477</v>
      </c>
      <c r="I63" s="38" t="s">
        <v>72</v>
      </c>
      <c r="J63" s="44">
        <v>4</v>
      </c>
      <c r="K63" s="44" t="s">
        <v>478</v>
      </c>
      <c r="L63" s="44">
        <v>3100</v>
      </c>
      <c r="M63" s="44" t="s">
        <v>74</v>
      </c>
      <c r="N63" s="43" t="s">
        <v>479</v>
      </c>
      <c r="O63" s="36" t="s">
        <v>480</v>
      </c>
      <c r="P63" s="36" t="s">
        <v>94</v>
      </c>
      <c r="Q63" s="38"/>
      <c r="R63" s="49"/>
      <c r="S63" s="49"/>
      <c r="T63" s="49"/>
      <c r="U63" s="49"/>
      <c r="V63" s="49"/>
      <c r="W63" s="49"/>
      <c r="X63" s="49"/>
      <c r="Y63" s="49"/>
      <c r="Z63" s="38"/>
      <c r="AA63" s="46"/>
    </row>
    <row r="64" spans="1:27" ht="15.75" customHeight="1" x14ac:dyDescent="0.2">
      <c r="A64" s="36" t="s">
        <v>481</v>
      </c>
      <c r="B64" s="36" t="s">
        <v>17</v>
      </c>
      <c r="C64" s="36" t="str">
        <f>CONCATENATE(VLOOKUP($D64,CODIFICACIÓN_RUTA!$B$2:$C$3,2,0),MID($F64,1,1)&amp;MID($F64,6,1),VLOOKUP($E64,CODIFICACIÓN_RUTA!$E$2:$F$10,2,0),$A64)</f>
        <v>01RC01063</v>
      </c>
      <c r="D64" s="44" t="s">
        <v>14</v>
      </c>
      <c r="E64" s="44" t="s">
        <v>16</v>
      </c>
      <c r="F64" s="37" t="s">
        <v>482</v>
      </c>
      <c r="G64" s="44" t="s">
        <v>85</v>
      </c>
      <c r="H64" s="44" t="s">
        <v>483</v>
      </c>
      <c r="I64" s="38" t="s">
        <v>72</v>
      </c>
      <c r="J64" s="44">
        <v>3</v>
      </c>
      <c r="K64" s="44" t="s">
        <v>271</v>
      </c>
      <c r="L64" s="44">
        <v>2850</v>
      </c>
      <c r="M64" s="44" t="s">
        <v>241</v>
      </c>
      <c r="N64" s="43" t="s">
        <v>484</v>
      </c>
      <c r="O64" s="38" t="s">
        <v>485</v>
      </c>
      <c r="P64" s="38" t="s">
        <v>486</v>
      </c>
      <c r="Q64" s="38" t="s">
        <v>380</v>
      </c>
      <c r="R64" s="49"/>
      <c r="S64" s="49"/>
      <c r="T64" s="49"/>
      <c r="U64" s="49"/>
      <c r="V64" s="49"/>
      <c r="W64" s="49"/>
      <c r="X64" s="49"/>
      <c r="Y64" s="49"/>
      <c r="Z64" s="38"/>
      <c r="AA64" s="46"/>
    </row>
    <row r="65" spans="1:27" ht="15.75" customHeight="1" x14ac:dyDescent="0.2">
      <c r="A65" s="36" t="s">
        <v>487</v>
      </c>
      <c r="B65" s="36" t="s">
        <v>17</v>
      </c>
      <c r="C65" s="36" t="str">
        <f>CONCATENATE(VLOOKUP($D65,CODIFICACIÓN_RUTA!$B$2:$C$3,2,0),MID($F65,1,1)&amp;MID($F65,6,1),VLOOKUP($E65,CODIFICACIÓN_RUTA!$E$2:$F$10,2,0),$A65)</f>
        <v>01RT02064</v>
      </c>
      <c r="D65" s="44" t="s">
        <v>14</v>
      </c>
      <c r="E65" s="44" t="s">
        <v>20</v>
      </c>
      <c r="F65" s="37" t="s">
        <v>488</v>
      </c>
      <c r="G65" s="44" t="s">
        <v>85</v>
      </c>
      <c r="H65" s="44" t="s">
        <v>489</v>
      </c>
      <c r="I65" s="38" t="s">
        <v>99</v>
      </c>
      <c r="J65" s="44">
        <v>2</v>
      </c>
      <c r="K65" s="44" t="s">
        <v>490</v>
      </c>
      <c r="L65" s="44">
        <v>2850</v>
      </c>
      <c r="M65" s="44" t="s">
        <v>74</v>
      </c>
      <c r="N65" s="43" t="s">
        <v>491</v>
      </c>
      <c r="O65" s="38" t="s">
        <v>110</v>
      </c>
      <c r="P65" s="38" t="s">
        <v>492</v>
      </c>
      <c r="Q65" s="38"/>
      <c r="R65" s="49"/>
      <c r="S65" s="49"/>
      <c r="T65" s="49"/>
      <c r="U65" s="49"/>
      <c r="V65" s="49"/>
      <c r="W65" s="49"/>
      <c r="X65" s="49"/>
      <c r="Y65" s="49"/>
      <c r="Z65" s="44"/>
      <c r="AA65" s="47"/>
    </row>
    <row r="66" spans="1:27" ht="15.75" customHeight="1" x14ac:dyDescent="0.2">
      <c r="A66" s="36" t="s">
        <v>493</v>
      </c>
      <c r="B66" s="36" t="s">
        <v>17</v>
      </c>
      <c r="C66" s="36" t="str">
        <f>CONCATENATE(VLOOKUP($D66,CODIFICACIÓN_RUTA!$B$2:$C$3,2,0),MID($F66,1,1)&amp;MID($F66,6,1),VLOOKUP($E66,CODIFICACIÓN_RUTA!$E$2:$F$10,2,0),$A66)</f>
        <v>01RE01065</v>
      </c>
      <c r="D66" s="44" t="s">
        <v>14</v>
      </c>
      <c r="E66" s="44" t="s">
        <v>16</v>
      </c>
      <c r="F66" s="37" t="s">
        <v>494</v>
      </c>
      <c r="G66" s="38" t="s">
        <v>85</v>
      </c>
      <c r="H66" s="38" t="s">
        <v>495</v>
      </c>
      <c r="I66" s="38" t="s">
        <v>99</v>
      </c>
      <c r="J66" s="44">
        <v>3</v>
      </c>
      <c r="K66" s="44" t="s">
        <v>496</v>
      </c>
      <c r="L66" s="44">
        <v>2820</v>
      </c>
      <c r="M66" s="44" t="s">
        <v>241</v>
      </c>
      <c r="N66" s="43" t="s">
        <v>497</v>
      </c>
      <c r="O66" s="38" t="s">
        <v>431</v>
      </c>
      <c r="P66" s="38" t="s">
        <v>498</v>
      </c>
      <c r="Q66" s="36" t="s">
        <v>94</v>
      </c>
      <c r="R66" s="36" t="s">
        <v>499</v>
      </c>
      <c r="S66" s="49"/>
      <c r="T66" s="49"/>
      <c r="U66" s="49"/>
      <c r="V66" s="49"/>
      <c r="W66" s="49"/>
      <c r="X66" s="49"/>
      <c r="Y66" s="49"/>
      <c r="Z66" s="38"/>
      <c r="AA66" s="46"/>
    </row>
    <row r="67" spans="1:27" ht="15.75" customHeight="1" x14ac:dyDescent="0.2">
      <c r="A67" s="36" t="s">
        <v>500</v>
      </c>
      <c r="B67" s="36" t="s">
        <v>17</v>
      </c>
      <c r="C67" s="36" t="str">
        <f>CONCATENATE(VLOOKUP($D67,CODIFICACIÓN_RUTA!$B$2:$C$3,2,0),MID($F67,1,1)&amp;MID($F67,6,1),VLOOKUP($E67,CODIFICACIÓN_RUTA!$E$2:$F$10,2,0),$A67)</f>
        <v>01RE01066</v>
      </c>
      <c r="D67" s="44" t="s">
        <v>14</v>
      </c>
      <c r="E67" s="44" t="s">
        <v>16</v>
      </c>
      <c r="F67" s="37" t="s">
        <v>501</v>
      </c>
      <c r="G67" s="38" t="s">
        <v>70</v>
      </c>
      <c r="H67" s="38" t="s">
        <v>502</v>
      </c>
      <c r="I67" s="38" t="s">
        <v>99</v>
      </c>
      <c r="J67" s="44">
        <v>3</v>
      </c>
      <c r="K67" s="44" t="s">
        <v>144</v>
      </c>
      <c r="L67" s="44">
        <v>2830</v>
      </c>
      <c r="M67" s="44" t="s">
        <v>74</v>
      </c>
      <c r="N67" s="43" t="s">
        <v>503</v>
      </c>
      <c r="O67" s="38" t="s">
        <v>380</v>
      </c>
      <c r="P67" s="36" t="s">
        <v>504</v>
      </c>
      <c r="Q67" s="36" t="s">
        <v>430</v>
      </c>
      <c r="R67" s="49"/>
      <c r="S67" s="49"/>
      <c r="T67" s="49"/>
      <c r="U67" s="49"/>
      <c r="V67" s="49"/>
      <c r="W67" s="49"/>
      <c r="X67" s="49"/>
      <c r="Y67" s="49" t="s">
        <v>505</v>
      </c>
      <c r="Z67" s="38"/>
      <c r="AA67" s="46"/>
    </row>
    <row r="68" spans="1:27" ht="15.75" customHeight="1" x14ac:dyDescent="0.2">
      <c r="A68" s="36" t="s">
        <v>506</v>
      </c>
      <c r="B68" s="36" t="s">
        <v>17</v>
      </c>
      <c r="C68" s="36" t="str">
        <f>CONCATENATE(VLOOKUP($D68,CODIFICACIÓN_RUTA!$B$2:$C$3,2,0),MID($F68,1,1)&amp;MID($F68,6,1),VLOOKUP($E68,CODIFICACIÓN_RUTA!$E$2:$F$10,2,0),$A68)</f>
        <v>02RD01067</v>
      </c>
      <c r="D68" s="44" t="s">
        <v>18</v>
      </c>
      <c r="E68" s="44" t="s">
        <v>16</v>
      </c>
      <c r="F68" s="37" t="s">
        <v>507</v>
      </c>
      <c r="G68" s="44" t="s">
        <v>129</v>
      </c>
      <c r="H68" s="44" t="s">
        <v>508</v>
      </c>
      <c r="I68" s="44" t="s">
        <v>87</v>
      </c>
      <c r="J68" s="44">
        <v>6</v>
      </c>
      <c r="K68" s="44" t="s">
        <v>509</v>
      </c>
      <c r="L68" s="44">
        <v>3595</v>
      </c>
      <c r="M68" s="44" t="s">
        <v>241</v>
      </c>
      <c r="N68" s="43" t="s">
        <v>510</v>
      </c>
      <c r="O68" s="36" t="s">
        <v>511</v>
      </c>
      <c r="P68" s="38" t="s">
        <v>512</v>
      </c>
      <c r="Q68" s="38"/>
      <c r="R68" s="49"/>
      <c r="S68" s="49"/>
      <c r="T68" s="49"/>
      <c r="U68" s="49"/>
      <c r="V68" s="49"/>
      <c r="W68" s="49"/>
      <c r="X68" s="49"/>
      <c r="Y68" s="49"/>
      <c r="Z68" s="44"/>
      <c r="AA68" s="47"/>
    </row>
    <row r="69" spans="1:27" ht="15.75" customHeight="1" x14ac:dyDescent="0.2">
      <c r="A69" s="36" t="s">
        <v>513</v>
      </c>
      <c r="B69" s="36" t="s">
        <v>17</v>
      </c>
      <c r="C69" s="36" t="str">
        <f>CONCATENATE(VLOOKUP($D69,CODIFICACIÓN_RUTA!$B$2:$C$3,2,0),MID($F69,1,1)&amp;MID($F69,6,1),VLOOKUP($E69,CODIFICACIÓN_RUTA!$E$2:$F$10,2,0),$A69)</f>
        <v>01RM01068</v>
      </c>
      <c r="D69" s="44" t="s">
        <v>14</v>
      </c>
      <c r="E69" s="44" t="s">
        <v>16</v>
      </c>
      <c r="F69" s="37" t="s">
        <v>514</v>
      </c>
      <c r="G69" s="44" t="s">
        <v>70</v>
      </c>
      <c r="H69" s="44" t="s">
        <v>515</v>
      </c>
      <c r="I69" s="38" t="s">
        <v>72</v>
      </c>
      <c r="J69" s="44">
        <v>6</v>
      </c>
      <c r="K69" s="44" t="s">
        <v>117</v>
      </c>
      <c r="L69" s="44">
        <v>33800</v>
      </c>
      <c r="M69" s="44" t="s">
        <v>74</v>
      </c>
      <c r="N69" s="43" t="s">
        <v>516</v>
      </c>
      <c r="O69" s="36" t="s">
        <v>517</v>
      </c>
      <c r="P69" s="36" t="s">
        <v>430</v>
      </c>
      <c r="Q69" s="38"/>
      <c r="R69" s="49"/>
      <c r="S69" s="49"/>
      <c r="T69" s="49"/>
      <c r="U69" s="49"/>
      <c r="V69" s="49"/>
      <c r="W69" s="49"/>
      <c r="X69" s="49"/>
      <c r="Y69" s="49"/>
      <c r="Z69" s="44"/>
      <c r="AA69" s="47"/>
    </row>
    <row r="70" spans="1:27" ht="15.75" customHeight="1" x14ac:dyDescent="0.2">
      <c r="A70" s="36" t="s">
        <v>518</v>
      </c>
      <c r="B70" s="36" t="s">
        <v>17</v>
      </c>
      <c r="C70" s="36" t="str">
        <f>CONCATENATE(VLOOKUP($D70,CODIFICACIÓN_RUTA!$B$2:$C$3,2,0),MID($F70,1,1)&amp;MID($F70,6,1),VLOOKUP($E70,CODIFICACIÓN_RUTA!$E$2:$F$10,2,0),$A70)</f>
        <v>02RR02069</v>
      </c>
      <c r="D70" s="44" t="s">
        <v>18</v>
      </c>
      <c r="E70" s="44" t="s">
        <v>20</v>
      </c>
      <c r="F70" s="37" t="s">
        <v>519</v>
      </c>
      <c r="G70" s="44" t="s">
        <v>70</v>
      </c>
      <c r="H70" s="53" t="s">
        <v>520</v>
      </c>
      <c r="I70" s="44" t="s">
        <v>87</v>
      </c>
      <c r="J70" s="44">
        <v>7</v>
      </c>
      <c r="K70" s="44" t="s">
        <v>521</v>
      </c>
      <c r="L70" s="44">
        <v>3990</v>
      </c>
      <c r="M70" s="44" t="s">
        <v>241</v>
      </c>
      <c r="N70" s="43" t="s">
        <v>522</v>
      </c>
      <c r="O70" s="38" t="s">
        <v>523</v>
      </c>
      <c r="P70" s="36" t="s">
        <v>524</v>
      </c>
      <c r="Q70" s="38"/>
      <c r="R70" s="49"/>
      <c r="S70" s="49"/>
      <c r="T70" s="49"/>
      <c r="U70" s="49"/>
      <c r="V70" s="49"/>
      <c r="W70" s="49"/>
      <c r="X70" s="49"/>
      <c r="Y70" s="49"/>
      <c r="Z70" s="44"/>
      <c r="AA70" s="47"/>
    </row>
    <row r="71" spans="1:27" ht="15.75" customHeight="1" x14ac:dyDescent="0.2">
      <c r="A71" s="36" t="s">
        <v>525</v>
      </c>
      <c r="B71" s="36" t="s">
        <v>17</v>
      </c>
      <c r="C71" s="36" t="str">
        <f>CONCATENATE(VLOOKUP($D71,CODIFICACIÓN_RUTA!$B$2:$C$3,2,0),MID($F71,1,1)&amp;MID($F71,6,1),VLOOKUP($E71,CODIFICACIÓN_RUTA!$E$2:$F$10,2,0),$A71)</f>
        <v>01RD01070</v>
      </c>
      <c r="D71" s="44" t="s">
        <v>14</v>
      </c>
      <c r="E71" s="44" t="s">
        <v>16</v>
      </c>
      <c r="F71" s="37" t="s">
        <v>526</v>
      </c>
      <c r="G71" s="44" t="s">
        <v>129</v>
      </c>
      <c r="H71" s="44" t="s">
        <v>527</v>
      </c>
      <c r="I71" s="38" t="s">
        <v>72</v>
      </c>
      <c r="J71" s="44">
        <v>4</v>
      </c>
      <c r="K71" s="44" t="s">
        <v>528</v>
      </c>
      <c r="L71" s="44">
        <v>3100</v>
      </c>
      <c r="M71" s="44" t="s">
        <v>74</v>
      </c>
      <c r="N71" s="43" t="s">
        <v>529</v>
      </c>
      <c r="O71" s="38" t="s">
        <v>80</v>
      </c>
      <c r="P71" s="36" t="s">
        <v>351</v>
      </c>
      <c r="Q71" s="36" t="s">
        <v>345</v>
      </c>
      <c r="R71" s="49"/>
      <c r="S71" s="49"/>
      <c r="T71" s="49"/>
      <c r="U71" s="49"/>
      <c r="V71" s="49"/>
      <c r="W71" s="49"/>
      <c r="X71" s="49"/>
      <c r="Y71" s="49"/>
      <c r="Z71" s="44"/>
      <c r="AA71" s="47"/>
    </row>
    <row r="72" spans="1:27" ht="15.75" customHeight="1" x14ac:dyDescent="0.2">
      <c r="A72" s="36" t="s">
        <v>530</v>
      </c>
      <c r="B72" s="36" t="s">
        <v>17</v>
      </c>
      <c r="C72" s="36" t="str">
        <f>CONCATENATE(VLOOKUP($D72,CODIFICACIÓN_RUTA!$B$2:$C$3,2,0),MID($F72,1,1)&amp;MID($F72,6,1),VLOOKUP($E72,CODIFICACIÓN_RUTA!$E$2:$F$10,2,0),$A72)</f>
        <v>01RQ03071</v>
      </c>
      <c r="D72" s="44" t="s">
        <v>14</v>
      </c>
      <c r="E72" s="44" t="s">
        <v>22</v>
      </c>
      <c r="F72" s="37" t="s">
        <v>531</v>
      </c>
      <c r="G72" s="38" t="s">
        <v>85</v>
      </c>
      <c r="H72" s="38" t="s">
        <v>532</v>
      </c>
      <c r="I72" s="44" t="s">
        <v>87</v>
      </c>
      <c r="J72" s="44">
        <v>3</v>
      </c>
      <c r="K72" s="44" t="s">
        <v>533</v>
      </c>
      <c r="L72" s="44">
        <v>2800</v>
      </c>
      <c r="M72" s="44" t="s">
        <v>74</v>
      </c>
      <c r="N72" s="43" t="s">
        <v>534</v>
      </c>
      <c r="O72" s="36" t="s">
        <v>535</v>
      </c>
      <c r="P72" s="36" t="s">
        <v>369</v>
      </c>
      <c r="Q72" s="36" t="s">
        <v>536</v>
      </c>
      <c r="R72" s="49"/>
      <c r="S72" s="49"/>
      <c r="T72" s="49"/>
      <c r="U72" s="49"/>
      <c r="V72" s="49"/>
      <c r="W72" s="49"/>
      <c r="X72" s="49"/>
      <c r="Y72" s="49"/>
      <c r="Z72" s="44"/>
      <c r="AA72" s="47"/>
    </row>
    <row r="73" spans="1:27" ht="15.75" customHeight="1" x14ac:dyDescent="0.2">
      <c r="A73" s="36" t="s">
        <v>537</v>
      </c>
      <c r="B73" s="36" t="s">
        <v>17</v>
      </c>
      <c r="C73" s="36" t="str">
        <f>CONCATENATE(VLOOKUP($D73,CODIFICACIÓN_RUTA!$B$2:$C$3,2,0),MID($F73,1,1)&amp;MID($F73,6,1),VLOOKUP($E73,CODIFICACIÓN_RUTA!$E$2:$F$10,2,0),$A73)</f>
        <v>01RT01072</v>
      </c>
      <c r="D73" s="44" t="s">
        <v>14</v>
      </c>
      <c r="E73" s="44" t="s">
        <v>16</v>
      </c>
      <c r="F73" s="37" t="s">
        <v>538</v>
      </c>
      <c r="G73" s="38" t="s">
        <v>85</v>
      </c>
      <c r="H73" s="38" t="s">
        <v>539</v>
      </c>
      <c r="I73" s="38" t="s">
        <v>72</v>
      </c>
      <c r="J73" s="44">
        <v>3</v>
      </c>
      <c r="K73" s="44" t="s">
        <v>540</v>
      </c>
      <c r="L73" s="44">
        <v>2850</v>
      </c>
      <c r="M73" s="44" t="s">
        <v>74</v>
      </c>
      <c r="N73" s="43" t="s">
        <v>541</v>
      </c>
      <c r="O73" s="38" t="s">
        <v>404</v>
      </c>
      <c r="P73" s="38" t="s">
        <v>149</v>
      </c>
      <c r="Q73" s="38" t="s">
        <v>273</v>
      </c>
      <c r="R73" s="49"/>
      <c r="S73" s="49"/>
      <c r="T73" s="49"/>
      <c r="U73" s="49"/>
      <c r="V73" s="49"/>
      <c r="W73" s="49"/>
      <c r="X73" s="49"/>
      <c r="Y73" s="49"/>
      <c r="Z73" s="44"/>
      <c r="AA73" s="47"/>
    </row>
    <row r="74" spans="1:27" ht="15.75" customHeight="1" x14ac:dyDescent="0.2">
      <c r="A74" s="36" t="s">
        <v>542</v>
      </c>
      <c r="B74" s="36" t="s">
        <v>17</v>
      </c>
      <c r="C74" s="36" t="str">
        <f>CONCATENATE(VLOOKUP($D74,CODIFICACIÓN_RUTA!$B$2:$C$3,2,0),MID($F74,1,1)&amp;MID($F74,6,1),VLOOKUP($E74,CODIFICACIÓN_RUTA!$E$2:$F$10,2,0),$A74)</f>
        <v>02RT05073</v>
      </c>
      <c r="D74" s="44" t="s">
        <v>18</v>
      </c>
      <c r="E74" s="44" t="s">
        <v>26</v>
      </c>
      <c r="F74" s="37" t="s">
        <v>543</v>
      </c>
      <c r="G74" s="44" t="s">
        <v>70</v>
      </c>
      <c r="H74" s="44" t="s">
        <v>544</v>
      </c>
      <c r="I74" s="44" t="s">
        <v>87</v>
      </c>
      <c r="J74" s="44">
        <v>7</v>
      </c>
      <c r="K74" s="44" t="s">
        <v>240</v>
      </c>
      <c r="L74" s="44">
        <v>3100</v>
      </c>
      <c r="M74" s="44" t="s">
        <v>74</v>
      </c>
      <c r="N74" s="43" t="s">
        <v>545</v>
      </c>
      <c r="O74" s="38" t="s">
        <v>225</v>
      </c>
      <c r="P74" s="38" t="s">
        <v>546</v>
      </c>
      <c r="Q74" s="38"/>
      <c r="R74" s="49"/>
      <c r="S74" s="49"/>
      <c r="T74" s="49"/>
      <c r="U74" s="49"/>
      <c r="V74" s="49"/>
      <c r="W74" s="49"/>
      <c r="X74" s="49"/>
      <c r="Y74" s="49"/>
      <c r="Z74" s="44"/>
      <c r="AA74" s="47"/>
    </row>
    <row r="75" spans="1:27" ht="15.75" customHeight="1" x14ac:dyDescent="0.2">
      <c r="A75" s="36" t="s">
        <v>547</v>
      </c>
      <c r="B75" s="36" t="s">
        <v>17</v>
      </c>
      <c r="C75" s="36" t="str">
        <f>CONCATENATE(VLOOKUP($D75,CODIFICACIÓN_RUTA!$B$2:$C$3,2,0),MID($F75,1,1)&amp;MID($F75,6,1),VLOOKUP($E75,CODIFICACIÓN_RUTA!$E$2:$F$10,2,0),$A75)</f>
        <v>01RT01074</v>
      </c>
      <c r="D75" s="38" t="s">
        <v>14</v>
      </c>
      <c r="E75" s="38" t="s">
        <v>16</v>
      </c>
      <c r="F75" s="37" t="s">
        <v>548</v>
      </c>
      <c r="G75" s="38" t="s">
        <v>129</v>
      </c>
      <c r="H75" s="38" t="s">
        <v>549</v>
      </c>
      <c r="I75" s="38" t="s">
        <v>72</v>
      </c>
      <c r="J75" s="38">
        <v>3</v>
      </c>
      <c r="K75" s="38" t="s">
        <v>550</v>
      </c>
      <c r="L75" s="38">
        <v>2850</v>
      </c>
      <c r="M75" s="38" t="s">
        <v>74</v>
      </c>
      <c r="N75" s="43" t="s">
        <v>551</v>
      </c>
      <c r="O75" s="37" t="s">
        <v>431</v>
      </c>
      <c r="P75" s="37" t="s">
        <v>345</v>
      </c>
      <c r="Q75" s="38" t="s">
        <v>552</v>
      </c>
      <c r="R75" s="40"/>
      <c r="S75" s="40"/>
      <c r="T75" s="40"/>
      <c r="U75" s="40"/>
      <c r="V75" s="40"/>
      <c r="W75" s="40"/>
      <c r="X75" s="40"/>
      <c r="Y75" s="40" t="s">
        <v>553</v>
      </c>
      <c r="Z75" s="38"/>
      <c r="AA75" s="46"/>
    </row>
    <row r="76" spans="1:27" ht="15.75" customHeight="1" x14ac:dyDescent="0.2">
      <c r="A76" s="36" t="s">
        <v>554</v>
      </c>
      <c r="B76" s="36" t="s">
        <v>17</v>
      </c>
      <c r="C76" s="36" t="str">
        <f>CONCATENATE(VLOOKUP($D76,CODIFICACIÓN_RUTA!$B$2:$C$3,2,0),MID($F76,1,1)&amp;MID($F76,6,1),VLOOKUP($E76,CODIFICACIÓN_RUTA!$E$2:$F$10,2,0),$A76)</f>
        <v>01RT02075</v>
      </c>
      <c r="D76" s="44" t="s">
        <v>14</v>
      </c>
      <c r="E76" s="44" t="s">
        <v>20</v>
      </c>
      <c r="F76" s="37" t="s">
        <v>555</v>
      </c>
      <c r="G76" s="44" t="s">
        <v>85</v>
      </c>
      <c r="H76" s="44" t="s">
        <v>556</v>
      </c>
      <c r="I76" s="38" t="s">
        <v>72</v>
      </c>
      <c r="J76" s="44">
        <v>3</v>
      </c>
      <c r="K76" s="44" t="s">
        <v>557</v>
      </c>
      <c r="L76" s="44">
        <v>2850</v>
      </c>
      <c r="M76" s="44" t="s">
        <v>74</v>
      </c>
      <c r="N76" s="43" t="s">
        <v>558</v>
      </c>
      <c r="O76" s="37" t="s">
        <v>559</v>
      </c>
      <c r="P76" s="38"/>
      <c r="Q76" s="38"/>
      <c r="R76" s="49"/>
      <c r="S76" s="49"/>
      <c r="T76" s="49"/>
      <c r="U76" s="49"/>
      <c r="V76" s="49"/>
      <c r="W76" s="49"/>
      <c r="X76" s="49"/>
      <c r="Y76" s="49"/>
      <c r="Z76" s="44"/>
      <c r="AA76" s="47"/>
    </row>
    <row r="77" spans="1:27" ht="15.75" customHeight="1" x14ac:dyDescent="0.2">
      <c r="A77" s="36" t="s">
        <v>560</v>
      </c>
      <c r="B77" s="36" t="s">
        <v>17</v>
      </c>
      <c r="C77" s="36" t="str">
        <f>CONCATENATE(VLOOKUP($D77,CODIFICACIÓN_RUTA!$B$2:$C$3,2,0),MID($F77,1,1)&amp;MID($F77,6,1),VLOOKUP($E77,CODIFICACIÓN_RUTA!$E$2:$F$10,2,0),$A77)</f>
        <v>01RT01076</v>
      </c>
      <c r="D77" s="44" t="s">
        <v>14</v>
      </c>
      <c r="E77" s="44" t="s">
        <v>16</v>
      </c>
      <c r="F77" s="37" t="s">
        <v>561</v>
      </c>
      <c r="G77" s="44" t="s">
        <v>85</v>
      </c>
      <c r="H77" s="44" t="s">
        <v>562</v>
      </c>
      <c r="I77" s="38" t="s">
        <v>72</v>
      </c>
      <c r="J77" s="44">
        <v>3</v>
      </c>
      <c r="K77" s="54" t="s">
        <v>563</v>
      </c>
      <c r="L77" s="54">
        <v>2850</v>
      </c>
      <c r="M77" s="54" t="s">
        <v>74</v>
      </c>
      <c r="N77" s="43" t="s">
        <v>564</v>
      </c>
      <c r="O77" s="45" t="s">
        <v>565</v>
      </c>
      <c r="P77" s="37" t="s">
        <v>90</v>
      </c>
      <c r="Q77" s="38" t="s">
        <v>566</v>
      </c>
      <c r="R77" s="49"/>
      <c r="S77" s="49"/>
      <c r="T77" s="49"/>
      <c r="U77" s="49"/>
      <c r="V77" s="49"/>
      <c r="W77" s="49"/>
      <c r="X77" s="49"/>
      <c r="Y77" s="49"/>
      <c r="Z77" s="44"/>
      <c r="AA77" s="47"/>
    </row>
    <row r="78" spans="1:27" ht="15.75" customHeight="1" x14ac:dyDescent="0.2">
      <c r="A78" s="36" t="s">
        <v>567</v>
      </c>
      <c r="B78" s="36" t="s">
        <v>17</v>
      </c>
      <c r="C78" s="36" t="str">
        <f>CONCATENATE(VLOOKUP($D78,CODIFICACIÓN_RUTA!$B$2:$C$3,2,0),MID($F78,1,1)&amp;MID($F78,6,1),VLOOKUP($E78,CODIFICACIÓN_RUTA!$E$2:$F$10,2,0),$A78)</f>
        <v>01RD01077</v>
      </c>
      <c r="D78" s="44" t="s">
        <v>14</v>
      </c>
      <c r="E78" s="44" t="s">
        <v>16</v>
      </c>
      <c r="F78" s="37" t="s">
        <v>568</v>
      </c>
      <c r="G78" s="44" t="s">
        <v>85</v>
      </c>
      <c r="H78" s="44" t="s">
        <v>569</v>
      </c>
      <c r="I78" s="38" t="s">
        <v>72</v>
      </c>
      <c r="J78" s="44">
        <v>4</v>
      </c>
      <c r="K78" s="44" t="s">
        <v>117</v>
      </c>
      <c r="L78" s="44">
        <v>2820</v>
      </c>
      <c r="M78" s="44" t="s">
        <v>74</v>
      </c>
      <c r="N78" s="43" t="s">
        <v>570</v>
      </c>
      <c r="O78" s="38" t="s">
        <v>380</v>
      </c>
      <c r="P78" s="45" t="s">
        <v>571</v>
      </c>
      <c r="Q78" s="37" t="s">
        <v>413</v>
      </c>
      <c r="R78" s="38" t="s">
        <v>572</v>
      </c>
      <c r="S78" s="49"/>
      <c r="T78" s="49"/>
      <c r="U78" s="49"/>
      <c r="V78" s="49"/>
      <c r="W78" s="49"/>
      <c r="X78" s="49"/>
      <c r="Y78" s="49"/>
      <c r="Z78" s="44"/>
      <c r="AA78" s="47"/>
    </row>
    <row r="79" spans="1:27" ht="15.75" customHeight="1" x14ac:dyDescent="0.2">
      <c r="A79" s="36" t="s">
        <v>573</v>
      </c>
      <c r="B79" s="36" t="s">
        <v>17</v>
      </c>
      <c r="C79" s="36" t="str">
        <f>CONCATENATE(VLOOKUP($D79,CODIFICACIÓN_RUTA!$B$2:$C$3,2,0),MID($F79,1,1)&amp;MID($F79,6,1),VLOOKUP($E79,CODIFICACIÓN_RUTA!$E$2:$F$10,2,0),$A79)</f>
        <v>01RL02078</v>
      </c>
      <c r="D79" s="44" t="s">
        <v>14</v>
      </c>
      <c r="E79" s="44" t="s">
        <v>20</v>
      </c>
      <c r="F79" s="37" t="s">
        <v>574</v>
      </c>
      <c r="G79" s="44" t="s">
        <v>129</v>
      </c>
      <c r="H79" s="44" t="s">
        <v>575</v>
      </c>
      <c r="I79" s="44" t="s">
        <v>72</v>
      </c>
      <c r="J79" s="44">
        <v>3</v>
      </c>
      <c r="K79" s="44" t="s">
        <v>557</v>
      </c>
      <c r="L79" s="44">
        <v>2825</v>
      </c>
      <c r="M79" s="44" t="s">
        <v>241</v>
      </c>
      <c r="N79" s="43" t="s">
        <v>576</v>
      </c>
      <c r="O79" s="44" t="s">
        <v>577</v>
      </c>
      <c r="P79" s="38" t="s">
        <v>578</v>
      </c>
      <c r="Q79" s="38" t="s">
        <v>579</v>
      </c>
      <c r="R79" s="49" t="s">
        <v>580</v>
      </c>
      <c r="S79" s="49" t="s">
        <v>581</v>
      </c>
      <c r="T79" s="49"/>
      <c r="U79" s="49"/>
      <c r="V79" s="49"/>
      <c r="W79" s="49"/>
      <c r="X79" s="49"/>
      <c r="Y79" s="49"/>
      <c r="Z79" s="44"/>
      <c r="AA79" s="47"/>
    </row>
    <row r="80" spans="1:27" ht="15.75" customHeight="1" x14ac:dyDescent="0.2">
      <c r="A80" s="36" t="s">
        <v>582</v>
      </c>
      <c r="B80" s="36" t="s">
        <v>17</v>
      </c>
      <c r="C80" s="36" t="str">
        <f>CONCATENATE(VLOOKUP($D80,CODIFICACIÓN_RUTA!$B$2:$C$3,2,0),MID($F80,1,1)&amp;MID($F80,6,1),VLOOKUP($E80,CODIFICACIÓN_RUTA!$E$2:$F$10,2,0),$A80)</f>
        <v>01RB01079</v>
      </c>
      <c r="D80" s="44" t="s">
        <v>14</v>
      </c>
      <c r="E80" s="44" t="s">
        <v>16</v>
      </c>
      <c r="F80" s="37" t="s">
        <v>583</v>
      </c>
      <c r="G80" s="44" t="s">
        <v>85</v>
      </c>
      <c r="H80" s="44" t="s">
        <v>584</v>
      </c>
      <c r="I80" s="44" t="s">
        <v>72</v>
      </c>
      <c r="J80" s="44">
        <v>2.5</v>
      </c>
      <c r="K80" s="44" t="s">
        <v>117</v>
      </c>
      <c r="L80" s="44">
        <v>2830</v>
      </c>
      <c r="M80" s="44" t="s">
        <v>74</v>
      </c>
      <c r="N80" s="43" t="s">
        <v>585</v>
      </c>
      <c r="O80" s="44" t="s">
        <v>586</v>
      </c>
      <c r="P80" s="38" t="s">
        <v>303</v>
      </c>
      <c r="Q80" s="38"/>
      <c r="R80" s="49"/>
      <c r="S80" s="49"/>
      <c r="T80" s="49"/>
      <c r="U80" s="49"/>
      <c r="V80" s="49"/>
      <c r="W80" s="49"/>
      <c r="X80" s="49"/>
      <c r="Y80" s="49"/>
      <c r="Z80" s="44"/>
      <c r="AA80" s="47"/>
    </row>
    <row r="81" spans="1:27" ht="15.75" customHeight="1" x14ac:dyDescent="0.2">
      <c r="A81" s="36" t="s">
        <v>587</v>
      </c>
      <c r="B81" s="36" t="s">
        <v>17</v>
      </c>
      <c r="C81" s="36" t="str">
        <f>CONCATENATE(VLOOKUP($D81,CODIFICACIÓN_RUTA!$B$2:$C$3,2,0),MID($F81,1,1)&amp;MID($F81,6,1),VLOOKUP($E81,CODIFICACIÓN_RUTA!$E$2:$F$10,2,0),$A81)</f>
        <v>01RB01080</v>
      </c>
      <c r="D81" s="44" t="s">
        <v>14</v>
      </c>
      <c r="E81" s="44" t="s">
        <v>16</v>
      </c>
      <c r="F81" s="37" t="s">
        <v>588</v>
      </c>
      <c r="G81" s="44" t="s">
        <v>85</v>
      </c>
      <c r="H81" s="44" t="s">
        <v>589</v>
      </c>
      <c r="I81" s="44" t="s">
        <v>72</v>
      </c>
      <c r="J81" s="44">
        <v>2.5</v>
      </c>
      <c r="K81" s="44" t="s">
        <v>117</v>
      </c>
      <c r="L81" s="44">
        <v>2830</v>
      </c>
      <c r="M81" s="44" t="s">
        <v>74</v>
      </c>
      <c r="N81" s="43" t="s">
        <v>590</v>
      </c>
      <c r="O81" s="44" t="s">
        <v>480</v>
      </c>
      <c r="P81" s="38"/>
      <c r="Q81" s="38"/>
      <c r="R81" s="49"/>
      <c r="S81" s="49"/>
      <c r="T81" s="49"/>
      <c r="U81" s="49"/>
      <c r="V81" s="49"/>
      <c r="W81" s="49"/>
      <c r="X81" s="49"/>
      <c r="Y81" s="49"/>
      <c r="Z81" s="44"/>
      <c r="AA81" s="47"/>
    </row>
    <row r="82" spans="1:27" ht="15.75" customHeight="1" x14ac:dyDescent="0.2">
      <c r="A82" s="36" t="s">
        <v>591</v>
      </c>
      <c r="B82" s="36" t="s">
        <v>17</v>
      </c>
      <c r="C82" s="36" t="str">
        <f>CONCATENATE(VLOOKUP($D82,CODIFICACIÓN_RUTA!$B$2:$C$3,2,0),MID($F82,1,1)&amp;MID($F82,6,1),VLOOKUP($E82,CODIFICACIÓN_RUTA!$E$2:$F$10,2,0),$A82)</f>
        <v>01RC01081</v>
      </c>
      <c r="D82" s="44" t="s">
        <v>14</v>
      </c>
      <c r="E82" s="44" t="s">
        <v>16</v>
      </c>
      <c r="F82" s="37" t="s">
        <v>592</v>
      </c>
      <c r="G82" s="44" t="s">
        <v>70</v>
      </c>
      <c r="H82" s="44" t="s">
        <v>593</v>
      </c>
      <c r="I82" s="44" t="s">
        <v>72</v>
      </c>
      <c r="J82" s="44">
        <v>5</v>
      </c>
      <c r="K82" s="44" t="s">
        <v>88</v>
      </c>
      <c r="L82" s="44">
        <v>3100</v>
      </c>
      <c r="M82" s="44" t="s">
        <v>74</v>
      </c>
      <c r="N82" s="43" t="s">
        <v>594</v>
      </c>
      <c r="O82" s="44" t="s">
        <v>90</v>
      </c>
      <c r="P82" s="37" t="s">
        <v>380</v>
      </c>
      <c r="Q82" s="37" t="s">
        <v>404</v>
      </c>
      <c r="R82" s="37" t="s">
        <v>80</v>
      </c>
      <c r="S82" s="49"/>
      <c r="T82" s="49"/>
      <c r="U82" s="49"/>
      <c r="V82" s="49"/>
      <c r="W82" s="49"/>
      <c r="X82" s="49"/>
      <c r="Y82" s="49"/>
      <c r="Z82" s="44"/>
      <c r="AA82" s="47"/>
    </row>
    <row r="83" spans="1:27" ht="90" x14ac:dyDescent="0.2">
      <c r="A83" s="36" t="s">
        <v>595</v>
      </c>
      <c r="B83" s="36" t="s">
        <v>17</v>
      </c>
      <c r="C83" s="36" t="str">
        <f>CONCATENATE(VLOOKUP($D83,CODIFICACIÓN_RUTA!$B$2:$C$3,2,0),MID($F83,1,1)&amp;MID($F83,6,1),VLOOKUP($E83,CODIFICACIÓN_RUTA!$E$2:$F$10,2,0),$A83)</f>
        <v>01RT01082</v>
      </c>
      <c r="D83" s="44" t="s">
        <v>14</v>
      </c>
      <c r="E83" s="44" t="s">
        <v>16</v>
      </c>
      <c r="F83" s="37" t="s">
        <v>596</v>
      </c>
      <c r="G83" s="44" t="s">
        <v>85</v>
      </c>
      <c r="H83" s="44" t="s">
        <v>597</v>
      </c>
      <c r="I83" s="44" t="s">
        <v>72</v>
      </c>
      <c r="J83" s="44">
        <v>3</v>
      </c>
      <c r="K83" s="44" t="s">
        <v>271</v>
      </c>
      <c r="L83" s="44">
        <v>2850</v>
      </c>
      <c r="M83" s="44" t="s">
        <v>74</v>
      </c>
      <c r="N83" s="43" t="s">
        <v>598</v>
      </c>
      <c r="O83" s="45" t="s">
        <v>92</v>
      </c>
      <c r="P83" s="38"/>
      <c r="Q83" s="38"/>
      <c r="R83" s="49"/>
      <c r="S83" s="49"/>
      <c r="T83" s="49"/>
      <c r="U83" s="49"/>
      <c r="V83" s="49"/>
      <c r="W83" s="49"/>
      <c r="X83" s="49"/>
      <c r="Y83" s="49"/>
      <c r="Z83" s="44"/>
      <c r="AA83" s="47"/>
    </row>
    <row r="84" spans="1:27" ht="15.75" customHeight="1" x14ac:dyDescent="0.2">
      <c r="A84" s="36" t="s">
        <v>599</v>
      </c>
      <c r="B84" s="36" t="s">
        <v>17</v>
      </c>
      <c r="C84" s="36" t="str">
        <f>CONCATENATE(VLOOKUP($D84,CODIFICACIÓN_RUTA!$B$2:$C$3,2,0),MID($F84,1,1)&amp;MID($F84,6,1),VLOOKUP($E84,CODIFICACIÓN_RUTA!$E$2:$F$10,2,0),$A84)</f>
        <v>01RS01083</v>
      </c>
      <c r="D84" s="44" t="s">
        <v>14</v>
      </c>
      <c r="E84" s="44" t="s">
        <v>16</v>
      </c>
      <c r="F84" s="37" t="s">
        <v>600</v>
      </c>
      <c r="G84" s="38" t="s">
        <v>85</v>
      </c>
      <c r="H84" s="38" t="s">
        <v>601</v>
      </c>
      <c r="I84" s="44" t="s">
        <v>72</v>
      </c>
      <c r="J84" s="44">
        <v>7</v>
      </c>
      <c r="K84" s="44" t="s">
        <v>201</v>
      </c>
      <c r="L84" s="44">
        <v>2825</v>
      </c>
      <c r="M84" s="44" t="s">
        <v>74</v>
      </c>
      <c r="N84" s="43" t="s">
        <v>602</v>
      </c>
      <c r="O84" s="45" t="s">
        <v>603</v>
      </c>
      <c r="P84" s="37" t="s">
        <v>156</v>
      </c>
      <c r="Q84" s="38"/>
      <c r="R84" s="49"/>
      <c r="S84" s="49"/>
      <c r="T84" s="49"/>
      <c r="U84" s="49"/>
      <c r="V84" s="49"/>
      <c r="W84" s="49"/>
      <c r="X84" s="49"/>
      <c r="Y84" s="49" t="s">
        <v>604</v>
      </c>
      <c r="Z84" s="44"/>
      <c r="AA84" s="47"/>
    </row>
    <row r="85" spans="1:27" ht="15.75" customHeight="1" x14ac:dyDescent="0.2">
      <c r="A85" s="36" t="s">
        <v>605</v>
      </c>
      <c r="B85" s="36" t="s">
        <v>17</v>
      </c>
      <c r="C85" s="36" t="str">
        <f>CONCATENATE(VLOOKUP($D85,CODIFICACIÓN_RUTA!$B$2:$C$3,2,0),MID($F85,1,1)&amp;MID($F85,6,1),VLOOKUP($E85,CODIFICACIÓN_RUTA!$E$2:$F$10,2,0),$A85)</f>
        <v>01RL01084</v>
      </c>
      <c r="D85" s="44" t="s">
        <v>14</v>
      </c>
      <c r="E85" s="44" t="s">
        <v>16</v>
      </c>
      <c r="F85" s="37" t="s">
        <v>606</v>
      </c>
      <c r="G85" s="55" t="s">
        <v>85</v>
      </c>
      <c r="H85" s="55" t="s">
        <v>607</v>
      </c>
      <c r="I85" s="44" t="s">
        <v>99</v>
      </c>
      <c r="J85" s="44">
        <v>3</v>
      </c>
      <c r="K85" s="44" t="s">
        <v>117</v>
      </c>
      <c r="L85" s="44">
        <v>2850</v>
      </c>
      <c r="M85" s="44" t="s">
        <v>74</v>
      </c>
      <c r="N85" s="43" t="s">
        <v>608</v>
      </c>
      <c r="O85" s="37" t="s">
        <v>374</v>
      </c>
      <c r="P85" s="38"/>
      <c r="Q85" s="38"/>
      <c r="R85" s="49"/>
      <c r="S85" s="49"/>
      <c r="T85" s="49"/>
      <c r="U85" s="49"/>
      <c r="V85" s="49"/>
      <c r="W85" s="49"/>
      <c r="X85" s="49"/>
      <c r="Y85" s="49"/>
      <c r="Z85" s="44"/>
      <c r="AA85" s="47"/>
    </row>
    <row r="86" spans="1:27" ht="15.75" customHeight="1" x14ac:dyDescent="0.2">
      <c r="A86" s="36" t="s">
        <v>609</v>
      </c>
      <c r="B86" s="36" t="s">
        <v>17</v>
      </c>
      <c r="C86" s="36" t="str">
        <f>CONCATENATE(VLOOKUP($D86,CODIFICACIÓN_RUTA!$B$2:$C$3,2,0),MID($F86,1,1)&amp;MID($F86,6,1),VLOOKUP($E86,CODIFICACIÓN_RUTA!$E$2:$F$10,2,0),$A86)</f>
        <v>01RS01085</v>
      </c>
      <c r="D86" s="44" t="s">
        <v>14</v>
      </c>
      <c r="E86" s="44" t="s">
        <v>16</v>
      </c>
      <c r="F86" s="37" t="s">
        <v>610</v>
      </c>
      <c r="G86" s="55" t="s">
        <v>85</v>
      </c>
      <c r="H86" s="55" t="s">
        <v>611</v>
      </c>
      <c r="I86" s="44" t="s">
        <v>116</v>
      </c>
      <c r="J86" s="44">
        <v>7</v>
      </c>
      <c r="K86" s="44" t="s">
        <v>201</v>
      </c>
      <c r="L86" s="44">
        <v>2825</v>
      </c>
      <c r="M86" s="44" t="s">
        <v>74</v>
      </c>
      <c r="N86" s="43" t="s">
        <v>612</v>
      </c>
      <c r="O86" s="37" t="s">
        <v>156</v>
      </c>
      <c r="P86" s="45" t="s">
        <v>603</v>
      </c>
      <c r="Q86" s="38"/>
      <c r="R86" s="49"/>
      <c r="S86" s="49"/>
      <c r="T86" s="49"/>
      <c r="U86" s="49"/>
      <c r="V86" s="49"/>
      <c r="W86" s="49"/>
      <c r="X86" s="49"/>
      <c r="Y86" s="49" t="s">
        <v>613</v>
      </c>
      <c r="Z86" s="44"/>
      <c r="AA86" s="47"/>
    </row>
    <row r="87" spans="1:27" ht="15.75" customHeight="1" x14ac:dyDescent="0.2">
      <c r="A87" s="36" t="s">
        <v>614</v>
      </c>
      <c r="B87" s="36" t="s">
        <v>17</v>
      </c>
      <c r="C87" s="36" t="str">
        <f>CONCATENATE(VLOOKUP($D87,CODIFICACIÓN_RUTA!$B$2:$C$3,2,0),MID($F87,1,1)&amp;MID($F87,6,1),VLOOKUP($E87,CODIFICACIÓN_RUTA!$E$2:$F$10,2,0),$A87)</f>
        <v>01RS01086</v>
      </c>
      <c r="D87" s="44" t="s">
        <v>14</v>
      </c>
      <c r="E87" s="44" t="s">
        <v>16</v>
      </c>
      <c r="F87" s="37" t="s">
        <v>615</v>
      </c>
      <c r="G87" s="44" t="s">
        <v>85</v>
      </c>
      <c r="H87" s="44" t="s">
        <v>616</v>
      </c>
      <c r="I87" s="44" t="s">
        <v>72</v>
      </c>
      <c r="J87" s="44">
        <v>6</v>
      </c>
      <c r="K87" s="44" t="s">
        <v>177</v>
      </c>
      <c r="L87" s="44">
        <v>2800</v>
      </c>
      <c r="M87" s="44" t="s">
        <v>74</v>
      </c>
      <c r="N87" s="43" t="s">
        <v>617</v>
      </c>
      <c r="O87" s="38" t="s">
        <v>380</v>
      </c>
      <c r="P87" s="45" t="s">
        <v>351</v>
      </c>
      <c r="Q87" s="38"/>
      <c r="R87" s="49"/>
      <c r="S87" s="49"/>
      <c r="T87" s="49"/>
      <c r="U87" s="49"/>
      <c r="V87" s="49"/>
      <c r="W87" s="49"/>
      <c r="X87" s="49"/>
      <c r="Y87" s="49" t="s">
        <v>618</v>
      </c>
      <c r="Z87" s="44"/>
      <c r="AA87" s="47"/>
    </row>
    <row r="88" spans="1:27" ht="15.75" customHeight="1" x14ac:dyDescent="0.2">
      <c r="A88" s="36" t="s">
        <v>619</v>
      </c>
      <c r="B88" s="36" t="s">
        <v>17</v>
      </c>
      <c r="C88" s="36" t="str">
        <f>CONCATENATE(VLOOKUP($D88,CODIFICACIÓN_RUTA!$B$2:$C$3,2,0),MID($F88,1,1)&amp;MID($F88,6,1),VLOOKUP($E88,CODIFICACIÓN_RUTA!$E$2:$F$10,2,0),$A88)</f>
        <v>01PR01087</v>
      </c>
      <c r="D88" s="44" t="s">
        <v>14</v>
      </c>
      <c r="E88" s="44" t="s">
        <v>16</v>
      </c>
      <c r="F88" s="37" t="s">
        <v>620</v>
      </c>
      <c r="G88" s="44" t="s">
        <v>85</v>
      </c>
      <c r="H88" s="44" t="s">
        <v>621</v>
      </c>
      <c r="I88" s="44" t="s">
        <v>72</v>
      </c>
      <c r="J88" s="44">
        <v>3</v>
      </c>
      <c r="K88" s="44" t="s">
        <v>108</v>
      </c>
      <c r="L88" s="44">
        <v>2800</v>
      </c>
      <c r="M88" s="44" t="s">
        <v>74</v>
      </c>
      <c r="N88" s="43" t="s">
        <v>622</v>
      </c>
      <c r="O88" s="44" t="s">
        <v>149</v>
      </c>
      <c r="P88" s="45" t="s">
        <v>351</v>
      </c>
      <c r="Q88" s="45" t="s">
        <v>77</v>
      </c>
      <c r="R88" s="49"/>
      <c r="S88" s="49"/>
      <c r="T88" s="49"/>
      <c r="U88" s="49"/>
      <c r="V88" s="49"/>
      <c r="W88" s="49"/>
      <c r="X88" s="49"/>
      <c r="Y88" s="49"/>
      <c r="Z88" s="44"/>
      <c r="AA88" s="47"/>
    </row>
    <row r="89" spans="1:27" ht="15.75" customHeight="1" x14ac:dyDescent="0.2">
      <c r="A89" s="36" t="s">
        <v>623</v>
      </c>
      <c r="B89" s="36" t="s">
        <v>17</v>
      </c>
      <c r="C89" s="36" t="str">
        <f>CONCATENATE(VLOOKUP($D89,CODIFICACIÓN_RUTA!$B$2:$C$3,2,0),MID($F89,1,1)&amp;MID($F89,6,1),VLOOKUP($E89,CODIFICACIÓN_RUTA!$E$2:$F$10,2,0),$A89)</f>
        <v>01PR01088</v>
      </c>
      <c r="D89" s="44" t="s">
        <v>14</v>
      </c>
      <c r="E89" s="44" t="s">
        <v>16</v>
      </c>
      <c r="F89" s="37" t="s">
        <v>624</v>
      </c>
      <c r="G89" s="44" t="s">
        <v>85</v>
      </c>
      <c r="H89" s="44" t="s">
        <v>625</v>
      </c>
      <c r="I89" s="44" t="s">
        <v>72</v>
      </c>
      <c r="J89" s="44">
        <v>3</v>
      </c>
      <c r="K89" s="44" t="s">
        <v>117</v>
      </c>
      <c r="L89" s="44">
        <v>2800</v>
      </c>
      <c r="M89" s="44" t="s">
        <v>74</v>
      </c>
      <c r="N89" s="43" t="s">
        <v>626</v>
      </c>
      <c r="O89" s="37" t="s">
        <v>413</v>
      </c>
      <c r="P89" s="38" t="s">
        <v>380</v>
      </c>
      <c r="Q89" s="37" t="s">
        <v>83</v>
      </c>
      <c r="R89" s="44"/>
      <c r="S89" s="44"/>
      <c r="T89" s="44"/>
      <c r="U89" s="44"/>
      <c r="V89" s="44"/>
      <c r="W89" s="44"/>
      <c r="X89" s="44"/>
      <c r="Y89" s="44"/>
      <c r="Z89" s="44"/>
      <c r="AA89" s="47"/>
    </row>
    <row r="90" spans="1:27" ht="120" x14ac:dyDescent="0.2">
      <c r="A90" s="36" t="s">
        <v>627</v>
      </c>
      <c r="B90" s="36" t="s">
        <v>17</v>
      </c>
      <c r="C90" s="36" t="str">
        <f>CONCATENATE(VLOOKUP($D90,CODIFICACIÓN_RUTA!$B$2:$C$3,2,0),MID($F90,1,1)&amp;MID($F90,6,1),VLOOKUP($E90,CODIFICACIÓN_RUTA!$E$2:$F$10,2,0),$A90)</f>
        <v>01CI01089</v>
      </c>
      <c r="D90" s="44" t="s">
        <v>14</v>
      </c>
      <c r="E90" s="44" t="s">
        <v>16</v>
      </c>
      <c r="F90" s="37" t="s">
        <v>628</v>
      </c>
      <c r="G90" s="44" t="s">
        <v>129</v>
      </c>
      <c r="H90" s="44" t="s">
        <v>629</v>
      </c>
      <c r="I90" s="44" t="s">
        <v>116</v>
      </c>
      <c r="J90" s="44">
        <v>3</v>
      </c>
      <c r="K90" s="44" t="s">
        <v>630</v>
      </c>
      <c r="L90" s="44">
        <v>2850</v>
      </c>
      <c r="M90" s="44" t="s">
        <v>74</v>
      </c>
      <c r="N90" s="43" t="s">
        <v>631</v>
      </c>
      <c r="O90" s="44" t="s">
        <v>273</v>
      </c>
      <c r="P90" s="38" t="s">
        <v>404</v>
      </c>
      <c r="Q90" s="45" t="s">
        <v>351</v>
      </c>
      <c r="R90" s="44" t="s">
        <v>380</v>
      </c>
      <c r="S90" s="44"/>
      <c r="T90" s="44"/>
      <c r="U90" s="44"/>
      <c r="V90" s="44"/>
      <c r="W90" s="44"/>
      <c r="X90" s="44"/>
      <c r="Y90" s="44" t="s">
        <v>632</v>
      </c>
      <c r="Z90" s="44"/>
      <c r="AA90" s="47"/>
    </row>
    <row r="91" spans="1:27" ht="120" x14ac:dyDescent="0.2">
      <c r="A91" s="36" t="s">
        <v>633</v>
      </c>
      <c r="B91" s="36" t="s">
        <v>17</v>
      </c>
      <c r="C91" s="36" t="str">
        <f>CONCATENATE(VLOOKUP($D91,CODIFICACIÓN_RUTA!$B$2:$C$3,2,0),MID($F91,1,1)&amp;MID($F91,6,1),VLOOKUP($E91,CODIFICACIÓN_RUTA!$E$2:$F$10,2,0),$A91)</f>
        <v>01CI01090</v>
      </c>
      <c r="D91" s="44" t="s">
        <v>14</v>
      </c>
      <c r="E91" s="44" t="s">
        <v>16</v>
      </c>
      <c r="F91" s="37" t="s">
        <v>634</v>
      </c>
      <c r="G91" s="44" t="s">
        <v>129</v>
      </c>
      <c r="H91" s="44" t="s">
        <v>635</v>
      </c>
      <c r="I91" s="44" t="s">
        <v>116</v>
      </c>
      <c r="J91" s="44">
        <v>3</v>
      </c>
      <c r="K91" s="44" t="s">
        <v>108</v>
      </c>
      <c r="L91" s="44">
        <v>2850</v>
      </c>
      <c r="M91" s="44" t="s">
        <v>74</v>
      </c>
      <c r="N91" s="43" t="s">
        <v>636</v>
      </c>
      <c r="O91" s="37" t="s">
        <v>80</v>
      </c>
      <c r="P91" s="38" t="s">
        <v>380</v>
      </c>
      <c r="Q91" s="38"/>
      <c r="R91" s="44"/>
      <c r="S91" s="44"/>
      <c r="T91" s="44"/>
      <c r="U91" s="44"/>
      <c r="V91" s="44"/>
      <c r="W91" s="44"/>
      <c r="X91" s="44"/>
      <c r="Y91" s="44" t="s">
        <v>637</v>
      </c>
      <c r="Z91" s="44"/>
      <c r="AA91" s="47"/>
    </row>
    <row r="92" spans="1:27" ht="165" x14ac:dyDescent="0.2">
      <c r="A92" s="36" t="s">
        <v>638</v>
      </c>
      <c r="B92" s="36" t="s">
        <v>17</v>
      </c>
      <c r="C92" s="36" t="str">
        <f>CONCATENATE(VLOOKUP($D92,CODIFICACIÓN_RUTA!$B$2:$C$3,2,0),MID($F92,1,1)&amp;MID($F92,6,1),VLOOKUP($E92,CODIFICACIÓN_RUTA!$E$2:$F$10,2,0),$A92)</f>
        <v>01CI01091</v>
      </c>
      <c r="D92" s="44" t="s">
        <v>14</v>
      </c>
      <c r="E92" s="44" t="s">
        <v>16</v>
      </c>
      <c r="F92" s="37" t="s">
        <v>639</v>
      </c>
      <c r="G92" s="44" t="s">
        <v>129</v>
      </c>
      <c r="H92" s="44" t="s">
        <v>640</v>
      </c>
      <c r="I92" s="44" t="s">
        <v>116</v>
      </c>
      <c r="J92" s="44">
        <v>3</v>
      </c>
      <c r="K92" s="44" t="s">
        <v>641</v>
      </c>
      <c r="L92" s="44">
        <v>2850</v>
      </c>
      <c r="M92" s="44" t="s">
        <v>74</v>
      </c>
      <c r="N92" s="43" t="s">
        <v>642</v>
      </c>
      <c r="O92" s="45" t="s">
        <v>345</v>
      </c>
      <c r="P92" s="38" t="s">
        <v>380</v>
      </c>
      <c r="Q92" s="38"/>
      <c r="R92" s="44"/>
      <c r="S92" s="44"/>
      <c r="T92" s="44"/>
      <c r="U92" s="44"/>
      <c r="V92" s="44"/>
      <c r="W92" s="44"/>
      <c r="X92" s="44"/>
      <c r="Y92" s="44" t="s">
        <v>643</v>
      </c>
      <c r="Z92" s="44"/>
      <c r="AA92" s="47"/>
    </row>
    <row r="93" spans="1:27" ht="105" x14ac:dyDescent="0.2">
      <c r="A93" s="36" t="s">
        <v>644</v>
      </c>
      <c r="B93" s="36" t="s">
        <v>17</v>
      </c>
      <c r="C93" s="36" t="str">
        <f>CONCATENATE(VLOOKUP($D93,CODIFICACIÓN_RUTA!$B$2:$C$3,2,0),MID($F93,1,1)&amp;MID($F93,6,1),VLOOKUP($E93,CODIFICACIÓN_RUTA!$E$2:$F$10,2,0),$A93)</f>
        <v>01CI01092</v>
      </c>
      <c r="D93" s="44" t="s">
        <v>14</v>
      </c>
      <c r="E93" s="44" t="s">
        <v>16</v>
      </c>
      <c r="F93" s="37" t="s">
        <v>645</v>
      </c>
      <c r="G93" s="44" t="s">
        <v>129</v>
      </c>
      <c r="H93" s="44" t="s">
        <v>646</v>
      </c>
      <c r="I93" s="44" t="s">
        <v>116</v>
      </c>
      <c r="J93" s="44">
        <v>3</v>
      </c>
      <c r="K93" s="44" t="s">
        <v>349</v>
      </c>
      <c r="L93" s="44">
        <v>2850</v>
      </c>
      <c r="M93" s="44" t="s">
        <v>74</v>
      </c>
      <c r="N93" s="43" t="s">
        <v>647</v>
      </c>
      <c r="O93" s="45" t="s">
        <v>603</v>
      </c>
      <c r="P93" s="38"/>
      <c r="Q93" s="38"/>
      <c r="R93" s="44"/>
      <c r="S93" s="44"/>
      <c r="T93" s="44"/>
      <c r="U93" s="44"/>
      <c r="V93" s="44"/>
      <c r="W93" s="44"/>
      <c r="X93" s="44"/>
      <c r="Y93" s="44" t="s">
        <v>648</v>
      </c>
      <c r="Z93" s="44"/>
      <c r="AA93" s="47"/>
    </row>
    <row r="94" spans="1:27" ht="105" x14ac:dyDescent="0.2">
      <c r="A94" s="36" t="s">
        <v>649</v>
      </c>
      <c r="B94" s="36" t="s">
        <v>17</v>
      </c>
      <c r="C94" s="36" t="str">
        <f>CONCATENATE(VLOOKUP($D94,CODIFICACIÓN_RUTA!$B$2:$C$3,2,0),MID($F94,1,1)&amp;MID($F94,6,1),VLOOKUP($E94,CODIFICACIÓN_RUTA!$E$2:$F$10,2,0),$A94)</f>
        <v>01CI01093</v>
      </c>
      <c r="D94" s="44" t="s">
        <v>14</v>
      </c>
      <c r="E94" s="44" t="s">
        <v>16</v>
      </c>
      <c r="F94" s="37" t="s">
        <v>650</v>
      </c>
      <c r="G94" s="44" t="s">
        <v>85</v>
      </c>
      <c r="H94" s="44" t="s">
        <v>651</v>
      </c>
      <c r="I94" s="44" t="s">
        <v>116</v>
      </c>
      <c r="J94" s="44">
        <v>3</v>
      </c>
      <c r="K94" s="44" t="s">
        <v>641</v>
      </c>
      <c r="L94" s="44">
        <v>2850</v>
      </c>
      <c r="M94" s="44" t="s">
        <v>74</v>
      </c>
      <c r="N94" s="43" t="s">
        <v>652</v>
      </c>
      <c r="O94" s="44" t="s">
        <v>149</v>
      </c>
      <c r="P94" s="38"/>
      <c r="Q94" s="38"/>
      <c r="R94" s="44"/>
      <c r="S94" s="44"/>
      <c r="T94" s="44"/>
      <c r="U94" s="44"/>
      <c r="V94" s="44"/>
      <c r="W94" s="44"/>
      <c r="X94" s="44"/>
      <c r="Y94" s="44"/>
      <c r="Z94" s="44"/>
      <c r="AA94" s="47"/>
    </row>
    <row r="95" spans="1:27" ht="135" x14ac:dyDescent="0.2">
      <c r="A95" s="36" t="s">
        <v>653</v>
      </c>
      <c r="B95" s="36" t="s">
        <v>17</v>
      </c>
      <c r="C95" s="36" t="str">
        <f>CONCATENATE(VLOOKUP($D95,CODIFICACIÓN_RUTA!$B$2:$C$3,2,0),MID($F95,1,1)&amp;MID($F95,6,1),VLOOKUP($E95,CODIFICACIÓN_RUTA!$E$2:$F$10,2,0),$A95)</f>
        <v>01CI01094</v>
      </c>
      <c r="D95" s="44" t="s">
        <v>14</v>
      </c>
      <c r="E95" s="44" t="s">
        <v>16</v>
      </c>
      <c r="F95" s="37" t="s">
        <v>654</v>
      </c>
      <c r="G95" s="44" t="s">
        <v>129</v>
      </c>
      <c r="H95" s="44" t="s">
        <v>655</v>
      </c>
      <c r="I95" s="44" t="s">
        <v>116</v>
      </c>
      <c r="J95" s="44">
        <v>3</v>
      </c>
      <c r="K95" s="44" t="s">
        <v>563</v>
      </c>
      <c r="L95" s="44">
        <v>2850</v>
      </c>
      <c r="M95" s="44" t="s">
        <v>74</v>
      </c>
      <c r="N95" s="43" t="s">
        <v>656</v>
      </c>
      <c r="O95" s="44" t="s">
        <v>90</v>
      </c>
      <c r="P95" s="37" t="s">
        <v>485</v>
      </c>
      <c r="Q95" s="38" t="s">
        <v>657</v>
      </c>
      <c r="R95" s="44"/>
      <c r="S95" s="44"/>
      <c r="T95" s="44"/>
      <c r="U95" s="44"/>
      <c r="V95" s="44"/>
      <c r="W95" s="44"/>
      <c r="X95" s="44"/>
      <c r="Y95" s="44" t="s">
        <v>658</v>
      </c>
      <c r="Z95" s="44"/>
      <c r="AA95" s="47"/>
    </row>
    <row r="96" spans="1:27" ht="135" x14ac:dyDescent="0.2">
      <c r="A96" s="36" t="s">
        <v>659</v>
      </c>
      <c r="B96" s="36" t="s">
        <v>17</v>
      </c>
      <c r="C96" s="36" t="str">
        <f>CONCATENATE(VLOOKUP($D96,CODIFICACIÓN_RUTA!$B$2:$C$3,2,0),MID($F96,1,1)&amp;MID($F96,6,1),VLOOKUP($E96,CODIFICACIÓN_RUTA!$E$2:$F$10,2,0),$A96)</f>
        <v>01CI01095</v>
      </c>
      <c r="D96" s="44" t="s">
        <v>14</v>
      </c>
      <c r="E96" s="44" t="s">
        <v>16</v>
      </c>
      <c r="F96" s="37" t="s">
        <v>660</v>
      </c>
      <c r="G96" s="44" t="s">
        <v>129</v>
      </c>
      <c r="H96" s="44" t="s">
        <v>661</v>
      </c>
      <c r="I96" s="44" t="s">
        <v>116</v>
      </c>
      <c r="J96" s="44">
        <v>5</v>
      </c>
      <c r="K96" s="44" t="s">
        <v>662</v>
      </c>
      <c r="L96" s="44">
        <v>2850</v>
      </c>
      <c r="M96" s="44" t="s">
        <v>241</v>
      </c>
      <c r="N96" s="43" t="s">
        <v>663</v>
      </c>
      <c r="O96" s="44" t="s">
        <v>90</v>
      </c>
      <c r="P96" s="38"/>
      <c r="Q96" s="38"/>
      <c r="R96" s="44"/>
      <c r="S96" s="44"/>
      <c r="T96" s="44"/>
      <c r="U96" s="44"/>
      <c r="V96" s="44"/>
      <c r="W96" s="44"/>
      <c r="X96" s="44"/>
      <c r="Y96" s="44" t="s">
        <v>664</v>
      </c>
      <c r="Z96" s="44"/>
      <c r="AA96" s="47"/>
    </row>
    <row r="97" spans="1:27" ht="195" x14ac:dyDescent="0.2">
      <c r="A97" s="36" t="s">
        <v>665</v>
      </c>
      <c r="B97" s="36" t="s">
        <v>17</v>
      </c>
      <c r="C97" s="36" t="str">
        <f>CONCATENATE(VLOOKUP($D97,CODIFICACIÓN_RUTA!$B$2:$C$3,2,0),MID($F97,1,1)&amp;MID($F97,6,1),VLOOKUP($E97,CODIFICACIÓN_RUTA!$E$2:$F$10,2,0),$A97)</f>
        <v>01CI01096</v>
      </c>
      <c r="D97" s="44" t="s">
        <v>14</v>
      </c>
      <c r="E97" s="44" t="s">
        <v>16</v>
      </c>
      <c r="F97" s="37" t="s">
        <v>666</v>
      </c>
      <c r="G97" s="44" t="s">
        <v>85</v>
      </c>
      <c r="H97" s="44" t="s">
        <v>667</v>
      </c>
      <c r="I97" s="44" t="s">
        <v>116</v>
      </c>
      <c r="J97" s="44">
        <v>5</v>
      </c>
      <c r="K97" s="44" t="s">
        <v>662</v>
      </c>
      <c r="L97" s="44">
        <v>2850</v>
      </c>
      <c r="M97" s="44" t="s">
        <v>241</v>
      </c>
      <c r="N97" s="43" t="s">
        <v>668</v>
      </c>
      <c r="O97" s="37" t="s">
        <v>404</v>
      </c>
      <c r="P97" s="45" t="s">
        <v>669</v>
      </c>
      <c r="Q97" s="38"/>
      <c r="R97" s="44"/>
      <c r="S97" s="44"/>
      <c r="T97" s="44"/>
      <c r="U97" s="44"/>
      <c r="V97" s="44"/>
      <c r="W97" s="44"/>
      <c r="X97" s="44"/>
      <c r="Y97" s="44" t="s">
        <v>670</v>
      </c>
      <c r="Z97" s="44"/>
      <c r="AA97" s="47"/>
    </row>
    <row r="98" spans="1:27" ht="120" x14ac:dyDescent="0.2">
      <c r="A98" s="36" t="s">
        <v>671</v>
      </c>
      <c r="B98" s="36" t="s">
        <v>17</v>
      </c>
      <c r="C98" s="36" t="str">
        <f>CONCATENATE(VLOOKUP($D98,CODIFICACIÓN_RUTA!$B$2:$C$3,2,0),MID($F98,1,1)&amp;MID($F98,6,1),VLOOKUP($E98,CODIFICACIÓN_RUTA!$E$2:$F$10,2,0),$A98)</f>
        <v>01CI02097</v>
      </c>
      <c r="D98" s="44" t="s">
        <v>14</v>
      </c>
      <c r="E98" s="44" t="s">
        <v>20</v>
      </c>
      <c r="F98" s="37" t="s">
        <v>672</v>
      </c>
      <c r="G98" s="44" t="s">
        <v>129</v>
      </c>
      <c r="H98" s="44" t="s">
        <v>673</v>
      </c>
      <c r="I98" s="44" t="s">
        <v>116</v>
      </c>
      <c r="J98" s="44">
        <v>4</v>
      </c>
      <c r="K98" s="44" t="s">
        <v>343</v>
      </c>
      <c r="L98" s="44">
        <v>2850</v>
      </c>
      <c r="M98" s="44" t="s">
        <v>74</v>
      </c>
      <c r="N98" s="43" t="s">
        <v>674</v>
      </c>
      <c r="O98" s="37" t="s">
        <v>675</v>
      </c>
      <c r="P98" s="37"/>
      <c r="Q98" s="38"/>
      <c r="R98" s="44"/>
      <c r="S98" s="44"/>
      <c r="T98" s="44"/>
      <c r="U98" s="44"/>
      <c r="V98" s="44"/>
      <c r="W98" s="44"/>
      <c r="X98" s="44"/>
      <c r="Y98" s="44" t="s">
        <v>676</v>
      </c>
      <c r="Z98" s="44"/>
      <c r="AA98" s="47"/>
    </row>
    <row r="99" spans="1:27" ht="90" x14ac:dyDescent="0.2">
      <c r="A99" s="36" t="s">
        <v>677</v>
      </c>
      <c r="B99" s="36" t="s">
        <v>17</v>
      </c>
      <c r="C99" s="36" t="str">
        <f>CONCATENATE(VLOOKUP($D99,CODIFICACIÓN_RUTA!$B$2:$C$3,2,0),MID($F99,1,1)&amp;MID($F99,6,1),VLOOKUP($E99,CODIFICACIÓN_RUTA!$E$2:$F$10,2,0),$A99)</f>
        <v>02CI04098</v>
      </c>
      <c r="D99" s="44" t="s">
        <v>18</v>
      </c>
      <c r="E99" s="44" t="s">
        <v>24</v>
      </c>
      <c r="F99" s="37" t="s">
        <v>678</v>
      </c>
      <c r="G99" s="44" t="s">
        <v>129</v>
      </c>
      <c r="H99" s="44" t="s">
        <v>679</v>
      </c>
      <c r="I99" s="44" t="s">
        <v>116</v>
      </c>
      <c r="J99" s="44">
        <v>5</v>
      </c>
      <c r="K99" s="44" t="s">
        <v>680</v>
      </c>
      <c r="L99" s="44">
        <v>2400</v>
      </c>
      <c r="M99" s="44" t="s">
        <v>74</v>
      </c>
      <c r="N99" s="43" t="s">
        <v>681</v>
      </c>
      <c r="O99" s="45" t="s">
        <v>682</v>
      </c>
      <c r="P99" s="38" t="s">
        <v>683</v>
      </c>
      <c r="Q99" s="38"/>
      <c r="R99" s="44"/>
      <c r="S99" s="44"/>
      <c r="T99" s="44"/>
      <c r="U99" s="44"/>
      <c r="V99" s="44"/>
      <c r="W99" s="44"/>
      <c r="X99" s="44"/>
      <c r="Y99" s="38" t="s">
        <v>684</v>
      </c>
      <c r="Z99" s="44"/>
      <c r="AA99" s="47"/>
    </row>
    <row r="100" spans="1:27" ht="90" x14ac:dyDescent="0.2">
      <c r="A100" s="36" t="s">
        <v>685</v>
      </c>
      <c r="B100" s="36" t="s">
        <v>17</v>
      </c>
      <c r="C100" s="36" t="str">
        <f>CONCATENATE(VLOOKUP($D100,CODIFICACIÓN_RUTA!$B$2:$C$3,2,0),MID($F100,1,1)&amp;MID($F100,6,1),VLOOKUP($E100,CODIFICACIÓN_RUTA!$E$2:$F$10,2,0),$A100)</f>
        <v>02CI04099</v>
      </c>
      <c r="D100" s="44" t="s">
        <v>18</v>
      </c>
      <c r="E100" s="44" t="s">
        <v>24</v>
      </c>
      <c r="F100" s="37" t="s">
        <v>686</v>
      </c>
      <c r="G100" s="44" t="s">
        <v>129</v>
      </c>
      <c r="H100" s="44" t="s">
        <v>687</v>
      </c>
      <c r="I100" s="44" t="s">
        <v>116</v>
      </c>
      <c r="J100" s="44">
        <v>6</v>
      </c>
      <c r="K100" s="44" t="s">
        <v>688</v>
      </c>
      <c r="L100" s="44">
        <v>2400</v>
      </c>
      <c r="M100" s="44" t="s">
        <v>74</v>
      </c>
      <c r="N100" s="43" t="s">
        <v>689</v>
      </c>
      <c r="O100" s="45" t="s">
        <v>682</v>
      </c>
      <c r="P100" s="38" t="s">
        <v>690</v>
      </c>
      <c r="Q100" s="38" t="s">
        <v>683</v>
      </c>
      <c r="R100" s="44"/>
      <c r="S100" s="44"/>
      <c r="T100" s="44"/>
      <c r="U100" s="44"/>
      <c r="V100" s="44"/>
      <c r="W100" s="44"/>
      <c r="X100" s="44"/>
      <c r="Y100" s="44" t="s">
        <v>691</v>
      </c>
      <c r="Z100" s="44"/>
      <c r="AA100" s="47"/>
    </row>
    <row r="101" spans="1:27" ht="135" x14ac:dyDescent="0.2">
      <c r="A101" s="36" t="s">
        <v>692</v>
      </c>
      <c r="B101" s="36" t="s">
        <v>17</v>
      </c>
      <c r="C101" s="36" t="str">
        <f>CONCATENATE(VLOOKUP($D101,CODIFICACIÓN_RUTA!$B$2:$C$3,2,0),MID($F101,1,1)&amp;MID($F101,6,1),VLOOKUP($E101,CODIFICACIÓN_RUTA!$E$2:$F$10,2,0),$A101)</f>
        <v>02CI05100</v>
      </c>
      <c r="D101" s="44" t="s">
        <v>18</v>
      </c>
      <c r="E101" s="44" t="s">
        <v>26</v>
      </c>
      <c r="F101" s="37" t="s">
        <v>693</v>
      </c>
      <c r="G101" s="44" t="s">
        <v>129</v>
      </c>
      <c r="H101" s="44" t="s">
        <v>694</v>
      </c>
      <c r="I101" s="44" t="s">
        <v>116</v>
      </c>
      <c r="J101" s="44">
        <v>8</v>
      </c>
      <c r="K101" s="44" t="s">
        <v>695</v>
      </c>
      <c r="L101" s="44">
        <v>1800</v>
      </c>
      <c r="M101" s="44" t="s">
        <v>696</v>
      </c>
      <c r="N101" s="43" t="s">
        <v>697</v>
      </c>
      <c r="O101" s="38" t="s">
        <v>698</v>
      </c>
      <c r="P101" s="38" t="s">
        <v>699</v>
      </c>
      <c r="Q101" s="38"/>
      <c r="R101" s="44"/>
      <c r="S101" s="44"/>
      <c r="T101" s="44"/>
      <c r="U101" s="44"/>
      <c r="V101" s="44"/>
      <c r="W101" s="44"/>
      <c r="X101" s="44"/>
      <c r="Y101" s="44"/>
      <c r="Z101" s="44"/>
      <c r="AA101" s="47"/>
    </row>
    <row r="102" spans="1:27" ht="90" x14ac:dyDescent="0.2">
      <c r="A102" s="36" t="s">
        <v>700</v>
      </c>
      <c r="B102" s="36" t="s">
        <v>17</v>
      </c>
      <c r="C102" s="36" t="str">
        <f>CONCATENATE(VLOOKUP($D102,CODIFICACIÓN_RUTA!$B$2:$C$3,2,0),MID($F102,1,1)&amp;MID($F102,6,1),VLOOKUP($E102,CODIFICACIÓN_RUTA!$E$2:$F$10,2,0),$A102)</f>
        <v>02CI05101</v>
      </c>
      <c r="D102" s="44" t="s">
        <v>18</v>
      </c>
      <c r="E102" s="44" t="s">
        <v>26</v>
      </c>
      <c r="F102" s="37" t="s">
        <v>701</v>
      </c>
      <c r="G102" s="44" t="s">
        <v>129</v>
      </c>
      <c r="H102" s="44" t="s">
        <v>702</v>
      </c>
      <c r="I102" s="44" t="s">
        <v>116</v>
      </c>
      <c r="J102" s="44">
        <v>8</v>
      </c>
      <c r="K102" s="44" t="s">
        <v>703</v>
      </c>
      <c r="L102" s="44">
        <v>1800</v>
      </c>
      <c r="M102" s="44" t="s">
        <v>241</v>
      </c>
      <c r="N102" s="43" t="s">
        <v>704</v>
      </c>
      <c r="O102" s="37" t="s">
        <v>705</v>
      </c>
      <c r="P102" s="38" t="s">
        <v>699</v>
      </c>
      <c r="Q102" s="38"/>
      <c r="R102" s="44"/>
      <c r="S102" s="44"/>
      <c r="T102" s="44"/>
      <c r="U102" s="44"/>
      <c r="V102" s="44"/>
      <c r="W102" s="44"/>
      <c r="X102" s="44"/>
      <c r="Y102" s="44"/>
      <c r="Z102" s="44"/>
      <c r="AA102" s="47"/>
    </row>
    <row r="103" spans="1:27" ht="60" x14ac:dyDescent="0.2">
      <c r="A103" s="36" t="s">
        <v>706</v>
      </c>
      <c r="B103" s="36" t="s">
        <v>17</v>
      </c>
      <c r="C103" s="36" t="str">
        <f>CONCATENATE(VLOOKUP($D103,CODIFICACIÓN_RUTA!$B$2:$C$3,2,0),MID($F103,1,1)&amp;MID($F103,6,1),VLOOKUP($E103,CODIFICACIÓN_RUTA!$E$2:$F$10,2,0),$A103)</f>
        <v>02CI05102</v>
      </c>
      <c r="D103" s="44" t="s">
        <v>18</v>
      </c>
      <c r="E103" s="44" t="s">
        <v>26</v>
      </c>
      <c r="F103" s="37" t="s">
        <v>707</v>
      </c>
      <c r="G103" s="44" t="s">
        <v>129</v>
      </c>
      <c r="H103" s="44" t="s">
        <v>708</v>
      </c>
      <c r="I103" s="44" t="s">
        <v>116</v>
      </c>
      <c r="J103" s="44">
        <v>8</v>
      </c>
      <c r="K103" s="44" t="s">
        <v>709</v>
      </c>
      <c r="L103" s="44">
        <v>1800</v>
      </c>
      <c r="M103" s="44" t="s">
        <v>241</v>
      </c>
      <c r="N103" s="43" t="s">
        <v>710</v>
      </c>
      <c r="O103" s="45" t="s">
        <v>711</v>
      </c>
      <c r="P103" s="38"/>
      <c r="Q103" s="38"/>
      <c r="R103" s="44"/>
      <c r="S103" s="44"/>
      <c r="T103" s="44"/>
      <c r="U103" s="44"/>
      <c r="V103" s="44"/>
      <c r="W103" s="44"/>
      <c r="X103" s="44"/>
      <c r="Y103" s="44" t="s">
        <v>712</v>
      </c>
      <c r="Z103" s="44"/>
      <c r="AA103" s="47"/>
    </row>
    <row r="104" spans="1:27" ht="120" x14ac:dyDescent="0.2">
      <c r="A104" s="36" t="s">
        <v>713</v>
      </c>
      <c r="B104" s="36" t="s">
        <v>17</v>
      </c>
      <c r="C104" s="36" t="str">
        <f>CONCATENATE(VLOOKUP($D104,CODIFICACIÓN_RUTA!$B$2:$C$3,2,0),MID($F104,1,1)&amp;MID($F104,6,1),VLOOKUP($E104,CODIFICACIÓN_RUTA!$E$2:$F$10,2,0),$A104)</f>
        <v>02CI05103</v>
      </c>
      <c r="D104" s="44" t="s">
        <v>18</v>
      </c>
      <c r="E104" s="44" t="s">
        <v>26</v>
      </c>
      <c r="F104" s="37" t="s">
        <v>714</v>
      </c>
      <c r="G104" s="44" t="s">
        <v>129</v>
      </c>
      <c r="H104" s="44" t="s">
        <v>715</v>
      </c>
      <c r="I104" s="44" t="s">
        <v>116</v>
      </c>
      <c r="J104" s="44">
        <v>8</v>
      </c>
      <c r="K104" s="44" t="s">
        <v>716</v>
      </c>
      <c r="L104" s="44">
        <v>1800</v>
      </c>
      <c r="M104" s="44" t="s">
        <v>241</v>
      </c>
      <c r="N104" s="43" t="s">
        <v>717</v>
      </c>
      <c r="O104" s="38" t="s">
        <v>690</v>
      </c>
      <c r="P104" s="37" t="s">
        <v>546</v>
      </c>
      <c r="Q104" s="38"/>
      <c r="R104" s="44"/>
      <c r="S104" s="44"/>
      <c r="T104" s="44"/>
      <c r="U104" s="44"/>
      <c r="V104" s="44"/>
      <c r="W104" s="44"/>
      <c r="X104" s="44"/>
      <c r="Y104" s="44"/>
      <c r="Z104" s="44"/>
      <c r="AA104" s="47"/>
    </row>
    <row r="105" spans="1:27" ht="240" x14ac:dyDescent="0.2">
      <c r="A105" s="36" t="s">
        <v>718</v>
      </c>
      <c r="B105" s="36" t="s">
        <v>17</v>
      </c>
      <c r="C105" s="36" t="str">
        <f>CONCATENATE(VLOOKUP($D105,CODIFICACIÓN_RUTA!$B$2:$C$3,2,0),MID($F105,1,1)&amp;MID($F105,6,1),VLOOKUP($E105,CODIFICACIÓN_RUTA!$E$2:$F$10,2,0),$A105)</f>
        <v>02CI06104</v>
      </c>
      <c r="D105" s="44" t="s">
        <v>18</v>
      </c>
      <c r="E105" s="44" t="s">
        <v>28</v>
      </c>
      <c r="F105" s="37" t="s">
        <v>719</v>
      </c>
      <c r="G105" s="44" t="s">
        <v>70</v>
      </c>
      <c r="H105" s="44" t="s">
        <v>720</v>
      </c>
      <c r="I105" s="44" t="s">
        <v>116</v>
      </c>
      <c r="J105" s="44">
        <v>8</v>
      </c>
      <c r="K105" s="44" t="s">
        <v>721</v>
      </c>
      <c r="L105" s="44">
        <v>2060</v>
      </c>
      <c r="M105" s="44" t="s">
        <v>74</v>
      </c>
      <c r="N105" s="43" t="s">
        <v>722</v>
      </c>
      <c r="O105" s="45" t="s">
        <v>723</v>
      </c>
      <c r="P105" s="45" t="s">
        <v>724</v>
      </c>
      <c r="Q105" s="45" t="s">
        <v>725</v>
      </c>
      <c r="R105" s="44"/>
      <c r="S105" s="44"/>
      <c r="T105" s="44"/>
      <c r="U105" s="44"/>
      <c r="V105" s="44"/>
      <c r="W105" s="44"/>
      <c r="X105" s="44"/>
      <c r="Y105" s="44" t="s">
        <v>726</v>
      </c>
      <c r="Z105" s="44"/>
      <c r="AA105" s="47"/>
    </row>
    <row r="106" spans="1:27" ht="90" x14ac:dyDescent="0.2">
      <c r="A106" s="36" t="s">
        <v>727</v>
      </c>
      <c r="B106" s="36" t="s">
        <v>17</v>
      </c>
      <c r="C106" s="36" t="str">
        <f>CONCATENATE(VLOOKUP($D106,CODIFICACIÓN_RUTA!$B$2:$C$3,2,0),MID($F106,1,1)&amp;MID($F106,6,1),VLOOKUP($E106,CODIFICACIÓN_RUTA!$E$2:$F$10,2,0),$A106)</f>
        <v>02CI08105</v>
      </c>
      <c r="D106" s="44" t="s">
        <v>18</v>
      </c>
      <c r="E106" s="44" t="s">
        <v>32</v>
      </c>
      <c r="F106" s="36" t="s">
        <v>728</v>
      </c>
      <c r="G106" s="44" t="s">
        <v>85</v>
      </c>
      <c r="H106" s="44" t="s">
        <v>729</v>
      </c>
      <c r="I106" s="44" t="s">
        <v>116</v>
      </c>
      <c r="J106" s="44">
        <v>5</v>
      </c>
      <c r="K106" s="44" t="s">
        <v>730</v>
      </c>
      <c r="L106" s="44">
        <v>2400</v>
      </c>
      <c r="M106" s="44" t="s">
        <v>74</v>
      </c>
      <c r="N106" s="43" t="s">
        <v>722</v>
      </c>
      <c r="O106" s="44"/>
      <c r="P106" s="38"/>
      <c r="Q106" s="38"/>
      <c r="R106" s="44"/>
      <c r="S106" s="44"/>
      <c r="T106" s="44"/>
      <c r="U106" s="44"/>
      <c r="V106" s="44"/>
      <c r="W106" s="44"/>
      <c r="X106" s="44"/>
      <c r="Y106" s="44"/>
      <c r="Z106" s="37"/>
      <c r="AA106" s="56"/>
    </row>
    <row r="107" spans="1:27" ht="135" x14ac:dyDescent="0.2">
      <c r="A107" s="36" t="s">
        <v>731</v>
      </c>
      <c r="B107" s="36" t="s">
        <v>17</v>
      </c>
      <c r="C107" s="36" t="str">
        <f>CONCATENATE(VLOOKUP($D107,CODIFICACIÓN_RUTA!$B$2:$C$3,2,0),MID($F107,1,1)&amp;MID($F107,6,1),VLOOKUP($E107,CODIFICACIÓN_RUTA!$E$2:$F$10,2,0),$A107)</f>
        <v>02Ci08106</v>
      </c>
      <c r="D107" s="44" t="s">
        <v>18</v>
      </c>
      <c r="E107" s="44" t="s">
        <v>32</v>
      </c>
      <c r="F107" s="44" t="s">
        <v>732</v>
      </c>
      <c r="G107" s="44" t="s">
        <v>85</v>
      </c>
      <c r="H107" s="44" t="s">
        <v>733</v>
      </c>
      <c r="I107" s="44" t="s">
        <v>116</v>
      </c>
      <c r="J107" s="37">
        <v>5</v>
      </c>
      <c r="K107" s="44" t="s">
        <v>734</v>
      </c>
      <c r="L107" s="44">
        <v>2400</v>
      </c>
      <c r="M107" s="44" t="s">
        <v>74</v>
      </c>
      <c r="N107" s="43" t="s">
        <v>735</v>
      </c>
      <c r="O107" s="45" t="s">
        <v>298</v>
      </c>
      <c r="P107" s="38"/>
      <c r="Q107" s="38"/>
      <c r="R107" s="44"/>
      <c r="S107" s="44"/>
      <c r="T107" s="44"/>
      <c r="U107" s="44"/>
      <c r="V107" s="44"/>
      <c r="W107" s="44"/>
      <c r="X107" s="44"/>
      <c r="Y107" s="44" t="s">
        <v>736</v>
      </c>
      <c r="Z107" s="37"/>
      <c r="AA107" s="56"/>
    </row>
    <row r="108" spans="1:27" ht="75" x14ac:dyDescent="0.2">
      <c r="A108" s="36" t="s">
        <v>737</v>
      </c>
      <c r="B108" s="36" t="s">
        <v>17</v>
      </c>
      <c r="C108" s="36" t="str">
        <f>CONCATENATE(VLOOKUP($D108,CODIFICACIÓN_RUTA!$B$2:$C$3,2,0),MID($F108,1,1)&amp;MID($F108,6,1),VLOOKUP($E108,CODIFICACIÓN_RUTA!$E$2:$F$10,2,0),$A108)</f>
        <v>01RQ01107</v>
      </c>
      <c r="D108" s="44" t="s">
        <v>14</v>
      </c>
      <c r="E108" s="44" t="s">
        <v>16</v>
      </c>
      <c r="F108" s="44" t="s">
        <v>738</v>
      </c>
      <c r="G108" s="44" t="s">
        <v>70</v>
      </c>
      <c r="H108" s="44" t="s">
        <v>739</v>
      </c>
      <c r="I108" s="44" t="s">
        <v>72</v>
      </c>
      <c r="J108" s="44">
        <v>5</v>
      </c>
      <c r="K108" s="44" t="s">
        <v>117</v>
      </c>
      <c r="L108" s="44">
        <v>2850</v>
      </c>
      <c r="M108" s="44" t="s">
        <v>74</v>
      </c>
      <c r="N108" s="42" t="s">
        <v>740</v>
      </c>
      <c r="O108" s="37" t="s">
        <v>90</v>
      </c>
      <c r="P108" s="37" t="s">
        <v>485</v>
      </c>
      <c r="Q108" s="37" t="s">
        <v>380</v>
      </c>
      <c r="R108" s="37" t="s">
        <v>80</v>
      </c>
      <c r="S108" s="44"/>
      <c r="T108" s="44"/>
      <c r="U108" s="44"/>
      <c r="V108" s="44"/>
      <c r="W108" s="44"/>
      <c r="X108" s="44"/>
      <c r="Y108" s="44"/>
      <c r="Z108" s="37"/>
      <c r="AA108" s="56"/>
    </row>
    <row r="109" spans="1:27" ht="75" x14ac:dyDescent="0.2">
      <c r="A109" s="36" t="s">
        <v>741</v>
      </c>
      <c r="B109" s="36" t="s">
        <v>17</v>
      </c>
      <c r="C109" s="36" t="str">
        <f>CONCATENATE(VLOOKUP($D109,CODIFICACIÓN_RUTA!$B$2:$C$3,2,0),MID($F109,1,1)&amp;MID($F109,6,1),VLOOKUP($E109,CODIFICACIÓN_RUTA!$E$2:$F$10,2,0),$A109)</f>
        <v>01RA02108</v>
      </c>
      <c r="D109" s="44" t="s">
        <v>14</v>
      </c>
      <c r="E109" s="44" t="s">
        <v>20</v>
      </c>
      <c r="F109" s="44" t="s">
        <v>742</v>
      </c>
      <c r="G109" s="44" t="s">
        <v>70</v>
      </c>
      <c r="H109" s="44" t="s">
        <v>743</v>
      </c>
      <c r="I109" s="44" t="s">
        <v>72</v>
      </c>
      <c r="J109" s="44">
        <v>4</v>
      </c>
      <c r="K109" s="44" t="s">
        <v>117</v>
      </c>
      <c r="L109" s="44">
        <v>2850</v>
      </c>
      <c r="M109" s="44" t="s">
        <v>74</v>
      </c>
      <c r="N109" s="42" t="s">
        <v>744</v>
      </c>
      <c r="O109" s="44" t="s">
        <v>284</v>
      </c>
      <c r="P109" s="38" t="s">
        <v>111</v>
      </c>
      <c r="Q109" s="38" t="s">
        <v>110</v>
      </c>
      <c r="R109" s="44"/>
      <c r="S109" s="44"/>
      <c r="T109" s="44"/>
      <c r="U109" s="44"/>
      <c r="V109" s="44"/>
      <c r="W109" s="44"/>
      <c r="X109" s="44"/>
      <c r="Y109" s="44" t="s">
        <v>745</v>
      </c>
      <c r="Z109" s="37"/>
      <c r="AA109" s="56"/>
    </row>
    <row r="110" spans="1:27" ht="210" x14ac:dyDescent="0.2">
      <c r="A110" s="36" t="s">
        <v>746</v>
      </c>
      <c r="B110" s="36" t="s">
        <v>17</v>
      </c>
      <c r="C110" s="36" t="str">
        <f>CONCATENATE(VLOOKUP($D110,CODIFICACIÓN_RUTA!$B$2:$C$3,2,0),MID($F110,1,1)&amp;MID($F110,6,1),VLOOKUP($E110,CODIFICACIÓN_RUTA!$E$2:$F$10,2,0),$A110)</f>
        <v>01RL02109</v>
      </c>
      <c r="D110" s="44" t="s">
        <v>14</v>
      </c>
      <c r="E110" s="44" t="s">
        <v>20</v>
      </c>
      <c r="F110" s="44" t="s">
        <v>747</v>
      </c>
      <c r="G110" s="44" t="s">
        <v>85</v>
      </c>
      <c r="H110" s="44" t="s">
        <v>748</v>
      </c>
      <c r="I110" s="44" t="s">
        <v>72</v>
      </c>
      <c r="J110" s="44">
        <v>4</v>
      </c>
      <c r="K110" s="44" t="s">
        <v>749</v>
      </c>
      <c r="L110" s="44">
        <v>2850</v>
      </c>
      <c r="M110" s="44" t="s">
        <v>74</v>
      </c>
      <c r="N110" s="42" t="s">
        <v>750</v>
      </c>
      <c r="O110" s="44" t="s">
        <v>577</v>
      </c>
      <c r="P110" s="37" t="s">
        <v>110</v>
      </c>
      <c r="Q110" s="38"/>
      <c r="R110" s="44"/>
      <c r="S110" s="44"/>
      <c r="T110" s="44"/>
      <c r="U110" s="44"/>
      <c r="V110" s="44"/>
      <c r="W110" s="44"/>
      <c r="X110" s="44"/>
      <c r="Y110" s="44"/>
      <c r="Z110" s="37"/>
      <c r="AA110" s="56"/>
    </row>
    <row r="111" spans="1:27" ht="60" customHeight="1" x14ac:dyDescent="0.2">
      <c r="A111" s="36" t="s">
        <v>751</v>
      </c>
      <c r="B111" s="36" t="s">
        <v>17</v>
      </c>
      <c r="C111" s="36" t="str">
        <f>CONCATENATE(VLOOKUP($D111,CODIFICACIÓN_RUTA!$B$2:$C$3,2,0),MID($F111,1,1)&amp;MID($F111,6,1),VLOOKUP($E111,CODIFICACIÓN_RUTA!$E$2:$F$10,2,0),$A111)</f>
        <v>01RP01110</v>
      </c>
      <c r="D111" s="44" t="s">
        <v>14</v>
      </c>
      <c r="E111" s="44" t="s">
        <v>16</v>
      </c>
      <c r="F111" s="44" t="s">
        <v>752</v>
      </c>
      <c r="G111" s="44" t="s">
        <v>85</v>
      </c>
      <c r="H111" s="44" t="s">
        <v>753</v>
      </c>
      <c r="I111" s="44" t="s">
        <v>72</v>
      </c>
      <c r="J111" s="44">
        <v>4</v>
      </c>
      <c r="K111" s="44" t="s">
        <v>117</v>
      </c>
      <c r="L111" s="44">
        <v>2850</v>
      </c>
      <c r="M111" s="44" t="s">
        <v>74</v>
      </c>
      <c r="N111" s="42" t="s">
        <v>754</v>
      </c>
      <c r="O111" s="37" t="s">
        <v>413</v>
      </c>
      <c r="P111" s="45" t="s">
        <v>351</v>
      </c>
      <c r="Q111" s="38" t="s">
        <v>77</v>
      </c>
      <c r="R111" s="44"/>
      <c r="S111" s="44"/>
      <c r="T111" s="44"/>
      <c r="U111" s="44"/>
      <c r="V111" s="44"/>
      <c r="W111" s="44"/>
      <c r="X111" s="44"/>
      <c r="Y111" s="44"/>
      <c r="Z111" s="37"/>
      <c r="AA111" s="56"/>
    </row>
    <row r="112" spans="1:27" ht="60" customHeight="1" x14ac:dyDescent="0.2">
      <c r="A112" s="36" t="s">
        <v>755</v>
      </c>
      <c r="B112" s="36" t="s">
        <v>17</v>
      </c>
      <c r="C112" s="36" t="str">
        <f>CONCATENATE(VLOOKUP($D112,CODIFICACIÓN_RUTA!$B$2:$C$3,2,0),MID($F112,1,1)&amp;MID($F112,6,1),VLOOKUP($E112,CODIFICACIÓN_RUTA!$E$2:$F$10,2,0),$A112)</f>
        <v>02RR05111</v>
      </c>
      <c r="D112" s="44" t="s">
        <v>18</v>
      </c>
      <c r="E112" s="44" t="s">
        <v>26</v>
      </c>
      <c r="F112" s="44" t="s">
        <v>756</v>
      </c>
      <c r="G112" s="44" t="s">
        <v>129</v>
      </c>
      <c r="H112" s="44" t="s">
        <v>757</v>
      </c>
      <c r="I112" s="44" t="s">
        <v>87</v>
      </c>
      <c r="J112" s="44">
        <v>7</v>
      </c>
      <c r="K112" s="44" t="s">
        <v>450</v>
      </c>
      <c r="L112" s="44">
        <v>3100</v>
      </c>
      <c r="M112" s="44" t="s">
        <v>74</v>
      </c>
      <c r="N112" s="43" t="s">
        <v>758</v>
      </c>
      <c r="O112" s="37" t="s">
        <v>225</v>
      </c>
      <c r="P112" s="37" t="s">
        <v>759</v>
      </c>
      <c r="Q112" s="38"/>
      <c r="R112" s="44"/>
      <c r="S112" s="44"/>
      <c r="T112" s="44"/>
      <c r="U112" s="44" t="s">
        <v>760</v>
      </c>
      <c r="V112" s="44"/>
      <c r="W112" s="44"/>
      <c r="X112" s="44"/>
      <c r="Y112" s="44" t="s">
        <v>761</v>
      </c>
      <c r="Z112" s="37"/>
      <c r="AA112" s="56"/>
    </row>
    <row r="113" spans="1:27" ht="60" customHeight="1" x14ac:dyDescent="0.2">
      <c r="A113" s="36" t="s">
        <v>762</v>
      </c>
      <c r="B113" s="36" t="s">
        <v>17</v>
      </c>
      <c r="C113" s="36" t="str">
        <f>CONCATENATE(VLOOKUP($D113,CODIFICACIÓN_RUTA!$B$2:$C$3,2,0),MID($F113,1,1)&amp;MID($F113,6,1),VLOOKUP($E113,CODIFICACIÓN_RUTA!$E$2:$F$10,2,0),$A113)</f>
        <v>01RL01112</v>
      </c>
      <c r="D113" s="44" t="s">
        <v>14</v>
      </c>
      <c r="E113" s="44" t="s">
        <v>16</v>
      </c>
      <c r="F113" s="44" t="s">
        <v>763</v>
      </c>
      <c r="G113" s="44" t="s">
        <v>85</v>
      </c>
      <c r="H113" s="44" t="s">
        <v>764</v>
      </c>
      <c r="I113" s="44" t="s">
        <v>72</v>
      </c>
      <c r="J113" s="44">
        <v>2</v>
      </c>
      <c r="K113" s="44" t="s">
        <v>765</v>
      </c>
      <c r="L113" s="44">
        <v>2850</v>
      </c>
      <c r="M113" s="44" t="s">
        <v>74</v>
      </c>
      <c r="N113" s="43" t="s">
        <v>766</v>
      </c>
      <c r="O113" s="37" t="s">
        <v>431</v>
      </c>
      <c r="P113" s="45" t="s">
        <v>504</v>
      </c>
      <c r="Q113" s="37" t="s">
        <v>767</v>
      </c>
      <c r="R113" s="45" t="s">
        <v>351</v>
      </c>
      <c r="S113" s="44"/>
      <c r="T113" s="44"/>
      <c r="U113" s="44"/>
      <c r="V113" s="44"/>
      <c r="W113" s="44"/>
      <c r="X113" s="44"/>
      <c r="Y113" s="44"/>
      <c r="Z113" s="37"/>
      <c r="AA113" s="56"/>
    </row>
    <row r="114" spans="1:27" ht="60" customHeight="1" x14ac:dyDescent="0.2">
      <c r="A114" s="36" t="s">
        <v>768</v>
      </c>
      <c r="B114" s="36" t="s">
        <v>17</v>
      </c>
      <c r="C114" s="36" t="str">
        <f>CONCATENATE(VLOOKUP($D114,CODIFICACIÓN_RUTA!$B$2:$C$3,2,0),MID($F114,1,1)&amp;MID($F114,6,1),VLOOKUP($E114,CODIFICACIÓN_RUTA!$E$2:$F$10,2,0),$A114)</f>
        <v>01RM01113</v>
      </c>
      <c r="D114" s="44" t="s">
        <v>14</v>
      </c>
      <c r="E114" s="44" t="s">
        <v>16</v>
      </c>
      <c r="F114" s="37" t="s">
        <v>769</v>
      </c>
      <c r="G114" s="44" t="s">
        <v>85</v>
      </c>
      <c r="H114" s="44" t="s">
        <v>584</v>
      </c>
      <c r="I114" s="44" t="s">
        <v>72</v>
      </c>
      <c r="J114" s="44">
        <v>2.5</v>
      </c>
      <c r="K114" s="44" t="s">
        <v>117</v>
      </c>
      <c r="L114" s="44">
        <v>2830</v>
      </c>
      <c r="M114" s="44" t="s">
        <v>74</v>
      </c>
      <c r="N114" s="43" t="s">
        <v>770</v>
      </c>
      <c r="O114" s="44" t="s">
        <v>586</v>
      </c>
      <c r="P114" s="38" t="s">
        <v>303</v>
      </c>
      <c r="Q114" s="38"/>
      <c r="R114" s="49"/>
      <c r="S114" s="49"/>
      <c r="T114" s="49"/>
      <c r="U114" s="49"/>
      <c r="V114" s="49"/>
      <c r="W114" s="49"/>
      <c r="X114" s="49"/>
      <c r="Y114" s="49"/>
      <c r="Z114" s="37"/>
      <c r="AA114" s="56"/>
    </row>
    <row r="115" spans="1:27" ht="60" customHeight="1" x14ac:dyDescent="0.2">
      <c r="A115" s="36" t="s">
        <v>771</v>
      </c>
      <c r="B115" s="36" t="s">
        <v>17</v>
      </c>
      <c r="C115" s="36" t="str">
        <f>CONCATENATE(VLOOKUP($D115,CODIFICACIÓN_RUTA!$B$2:$C$3,2,0),MID($F115,1,1)&amp;MID($F115,6,1),VLOOKUP($E115,CODIFICACIÓN_RUTA!$E$2:$F$10,2,0),$A115)</f>
        <v>01RD01114</v>
      </c>
      <c r="D115" s="44" t="s">
        <v>14</v>
      </c>
      <c r="E115" s="44" t="s">
        <v>16</v>
      </c>
      <c r="F115" s="44" t="s">
        <v>772</v>
      </c>
      <c r="G115" s="44" t="s">
        <v>85</v>
      </c>
      <c r="H115" s="44" t="s">
        <v>773</v>
      </c>
      <c r="I115" s="44" t="s">
        <v>72</v>
      </c>
      <c r="J115" s="44">
        <v>3</v>
      </c>
      <c r="K115" s="38" t="s">
        <v>462</v>
      </c>
      <c r="L115" s="38">
        <v>2886</v>
      </c>
      <c r="M115" s="38" t="s">
        <v>74</v>
      </c>
      <c r="N115" s="43" t="s">
        <v>774</v>
      </c>
      <c r="O115" s="44" t="s">
        <v>775</v>
      </c>
      <c r="P115" s="38" t="s">
        <v>351</v>
      </c>
      <c r="Q115" s="45" t="s">
        <v>499</v>
      </c>
      <c r="R115" s="44"/>
      <c r="S115" s="44"/>
      <c r="T115" s="44"/>
      <c r="U115" s="44"/>
      <c r="V115" s="44"/>
      <c r="W115" s="44"/>
      <c r="X115" s="44"/>
      <c r="Y115" s="44" t="s">
        <v>776</v>
      </c>
      <c r="Z115" s="37"/>
      <c r="AA115" s="56"/>
    </row>
    <row r="116" spans="1:27" ht="60" customHeight="1" x14ac:dyDescent="0.25">
      <c r="A116" s="36" t="s">
        <v>777</v>
      </c>
      <c r="B116" s="36" t="s">
        <v>17</v>
      </c>
      <c r="C116" s="36" t="str">
        <f>CONCATENATE(VLOOKUP($D116,CODIFICACIÓN_RUTA!$B$2:$C$3,2,0),MID($F116,1,1)&amp;MID($F116,6,1),VLOOKUP($E116,CODIFICACIÓN_RUTA!$E$2:$F$10,2,0),$A116)</f>
        <v>01RD01115</v>
      </c>
      <c r="D116" s="38" t="s">
        <v>14</v>
      </c>
      <c r="E116" s="38" t="s">
        <v>16</v>
      </c>
      <c r="F116" s="44" t="s">
        <v>778</v>
      </c>
      <c r="G116" s="38" t="s">
        <v>85</v>
      </c>
      <c r="H116" s="38" t="s">
        <v>779</v>
      </c>
      <c r="I116" s="44" t="s">
        <v>72</v>
      </c>
      <c r="J116" s="38">
        <v>4</v>
      </c>
      <c r="K116" s="26" t="s">
        <v>462</v>
      </c>
      <c r="L116" s="26">
        <v>2886</v>
      </c>
      <c r="M116" s="26" t="s">
        <v>74</v>
      </c>
      <c r="N116" s="42" t="s">
        <v>780</v>
      </c>
      <c r="O116" s="38" t="s">
        <v>76</v>
      </c>
      <c r="P116" s="38" t="s">
        <v>781</v>
      </c>
      <c r="Q116" s="38" t="s">
        <v>83</v>
      </c>
      <c r="R116" s="38"/>
      <c r="S116" s="38"/>
      <c r="T116" s="38"/>
      <c r="U116" s="38"/>
      <c r="V116" s="38"/>
      <c r="W116" s="38"/>
      <c r="X116" s="38"/>
      <c r="Y116" s="38" t="s">
        <v>782</v>
      </c>
      <c r="Z116" s="37"/>
      <c r="AA116" s="56"/>
    </row>
    <row r="117" spans="1:27" ht="60" customHeight="1" x14ac:dyDescent="0.2">
      <c r="A117" s="36" t="s">
        <v>783</v>
      </c>
      <c r="B117" s="36" t="s">
        <v>17</v>
      </c>
      <c r="C117" s="36" t="str">
        <f>CONCATENATE(VLOOKUP($D117,CODIFICACIÓN_RUTA!$B$2:$C$3,2,0),MID($F117,1,1)&amp;MID($F117,6,1),VLOOKUP($E117,CODIFICACIÓN_RUTA!$E$2:$F$10,2,0),$A117)</f>
        <v>01RQ01116</v>
      </c>
      <c r="D117" s="38" t="s">
        <v>14</v>
      </c>
      <c r="E117" s="38" t="s">
        <v>16</v>
      </c>
      <c r="F117" s="38" t="s">
        <v>784</v>
      </c>
      <c r="G117" s="38" t="s">
        <v>85</v>
      </c>
      <c r="H117" s="38" t="s">
        <v>785</v>
      </c>
      <c r="I117" s="44" t="s">
        <v>72</v>
      </c>
      <c r="J117" s="38">
        <v>3</v>
      </c>
      <c r="K117" s="38" t="s">
        <v>462</v>
      </c>
      <c r="L117" s="38">
        <v>2886</v>
      </c>
      <c r="M117" s="38" t="s">
        <v>74</v>
      </c>
      <c r="N117" s="43" t="s">
        <v>786</v>
      </c>
      <c r="O117" s="38" t="s">
        <v>787</v>
      </c>
      <c r="P117" s="37" t="s">
        <v>404</v>
      </c>
      <c r="Q117" s="37" t="s">
        <v>80</v>
      </c>
      <c r="R117" s="37" t="s">
        <v>380</v>
      </c>
      <c r="S117" s="38"/>
      <c r="T117" s="38"/>
      <c r="U117" s="38"/>
      <c r="V117" s="38"/>
      <c r="W117" s="38"/>
      <c r="X117" s="38"/>
      <c r="Y117" s="38" t="s">
        <v>572</v>
      </c>
      <c r="Z117" s="37"/>
      <c r="AA117" s="56"/>
    </row>
    <row r="118" spans="1:27" ht="60" customHeight="1" x14ac:dyDescent="0.2">
      <c r="A118" s="36" t="s">
        <v>788</v>
      </c>
      <c r="B118" s="36" t="s">
        <v>17</v>
      </c>
      <c r="C118" s="36" t="str">
        <f>CONCATENATE(VLOOKUP($D118,CODIFICACIÓN_RUTA!$B$2:$C$3,2,0),MID($F118,1,1)&amp;MID($F118,6,1),VLOOKUP($E118,CODIFICACIÓN_RUTA!$E$2:$F$10,2,0),$A118)</f>
        <v>01RQ01117</v>
      </c>
      <c r="D118" s="37" t="s">
        <v>14</v>
      </c>
      <c r="E118" s="37" t="s">
        <v>16</v>
      </c>
      <c r="F118" s="37" t="s">
        <v>789</v>
      </c>
      <c r="G118" s="37" t="s">
        <v>85</v>
      </c>
      <c r="H118" s="37" t="s">
        <v>790</v>
      </c>
      <c r="I118" s="44" t="s">
        <v>72</v>
      </c>
      <c r="J118" s="37">
        <v>3</v>
      </c>
      <c r="K118" s="37" t="s">
        <v>462</v>
      </c>
      <c r="L118" s="37">
        <v>2886</v>
      </c>
      <c r="M118" s="37" t="s">
        <v>74</v>
      </c>
      <c r="N118" s="43" t="s">
        <v>791</v>
      </c>
      <c r="O118" s="37" t="s">
        <v>84</v>
      </c>
      <c r="P118" s="37" t="s">
        <v>380</v>
      </c>
      <c r="Q118" s="45" t="s">
        <v>79</v>
      </c>
      <c r="R118" s="37"/>
      <c r="S118" s="37"/>
      <c r="T118" s="37"/>
      <c r="U118" s="37"/>
      <c r="V118" s="37"/>
      <c r="W118" s="37"/>
      <c r="X118" s="37"/>
      <c r="Y118" s="37" t="s">
        <v>792</v>
      </c>
      <c r="Z118" s="37"/>
      <c r="AA118" s="56"/>
    </row>
    <row r="119" spans="1:27" ht="60" customHeight="1" x14ac:dyDescent="0.2">
      <c r="A119" s="36" t="s">
        <v>793</v>
      </c>
      <c r="B119" s="36" t="s">
        <v>17</v>
      </c>
      <c r="C119" s="36" t="str">
        <f>CONCATENATE(VLOOKUP($D119,CODIFICACIÓN_RUTA!$B$2:$C$3,2,0),MID($F119,1,1)&amp;MID($F119,6,1),VLOOKUP($E119,CODIFICACIÓN_RUTA!$E$2:$F$10,2,0),$A119)</f>
        <v>01RP01118</v>
      </c>
      <c r="D119" s="37" t="s">
        <v>14</v>
      </c>
      <c r="E119" s="37" t="s">
        <v>16</v>
      </c>
      <c r="F119" s="37" t="s">
        <v>794</v>
      </c>
      <c r="G119" s="37" t="s">
        <v>85</v>
      </c>
      <c r="H119" s="37" t="s">
        <v>795</v>
      </c>
      <c r="I119" s="44" t="s">
        <v>72</v>
      </c>
      <c r="J119" s="37">
        <v>3</v>
      </c>
      <c r="K119" s="37" t="s">
        <v>117</v>
      </c>
      <c r="L119" s="37">
        <v>2800</v>
      </c>
      <c r="M119" s="37" t="s">
        <v>74</v>
      </c>
      <c r="N119" s="43" t="s">
        <v>796</v>
      </c>
      <c r="O119" s="37" t="s">
        <v>413</v>
      </c>
      <c r="P119" s="37" t="s">
        <v>797</v>
      </c>
      <c r="Q119" s="45" t="s">
        <v>351</v>
      </c>
      <c r="R119" s="38" t="s">
        <v>77</v>
      </c>
      <c r="S119" s="37"/>
      <c r="T119" s="37"/>
      <c r="U119" s="37"/>
      <c r="V119" s="37"/>
      <c r="W119" s="37"/>
      <c r="X119" s="37"/>
      <c r="Y119" s="37"/>
      <c r="Z119" s="37"/>
      <c r="AA119" s="56"/>
    </row>
    <row r="120" spans="1:27" ht="60" customHeight="1" x14ac:dyDescent="0.2">
      <c r="A120" s="36" t="s">
        <v>798</v>
      </c>
      <c r="B120" s="36" t="s">
        <v>17</v>
      </c>
      <c r="C120" s="36" t="str">
        <f>CONCATENATE(VLOOKUP($D120,CODIFICACIÓN_RUTA!$B$2:$C$3,2,0),MID($F120,1,1)&amp;MID($F120,6,1),VLOOKUP($E120,CODIFICACIÓN_RUTA!$E$2:$F$10,2,0),$A120)</f>
        <v>01RP03119</v>
      </c>
      <c r="D120" s="37" t="s">
        <v>14</v>
      </c>
      <c r="E120" s="37" t="s">
        <v>22</v>
      </c>
      <c r="F120" s="37" t="s">
        <v>799</v>
      </c>
      <c r="G120" s="37" t="s">
        <v>85</v>
      </c>
      <c r="H120" s="37" t="s">
        <v>800</v>
      </c>
      <c r="I120" s="37" t="s">
        <v>116</v>
      </c>
      <c r="J120" s="37">
        <v>6</v>
      </c>
      <c r="K120" s="37" t="s">
        <v>177</v>
      </c>
      <c r="L120" s="37">
        <v>2800</v>
      </c>
      <c r="M120" s="37" t="s">
        <v>74</v>
      </c>
      <c r="N120" s="43" t="s">
        <v>801</v>
      </c>
      <c r="O120" s="37" t="s">
        <v>802</v>
      </c>
      <c r="P120" s="37" t="s">
        <v>803</v>
      </c>
      <c r="Q120" s="37"/>
      <c r="R120" s="37"/>
      <c r="S120" s="37"/>
      <c r="T120" s="37"/>
      <c r="U120" s="37"/>
      <c r="V120" s="37"/>
      <c r="W120" s="37"/>
      <c r="X120" s="37"/>
      <c r="Y120" s="37"/>
      <c r="Z120" s="37"/>
      <c r="AA120" s="56"/>
    </row>
    <row r="121" spans="1:27" ht="60" customHeight="1" x14ac:dyDescent="0.2">
      <c r="A121" s="36" t="s">
        <v>804</v>
      </c>
      <c r="B121" s="36" t="s">
        <v>17</v>
      </c>
      <c r="C121" s="36" t="str">
        <f>CONCATENATE(VLOOKUP($D121,CODIFICACIÓN_RUTA!$B$2:$C$3,2,0),MID($F121,1,1)&amp;MID($F121,6,1),VLOOKUP($E121,CODIFICACIÓN_RUTA!$E$2:$F$10,2,0),$A121)</f>
        <v>01RF03120</v>
      </c>
      <c r="D121" s="37" t="s">
        <v>14</v>
      </c>
      <c r="E121" s="37" t="s">
        <v>22</v>
      </c>
      <c r="F121" s="37" t="s">
        <v>805</v>
      </c>
      <c r="G121" s="37" t="s">
        <v>85</v>
      </c>
      <c r="H121" s="37" t="s">
        <v>806</v>
      </c>
      <c r="I121" s="37" t="s">
        <v>99</v>
      </c>
      <c r="J121" s="37">
        <v>4</v>
      </c>
      <c r="K121" s="37" t="s">
        <v>807</v>
      </c>
      <c r="L121" s="37">
        <v>2850</v>
      </c>
      <c r="M121" s="37"/>
      <c r="N121" s="43" t="s">
        <v>808</v>
      </c>
      <c r="O121" s="45" t="s">
        <v>320</v>
      </c>
      <c r="P121" s="37" t="s">
        <v>90</v>
      </c>
      <c r="Q121" s="37" t="s">
        <v>380</v>
      </c>
      <c r="R121" s="37" t="s">
        <v>81</v>
      </c>
      <c r="S121" s="37" t="s">
        <v>80</v>
      </c>
      <c r="T121" s="37" t="s">
        <v>78</v>
      </c>
      <c r="U121" s="37" t="s">
        <v>809</v>
      </c>
      <c r="V121" s="37" t="s">
        <v>499</v>
      </c>
      <c r="W121" s="37"/>
      <c r="X121" s="37"/>
      <c r="Y121" s="37"/>
      <c r="Z121" s="37"/>
      <c r="AA121" s="56"/>
    </row>
    <row r="122" spans="1:27" ht="60" customHeight="1" x14ac:dyDescent="0.2">
      <c r="A122" s="36" t="s">
        <v>810</v>
      </c>
      <c r="B122" s="36" t="s">
        <v>17</v>
      </c>
      <c r="C122" s="36" t="str">
        <f>CONCATENATE(VLOOKUP($D122,CODIFICACIÓN_RUTA!$B$2:$C$3,2,0),MID($F122,1,1)&amp;MID($F122,6,1),VLOOKUP($E122,CODIFICACIÓN_RUTA!$E$2:$F$10,2,0),$A122)</f>
        <v>01RV01121</v>
      </c>
      <c r="D122" s="37" t="s">
        <v>14</v>
      </c>
      <c r="E122" s="37" t="s">
        <v>16</v>
      </c>
      <c r="F122" s="37" t="s">
        <v>811</v>
      </c>
      <c r="G122" s="37" t="s">
        <v>129</v>
      </c>
      <c r="H122" s="37" t="s">
        <v>812</v>
      </c>
      <c r="I122" s="37" t="s">
        <v>72</v>
      </c>
      <c r="J122" s="37">
        <v>4</v>
      </c>
      <c r="K122" s="37" t="s">
        <v>117</v>
      </c>
      <c r="L122" s="37">
        <v>2850</v>
      </c>
      <c r="M122" s="37" t="s">
        <v>74</v>
      </c>
      <c r="N122" s="43" t="s">
        <v>813</v>
      </c>
      <c r="O122" s="37" t="s">
        <v>380</v>
      </c>
      <c r="P122" s="37" t="s">
        <v>81</v>
      </c>
      <c r="Q122" s="37" t="s">
        <v>814</v>
      </c>
      <c r="R122" s="37" t="s">
        <v>815</v>
      </c>
      <c r="S122" s="37" t="s">
        <v>816</v>
      </c>
      <c r="T122" s="37"/>
      <c r="U122" s="37"/>
      <c r="V122" s="37"/>
      <c r="W122" s="37"/>
      <c r="X122" s="37"/>
      <c r="Y122" s="37" t="s">
        <v>817</v>
      </c>
      <c r="Z122" s="37"/>
      <c r="AA122" s="56"/>
    </row>
    <row r="123" spans="1:27" ht="60" customHeight="1" x14ac:dyDescent="0.2">
      <c r="A123" s="36" t="s">
        <v>818</v>
      </c>
      <c r="B123" s="36" t="s">
        <v>17</v>
      </c>
      <c r="C123" s="36" t="str">
        <f>CONCATENATE(VLOOKUP($D123,CODIFICACIÓN_RUTA!$B$2:$C$3,2,0),MID($F123,1,1)&amp;MID($F123,6,1),VLOOKUP($E123,CODIFICACIÓN_RUTA!$E$2:$F$10,2,0),$A123)</f>
        <v>01RM01122</v>
      </c>
      <c r="D123" s="37" t="s">
        <v>14</v>
      </c>
      <c r="E123" s="37" t="s">
        <v>16</v>
      </c>
      <c r="F123" s="37" t="s">
        <v>819</v>
      </c>
      <c r="G123" s="37" t="s">
        <v>85</v>
      </c>
      <c r="H123" s="37" t="s">
        <v>820</v>
      </c>
      <c r="I123" s="37" t="s">
        <v>99</v>
      </c>
      <c r="J123" s="37">
        <v>3</v>
      </c>
      <c r="K123" s="37" t="s">
        <v>821</v>
      </c>
      <c r="L123" s="37">
        <v>2850</v>
      </c>
      <c r="M123" s="37" t="s">
        <v>74</v>
      </c>
      <c r="N123" s="43" t="s">
        <v>822</v>
      </c>
      <c r="O123" s="37" t="s">
        <v>823</v>
      </c>
      <c r="P123" s="37" t="s">
        <v>824</v>
      </c>
      <c r="Q123" s="37"/>
      <c r="R123" s="37"/>
      <c r="S123" s="37"/>
      <c r="T123" s="37"/>
      <c r="U123" s="37"/>
      <c r="V123" s="37"/>
      <c r="W123" s="37"/>
      <c r="X123" s="37"/>
      <c r="Y123" s="37" t="s">
        <v>817</v>
      </c>
      <c r="Z123" s="37"/>
      <c r="AA123" s="56"/>
    </row>
    <row r="124" spans="1:27" ht="60" customHeight="1" x14ac:dyDescent="0.25">
      <c r="A124" s="36" t="s">
        <v>825</v>
      </c>
      <c r="B124" s="36" t="s">
        <v>17</v>
      </c>
      <c r="C124" s="36" t="str">
        <f>CONCATENATE(VLOOKUP($D124,CODIFICACIÓN_RUTA!$B$2:$C$3,2,0),MID($F124,1,1)&amp;MID($F124,6,1),VLOOKUP($E124,CODIFICACIÓN_RUTA!$E$2:$F$10,2,0),$A124)</f>
        <v>01RR01123</v>
      </c>
      <c r="D124" s="37" t="s">
        <v>14</v>
      </c>
      <c r="E124" s="37" t="s">
        <v>16</v>
      </c>
      <c r="F124" s="37" t="s">
        <v>826</v>
      </c>
      <c r="G124" s="37" t="s">
        <v>85</v>
      </c>
      <c r="H124" s="37" t="s">
        <v>827</v>
      </c>
      <c r="I124" s="37" t="s">
        <v>72</v>
      </c>
      <c r="J124" s="37">
        <v>2</v>
      </c>
      <c r="K124" s="37" t="s">
        <v>343</v>
      </c>
      <c r="L124" s="37">
        <v>2850</v>
      </c>
      <c r="M124" s="37" t="s">
        <v>74</v>
      </c>
      <c r="N124" s="43" t="s">
        <v>828</v>
      </c>
      <c r="O124" s="37" t="s">
        <v>829</v>
      </c>
      <c r="P124" s="37" t="s">
        <v>830</v>
      </c>
      <c r="Q124" s="37" t="s">
        <v>125</v>
      </c>
      <c r="R124" s="57"/>
      <c r="S124" s="37"/>
      <c r="T124" s="37"/>
      <c r="U124" s="37"/>
      <c r="V124" s="37"/>
      <c r="W124" s="37"/>
      <c r="X124" s="37"/>
      <c r="Y124" s="37"/>
      <c r="Z124" s="37"/>
      <c r="AA124" s="56"/>
    </row>
    <row r="125" spans="1:27" ht="60" customHeight="1" x14ac:dyDescent="0.2">
      <c r="A125" s="36" t="s">
        <v>831</v>
      </c>
      <c r="B125" s="36" t="s">
        <v>17</v>
      </c>
      <c r="C125" s="36" t="str">
        <f>CONCATENATE(VLOOKUP($D125,CODIFICACIÓN_RUTA!$B$2:$C$3,2,0),MID($F125,1,1)&amp;MID($F125,6,1),VLOOKUP($E125,CODIFICACIÓN_RUTA!$E$2:$F$10,2,0),$A125)</f>
        <v>01RH03124</v>
      </c>
      <c r="D125" s="37" t="s">
        <v>14</v>
      </c>
      <c r="E125" s="37" t="s">
        <v>22</v>
      </c>
      <c r="F125" s="37" t="s">
        <v>832</v>
      </c>
      <c r="G125" s="37" t="s">
        <v>70</v>
      </c>
      <c r="H125" s="37" t="s">
        <v>833</v>
      </c>
      <c r="I125" s="37" t="s">
        <v>72</v>
      </c>
      <c r="J125" s="37">
        <v>4</v>
      </c>
      <c r="K125" s="37" t="s">
        <v>821</v>
      </c>
      <c r="L125" s="37">
        <v>2800</v>
      </c>
      <c r="M125" s="37" t="s">
        <v>74</v>
      </c>
      <c r="N125" s="43" t="s">
        <v>834</v>
      </c>
      <c r="O125" s="37" t="s">
        <v>835</v>
      </c>
      <c r="P125" s="37" t="s">
        <v>836</v>
      </c>
      <c r="Q125" s="37" t="s">
        <v>837</v>
      </c>
      <c r="R125" s="37" t="s">
        <v>838</v>
      </c>
      <c r="S125" s="37"/>
      <c r="T125" s="37"/>
      <c r="U125" s="37"/>
      <c r="V125" s="37"/>
      <c r="W125" s="37"/>
      <c r="X125" s="37"/>
      <c r="Y125" s="37"/>
      <c r="Z125" s="37"/>
      <c r="AA125" s="56"/>
    </row>
    <row r="126" spans="1:27" ht="60" customHeight="1" x14ac:dyDescent="0.2">
      <c r="A126" s="36" t="s">
        <v>839</v>
      </c>
      <c r="B126" s="36" t="s">
        <v>17</v>
      </c>
      <c r="C126" s="36" t="str">
        <f>CONCATENATE(VLOOKUP($D126,CODIFICACIÓN_RUTA!$B$2:$C$3,2,0),MID($F126,1,1)&amp;MID($F126,6,1),VLOOKUP($E126,CODIFICACIÓN_RUTA!$E$2:$F$10,2,0),$A126)</f>
        <v>02RD09125</v>
      </c>
      <c r="D126" s="37" t="s">
        <v>18</v>
      </c>
      <c r="E126" s="37" t="s">
        <v>34</v>
      </c>
      <c r="F126" s="37" t="s">
        <v>206</v>
      </c>
      <c r="G126" s="37" t="s">
        <v>70</v>
      </c>
      <c r="H126" s="37" t="s">
        <v>840</v>
      </c>
      <c r="I126" s="37" t="s">
        <v>72</v>
      </c>
      <c r="J126" s="37">
        <v>9</v>
      </c>
      <c r="K126" s="37" t="s">
        <v>841</v>
      </c>
      <c r="L126" s="37">
        <v>2270</v>
      </c>
      <c r="M126" s="37" t="s">
        <v>74</v>
      </c>
      <c r="N126" s="43" t="s">
        <v>842</v>
      </c>
      <c r="O126" s="37" t="s">
        <v>843</v>
      </c>
      <c r="P126" s="37" t="s">
        <v>844</v>
      </c>
      <c r="Q126" s="37" t="s">
        <v>845</v>
      </c>
      <c r="R126" s="37" t="s">
        <v>846</v>
      </c>
      <c r="S126" s="37" t="s">
        <v>847</v>
      </c>
      <c r="T126" s="37"/>
      <c r="U126" s="37"/>
      <c r="V126" s="37"/>
      <c r="W126" s="37"/>
      <c r="X126" s="37"/>
      <c r="Y126" s="37" t="s">
        <v>848</v>
      </c>
      <c r="Z126" s="37"/>
      <c r="AA126" s="56"/>
    </row>
    <row r="127" spans="1:27" ht="60" customHeight="1" x14ac:dyDescent="0.2">
      <c r="A127" s="36" t="s">
        <v>849</v>
      </c>
      <c r="B127" s="36" t="s">
        <v>17</v>
      </c>
      <c r="C127" s="36" t="str">
        <f>CONCATENATE(VLOOKUP($D127,CODIFICACIÓN_RUTA!$B$2:$C$3,2,0),MID($F127,1,1)&amp;MID($F127,6,1),VLOOKUP($E127,CODIFICACIÓN_RUTA!$E$2:$F$10,2,0),$A127)</f>
        <v>02RD08126</v>
      </c>
      <c r="D127" s="37" t="s">
        <v>18</v>
      </c>
      <c r="E127" s="37" t="s">
        <v>32</v>
      </c>
      <c r="F127" s="37" t="s">
        <v>850</v>
      </c>
      <c r="G127" s="37" t="s">
        <v>129</v>
      </c>
      <c r="H127" s="37" t="s">
        <v>851</v>
      </c>
      <c r="I127" s="37" t="s">
        <v>72</v>
      </c>
      <c r="J127" s="37">
        <v>9</v>
      </c>
      <c r="K127" s="37" t="s">
        <v>852</v>
      </c>
      <c r="L127" s="37">
        <v>2527</v>
      </c>
      <c r="M127" s="37" t="s">
        <v>74</v>
      </c>
      <c r="N127" s="43" t="s">
        <v>853</v>
      </c>
      <c r="O127" s="37" t="s">
        <v>854</v>
      </c>
      <c r="P127" s="37" t="s">
        <v>855</v>
      </c>
      <c r="Q127" s="37" t="s">
        <v>856</v>
      </c>
      <c r="R127" s="37"/>
      <c r="S127" s="37"/>
      <c r="T127" s="37"/>
      <c r="U127" s="37"/>
      <c r="V127" s="37"/>
      <c r="W127" s="37"/>
      <c r="X127" s="37"/>
      <c r="Y127" s="37"/>
      <c r="Z127" s="37"/>
      <c r="AA127" s="56"/>
    </row>
    <row r="128" spans="1:27" ht="60" customHeight="1" x14ac:dyDescent="0.2">
      <c r="A128" s="36" t="s">
        <v>857</v>
      </c>
      <c r="B128" s="36" t="s">
        <v>17</v>
      </c>
      <c r="C128" s="36" t="str">
        <f>CONCATENATE(VLOOKUP($D128,CODIFICACIÓN_RUTA!$B$2:$C$3,2,0),MID($F128,1,1)&amp;MID($F128,6,1),VLOOKUP($E128,CODIFICACIÓN_RUTA!$E$2:$F$10,2,0),$A128)</f>
        <v>02RD07127</v>
      </c>
      <c r="D128" s="37" t="s">
        <v>18</v>
      </c>
      <c r="E128" s="37" t="s">
        <v>30</v>
      </c>
      <c r="F128" s="37" t="s">
        <v>858</v>
      </c>
      <c r="G128" s="37" t="s">
        <v>85</v>
      </c>
      <c r="H128" s="37" t="s">
        <v>859</v>
      </c>
      <c r="I128" s="37" t="s">
        <v>72</v>
      </c>
      <c r="J128" s="37">
        <v>9</v>
      </c>
      <c r="K128" s="37" t="s">
        <v>860</v>
      </c>
      <c r="L128" s="37">
        <v>2613</v>
      </c>
      <c r="M128" s="37" t="s">
        <v>74</v>
      </c>
      <c r="N128" s="43" t="s">
        <v>861</v>
      </c>
      <c r="O128" s="37" t="s">
        <v>862</v>
      </c>
      <c r="P128" s="37" t="s">
        <v>863</v>
      </c>
      <c r="Q128" s="37" t="s">
        <v>864</v>
      </c>
      <c r="R128" s="37"/>
      <c r="S128" s="37"/>
      <c r="T128" s="37"/>
      <c r="U128" s="37"/>
      <c r="V128" s="37"/>
      <c r="W128" s="37"/>
      <c r="X128" s="37"/>
      <c r="Y128" s="37"/>
      <c r="Z128" s="37"/>
      <c r="AA128" s="56"/>
    </row>
    <row r="129" spans="1:27" ht="60" customHeight="1" x14ac:dyDescent="0.2">
      <c r="A129" s="36" t="s">
        <v>865</v>
      </c>
      <c r="B129" s="36" t="s">
        <v>17</v>
      </c>
      <c r="C129" s="36" t="str">
        <f>CONCATENATE(VLOOKUP($D129,CODIFICACIÓN_RUTA!$B$2:$C$3,2,0),MID($F129,1,1)&amp;MID($F129,6,1),VLOOKUP($E129,CODIFICACIÓN_RUTA!$E$2:$F$10,2,0),$A129)</f>
        <v>02EI07128</v>
      </c>
      <c r="D129" s="37" t="s">
        <v>18</v>
      </c>
      <c r="E129" s="37" t="s">
        <v>30</v>
      </c>
      <c r="F129" s="37" t="s">
        <v>866</v>
      </c>
      <c r="G129" s="37" t="s">
        <v>70</v>
      </c>
      <c r="H129" s="37" t="s">
        <v>867</v>
      </c>
      <c r="I129" s="37" t="s">
        <v>87</v>
      </c>
      <c r="J129" s="37">
        <v>9</v>
      </c>
      <c r="K129" s="37" t="s">
        <v>868</v>
      </c>
      <c r="L129" s="37">
        <v>2400</v>
      </c>
      <c r="M129" s="37" t="s">
        <v>241</v>
      </c>
      <c r="N129" s="43" t="s">
        <v>869</v>
      </c>
      <c r="O129" s="37" t="s">
        <v>870</v>
      </c>
      <c r="P129" s="37" t="s">
        <v>871</v>
      </c>
      <c r="Q129" s="37" t="s">
        <v>872</v>
      </c>
      <c r="R129" s="37"/>
      <c r="S129" s="37"/>
      <c r="T129" s="37"/>
      <c r="U129" s="37"/>
      <c r="V129" s="37"/>
      <c r="W129" s="37"/>
      <c r="X129" s="37"/>
      <c r="Y129" s="37"/>
      <c r="Z129" s="37"/>
      <c r="AA129" s="56"/>
    </row>
    <row r="130" spans="1:27" ht="60" customHeight="1" x14ac:dyDescent="0.2">
      <c r="A130" s="36" t="s">
        <v>873</v>
      </c>
      <c r="B130" s="36" t="s">
        <v>17</v>
      </c>
      <c r="C130" s="36" t="str">
        <f>CONCATENATE(VLOOKUP($D130,CODIFICACIÓN_RUTA!$B$2:$C$3,2,0),MID($F130,1,1)&amp;MID($F130,6,1),VLOOKUP($E130,CODIFICACIÓN_RUTA!$E$2:$F$10,2,0),$A130)</f>
        <v>02EI05129</v>
      </c>
      <c r="D130" s="37" t="s">
        <v>18</v>
      </c>
      <c r="E130" s="37" t="s">
        <v>26</v>
      </c>
      <c r="F130" s="37" t="s">
        <v>874</v>
      </c>
      <c r="G130" s="37" t="s">
        <v>70</v>
      </c>
      <c r="H130" s="37" t="s">
        <v>875</v>
      </c>
      <c r="I130" s="37" t="s">
        <v>87</v>
      </c>
      <c r="J130" s="37">
        <v>12</v>
      </c>
      <c r="K130" s="37" t="s">
        <v>876</v>
      </c>
      <c r="L130" s="37">
        <v>1632</v>
      </c>
      <c r="M130" s="37" t="s">
        <v>338</v>
      </c>
      <c r="N130" s="43" t="s">
        <v>877</v>
      </c>
      <c r="O130" s="37" t="s">
        <v>878</v>
      </c>
      <c r="P130" s="37"/>
      <c r="Q130" s="37"/>
      <c r="R130" s="37"/>
      <c r="S130" s="37"/>
      <c r="T130" s="37"/>
      <c r="U130" s="37"/>
      <c r="V130" s="37"/>
      <c r="W130" s="37"/>
      <c r="X130" s="37"/>
      <c r="Y130" s="37"/>
      <c r="Z130" s="37"/>
      <c r="AA130" s="56"/>
    </row>
    <row r="131" spans="1:27" ht="60" customHeight="1" x14ac:dyDescent="0.2">
      <c r="A131" s="36" t="s">
        <v>879</v>
      </c>
      <c r="B131" s="36" t="s">
        <v>17</v>
      </c>
      <c r="C131" s="36" t="str">
        <f>CONCATENATE(VLOOKUP($D131,CODIFICACIÓN_RUTA!$B$2:$C$3,2,0),MID($F131,1,1)&amp;MID($F131,6,1),VLOOKUP($E131,CODIFICACIÓN_RUTA!$E$2:$F$10,2,0),$A131)</f>
        <v>01EI01130</v>
      </c>
      <c r="D131" s="37" t="s">
        <v>14</v>
      </c>
      <c r="E131" s="37" t="s">
        <v>16</v>
      </c>
      <c r="F131" s="37" t="s">
        <v>880</v>
      </c>
      <c r="G131" s="37" t="s">
        <v>85</v>
      </c>
      <c r="H131" s="37" t="s">
        <v>881</v>
      </c>
      <c r="I131" s="37" t="s">
        <v>72</v>
      </c>
      <c r="J131" s="37">
        <v>6</v>
      </c>
      <c r="K131" s="37" t="s">
        <v>117</v>
      </c>
      <c r="L131" s="37">
        <v>2850</v>
      </c>
      <c r="M131" s="37" t="s">
        <v>74</v>
      </c>
      <c r="N131" s="43" t="s">
        <v>882</v>
      </c>
      <c r="O131" s="37" t="s">
        <v>669</v>
      </c>
      <c r="P131" s="37" t="s">
        <v>883</v>
      </c>
      <c r="Q131" s="37" t="s">
        <v>884</v>
      </c>
      <c r="R131" s="37"/>
      <c r="S131" s="37"/>
      <c r="T131" s="37"/>
      <c r="U131" s="37"/>
      <c r="V131" s="37"/>
      <c r="W131" s="37"/>
      <c r="X131" s="37"/>
      <c r="Y131" s="37" t="s">
        <v>885</v>
      </c>
      <c r="Z131" s="37"/>
      <c r="AA131" s="56"/>
    </row>
    <row r="132" spans="1:27" ht="60" customHeight="1" x14ac:dyDescent="0.2">
      <c r="A132" s="36" t="s">
        <v>886</v>
      </c>
      <c r="B132" s="36" t="s">
        <v>17</v>
      </c>
      <c r="C132" s="36" t="str">
        <f>CONCATENATE(VLOOKUP($D132,CODIFICACIÓN_RUTA!$B$2:$C$3,2,0),MID($F132,1,1)&amp;MID($F132,6,1),VLOOKUP($E132,CODIFICACIÓN_RUTA!$E$2:$F$10,2,0),$A132)</f>
        <v>01EI03131</v>
      </c>
      <c r="D132" s="37" t="s">
        <v>14</v>
      </c>
      <c r="E132" s="37" t="s">
        <v>22</v>
      </c>
      <c r="F132" s="37" t="s">
        <v>887</v>
      </c>
      <c r="G132" s="37" t="s">
        <v>85</v>
      </c>
      <c r="H132" s="37" t="s">
        <v>888</v>
      </c>
      <c r="I132" s="37" t="s">
        <v>72</v>
      </c>
      <c r="J132" s="37">
        <v>5</v>
      </c>
      <c r="K132" s="37" t="s">
        <v>889</v>
      </c>
      <c r="L132" s="37">
        <v>2850</v>
      </c>
      <c r="M132" s="37" t="s">
        <v>74</v>
      </c>
      <c r="N132" s="43" t="s">
        <v>890</v>
      </c>
      <c r="O132" s="37" t="s">
        <v>891</v>
      </c>
      <c r="P132" s="37" t="s">
        <v>103</v>
      </c>
      <c r="Q132" s="37" t="s">
        <v>892</v>
      </c>
      <c r="R132" s="37"/>
      <c r="S132" s="37"/>
      <c r="T132" s="37"/>
      <c r="U132" s="37"/>
      <c r="V132" s="37"/>
      <c r="W132" s="37"/>
      <c r="X132" s="37"/>
      <c r="Y132" s="37"/>
      <c r="Z132" s="37"/>
      <c r="AA132" s="56"/>
    </row>
    <row r="133" spans="1:27" ht="60" customHeight="1" x14ac:dyDescent="0.2">
      <c r="A133" s="36" t="s">
        <v>893</v>
      </c>
      <c r="B133" s="36" t="s">
        <v>17</v>
      </c>
      <c r="C133" s="36" t="str">
        <f>CONCATENATE(VLOOKUP($D133,CODIFICACIÓN_RUTA!$B$2:$C$3,2,0),MID($F133,1,1)&amp;MID($F133,6,1),VLOOKUP($E133,CODIFICACIÓN_RUTA!$E$2:$F$10,2,0),$A133)</f>
        <v>02EI05132</v>
      </c>
      <c r="D133" s="37" t="s">
        <v>18</v>
      </c>
      <c r="E133" s="37" t="s">
        <v>26</v>
      </c>
      <c r="F133" s="37" t="s">
        <v>894</v>
      </c>
      <c r="G133" s="37" t="s">
        <v>70</v>
      </c>
      <c r="H133" s="37" t="s">
        <v>895</v>
      </c>
      <c r="I133" s="37" t="s">
        <v>176</v>
      </c>
      <c r="J133" s="37">
        <v>11</v>
      </c>
      <c r="K133" s="37" t="s">
        <v>896</v>
      </c>
      <c r="L133" s="37">
        <v>1700</v>
      </c>
      <c r="M133" s="37" t="s">
        <v>338</v>
      </c>
      <c r="N133" s="43" t="s">
        <v>897</v>
      </c>
      <c r="O133" s="37" t="s">
        <v>898</v>
      </c>
      <c r="P133" s="37"/>
      <c r="Q133" s="37"/>
      <c r="R133" s="37"/>
      <c r="S133" s="37"/>
      <c r="T133" s="37"/>
      <c r="U133" s="37"/>
      <c r="V133" s="37"/>
      <c r="W133" s="37"/>
      <c r="X133" s="37"/>
      <c r="Y133" s="37"/>
      <c r="Z133" s="37"/>
      <c r="AA133" s="56"/>
    </row>
    <row r="134" spans="1:27" ht="60" customHeight="1" x14ac:dyDescent="0.2">
      <c r="A134" s="36" t="s">
        <v>899</v>
      </c>
      <c r="B134" s="36" t="s">
        <v>17</v>
      </c>
      <c r="C134" s="36" t="str">
        <f>CONCATENATE(VLOOKUP($D134,CODIFICACIÓN_RUTA!$B$2:$C$3,2,0),MID($F134,1,1)&amp;MID($F134,6,1),VLOOKUP($E134,CODIFICACIÓN_RUTA!$E$2:$F$10,2,0),$A134)</f>
        <v>02EI05133</v>
      </c>
      <c r="D134" s="37" t="s">
        <v>18</v>
      </c>
      <c r="E134" s="37" t="s">
        <v>26</v>
      </c>
      <c r="F134" s="37" t="s">
        <v>900</v>
      </c>
      <c r="G134" s="37" t="s">
        <v>129</v>
      </c>
      <c r="H134" s="37" t="s">
        <v>901</v>
      </c>
      <c r="I134" s="37" t="s">
        <v>87</v>
      </c>
      <c r="J134" s="37">
        <v>10</v>
      </c>
      <c r="K134" s="37" t="s">
        <v>902</v>
      </c>
      <c r="L134" s="37">
        <v>1800</v>
      </c>
      <c r="M134" s="37" t="s">
        <v>338</v>
      </c>
      <c r="N134" s="43" t="s">
        <v>903</v>
      </c>
      <c r="O134" s="37" t="s">
        <v>904</v>
      </c>
      <c r="P134" s="37"/>
      <c r="Q134" s="37"/>
      <c r="R134" s="37"/>
      <c r="S134" s="37"/>
      <c r="T134" s="37"/>
      <c r="U134" s="37"/>
      <c r="V134" s="37"/>
      <c r="W134" s="37"/>
      <c r="X134" s="37"/>
      <c r="Y134" s="37" t="s">
        <v>905</v>
      </c>
      <c r="Z134" s="37"/>
      <c r="AA134" s="56"/>
    </row>
    <row r="135" spans="1:27" ht="60" customHeight="1" x14ac:dyDescent="0.2">
      <c r="A135" s="36" t="s">
        <v>906</v>
      </c>
      <c r="B135" s="36" t="s">
        <v>17</v>
      </c>
      <c r="C135" s="36" t="str">
        <f>CONCATENATE(VLOOKUP($D135,CODIFICACIÓN_RUTA!$B$2:$C$3,2,0),MID($F135,1,1)&amp;MID($F135,6,1),VLOOKUP($E135,CODIFICACIÓN_RUTA!$E$2:$F$10,2,0),$A135)</f>
        <v>01EI01134</v>
      </c>
      <c r="D135" s="37" t="s">
        <v>14</v>
      </c>
      <c r="E135" s="37" t="s">
        <v>16</v>
      </c>
      <c r="F135" s="37" t="s">
        <v>907</v>
      </c>
      <c r="G135" s="37" t="s">
        <v>85</v>
      </c>
      <c r="H135" s="37" t="s">
        <v>908</v>
      </c>
      <c r="I135" s="37" t="s">
        <v>72</v>
      </c>
      <c r="J135" s="37">
        <v>6</v>
      </c>
      <c r="K135" s="37" t="s">
        <v>641</v>
      </c>
      <c r="L135" s="37">
        <v>2850</v>
      </c>
      <c r="M135" s="37" t="s">
        <v>74</v>
      </c>
      <c r="N135" s="43" t="s">
        <v>909</v>
      </c>
      <c r="O135" s="37" t="s">
        <v>787</v>
      </c>
      <c r="P135" s="37" t="s">
        <v>910</v>
      </c>
      <c r="Q135" s="37"/>
      <c r="R135" s="37"/>
      <c r="S135" s="37"/>
      <c r="T135" s="37"/>
      <c r="U135" s="37"/>
      <c r="V135" s="37"/>
      <c r="W135" s="37"/>
      <c r="X135" s="37"/>
      <c r="Y135" s="37" t="s">
        <v>817</v>
      </c>
      <c r="Z135" s="37"/>
      <c r="AA135" s="56"/>
    </row>
    <row r="136" spans="1:27" ht="60" customHeight="1" x14ac:dyDescent="0.2">
      <c r="A136" s="36" t="s">
        <v>911</v>
      </c>
      <c r="B136" s="36" t="s">
        <v>17</v>
      </c>
      <c r="C136" s="36" t="str">
        <f>CONCATENATE(VLOOKUP($D136,CODIFICACIÓN_RUTA!$B$2:$C$3,2,0),MID($F136,1,1)&amp;MID($F136,6,1),VLOOKUP($E136,CODIFICACIÓN_RUTA!$E$2:$F$10,2,0),$A136)</f>
        <v>02EI05135</v>
      </c>
      <c r="D136" s="37" t="s">
        <v>18</v>
      </c>
      <c r="E136" s="37" t="s">
        <v>26</v>
      </c>
      <c r="F136" s="37" t="s">
        <v>912</v>
      </c>
      <c r="G136" s="37" t="s">
        <v>129</v>
      </c>
      <c r="H136" s="37" t="s">
        <v>913</v>
      </c>
      <c r="I136" s="37" t="s">
        <v>176</v>
      </c>
      <c r="J136" s="37">
        <v>11</v>
      </c>
      <c r="K136" s="37" t="s">
        <v>914</v>
      </c>
      <c r="L136" s="37">
        <v>1700</v>
      </c>
      <c r="M136" s="37" t="s">
        <v>241</v>
      </c>
      <c r="N136" s="43" t="s">
        <v>915</v>
      </c>
      <c r="O136" s="37" t="s">
        <v>916</v>
      </c>
      <c r="P136" s="37" t="s">
        <v>203</v>
      </c>
      <c r="Q136" s="37"/>
      <c r="R136" s="37"/>
      <c r="S136" s="37"/>
      <c r="T136" s="37"/>
      <c r="U136" s="37"/>
      <c r="V136" s="37"/>
      <c r="W136" s="37"/>
      <c r="X136" s="37"/>
      <c r="Y136" s="37"/>
      <c r="Z136" s="37"/>
      <c r="AA136" s="56"/>
    </row>
    <row r="137" spans="1:27" ht="60" customHeight="1" x14ac:dyDescent="0.2">
      <c r="A137" s="36" t="s">
        <v>917</v>
      </c>
      <c r="B137" s="36" t="s">
        <v>17</v>
      </c>
      <c r="C137" s="36" t="str">
        <f>CONCATENATE(VLOOKUP($D137,CODIFICACIÓN_RUTA!$B$2:$C$3,2,0),MID($F137,1,1)&amp;MID($F137,6,1),VLOOKUP($E137,CODIFICACIÓN_RUTA!$E$2:$F$10,2,0),$A137)</f>
        <v>02RP04136</v>
      </c>
      <c r="D137" s="37" t="s">
        <v>18</v>
      </c>
      <c r="E137" s="37" t="s">
        <v>24</v>
      </c>
      <c r="F137" s="37" t="s">
        <v>918</v>
      </c>
      <c r="G137" s="37" t="s">
        <v>129</v>
      </c>
      <c r="H137" s="37" t="s">
        <v>919</v>
      </c>
      <c r="I137" s="37" t="s">
        <v>72</v>
      </c>
      <c r="J137" s="37">
        <v>9</v>
      </c>
      <c r="K137" s="37" t="s">
        <v>920</v>
      </c>
      <c r="L137" s="37">
        <v>2349</v>
      </c>
      <c r="M137" s="37" t="s">
        <v>74</v>
      </c>
      <c r="N137" s="58" t="s">
        <v>921</v>
      </c>
      <c r="O137" s="37" t="s">
        <v>922</v>
      </c>
      <c r="P137" s="37" t="s">
        <v>923</v>
      </c>
      <c r="Q137" s="37" t="s">
        <v>220</v>
      </c>
      <c r="R137" s="37"/>
      <c r="S137" s="37"/>
      <c r="T137" s="37"/>
      <c r="U137" s="37"/>
      <c r="V137" s="37"/>
      <c r="W137" s="37"/>
      <c r="X137" s="37"/>
      <c r="Y137" s="37" t="s">
        <v>924</v>
      </c>
      <c r="Z137" s="37"/>
      <c r="AA137" s="56"/>
    </row>
    <row r="138" spans="1:27" ht="60" customHeight="1" x14ac:dyDescent="0.2">
      <c r="A138" s="36" t="s">
        <v>925</v>
      </c>
      <c r="B138" s="36" t="s">
        <v>17</v>
      </c>
      <c r="C138" s="36" t="str">
        <f>CONCATENATE(VLOOKUP($D138,CODIFICACIÓN_RUTA!$B$2:$C$3,2,0),MID($F138,1,1)&amp;MID($F138,6,1),VLOOKUP($E138,CODIFICACIÓN_RUTA!$E$2:$F$10,2,0),$A138)</f>
        <v>01RS01137</v>
      </c>
      <c r="D138" s="37" t="s">
        <v>14</v>
      </c>
      <c r="E138" s="37" t="s">
        <v>16</v>
      </c>
      <c r="F138" s="37" t="s">
        <v>926</v>
      </c>
      <c r="G138" s="37" t="s">
        <v>70</v>
      </c>
      <c r="H138" s="37" t="s">
        <v>927</v>
      </c>
      <c r="I138" s="37" t="s">
        <v>116</v>
      </c>
      <c r="J138" s="37">
        <v>4</v>
      </c>
      <c r="K138" s="37" t="s">
        <v>928</v>
      </c>
      <c r="L138" s="37">
        <v>2850</v>
      </c>
      <c r="M138" s="37" t="s">
        <v>74</v>
      </c>
      <c r="N138" s="43" t="s">
        <v>929</v>
      </c>
      <c r="O138" s="37" t="s">
        <v>273</v>
      </c>
      <c r="P138" s="37" t="s">
        <v>838</v>
      </c>
      <c r="Q138" s="37" t="s">
        <v>930</v>
      </c>
      <c r="R138" s="37"/>
      <c r="S138" s="37"/>
      <c r="T138" s="37"/>
      <c r="U138" s="37"/>
      <c r="V138" s="37"/>
      <c r="W138" s="37"/>
      <c r="X138" s="37"/>
      <c r="Y138" s="37"/>
      <c r="Z138" s="37"/>
      <c r="AA138" s="56"/>
    </row>
    <row r="139" spans="1:27" ht="60" customHeight="1" x14ac:dyDescent="0.2">
      <c r="A139" s="36" t="s">
        <v>931</v>
      </c>
      <c r="B139" s="36" t="s">
        <v>17</v>
      </c>
      <c r="C139" s="36" t="str">
        <f>CONCATENATE(VLOOKUP($D139,CODIFICACIÓN_RUTA!$B$2:$C$3,2,0),MID($F139,1,1)&amp;MID($F139,6,1),VLOOKUP($E139,CODIFICACIÓN_RUTA!$E$2:$F$10,2,0),$A139)</f>
        <v>01RP02138</v>
      </c>
      <c r="D139" s="37" t="s">
        <v>14</v>
      </c>
      <c r="E139" s="37" t="s">
        <v>20</v>
      </c>
      <c r="F139" s="37" t="s">
        <v>932</v>
      </c>
      <c r="G139" s="37" t="s">
        <v>85</v>
      </c>
      <c r="H139" s="37" t="s">
        <v>933</v>
      </c>
      <c r="I139" s="37" t="s">
        <v>116</v>
      </c>
      <c r="J139" s="37">
        <v>7</v>
      </c>
      <c r="K139" s="37" t="s">
        <v>934</v>
      </c>
      <c r="L139" s="37">
        <v>2850</v>
      </c>
      <c r="M139" s="37" t="s">
        <v>74</v>
      </c>
      <c r="N139" s="43" t="s">
        <v>935</v>
      </c>
      <c r="O139" s="37" t="s">
        <v>936</v>
      </c>
      <c r="P139" s="37" t="s">
        <v>937</v>
      </c>
      <c r="Q139" s="37" t="s">
        <v>938</v>
      </c>
      <c r="R139" s="37" t="s">
        <v>939</v>
      </c>
      <c r="S139" s="37" t="s">
        <v>940</v>
      </c>
      <c r="T139" s="37"/>
      <c r="U139" s="37"/>
      <c r="V139" s="37"/>
      <c r="W139" s="37"/>
      <c r="X139" s="37"/>
      <c r="Y139" s="37" t="s">
        <v>941</v>
      </c>
      <c r="Z139" s="37"/>
      <c r="AA139" s="56"/>
    </row>
    <row r="140" spans="1:27" ht="60" customHeight="1" x14ac:dyDescent="0.2">
      <c r="A140" s="36" t="s">
        <v>942</v>
      </c>
      <c r="B140" s="36" t="s">
        <v>17</v>
      </c>
      <c r="C140" s="36" t="str">
        <f>CONCATENATE(VLOOKUP($D140,CODIFICACIÓN_RUTA!$B$2:$C$3,2,0),MID($F140,1,1)&amp;MID($F140,6,1),VLOOKUP($E140,CODIFICACIÓN_RUTA!$E$2:$F$10,2,0),$A140)</f>
        <v>01RP04139</v>
      </c>
      <c r="D140" s="37" t="s">
        <v>14</v>
      </c>
      <c r="E140" s="37" t="s">
        <v>24</v>
      </c>
      <c r="F140" s="37" t="s">
        <v>943</v>
      </c>
      <c r="G140" s="37" t="s">
        <v>85</v>
      </c>
      <c r="H140" s="37" t="s">
        <v>944</v>
      </c>
      <c r="I140" s="37" t="s">
        <v>72</v>
      </c>
      <c r="J140" s="37">
        <v>9</v>
      </c>
      <c r="K140" s="37" t="s">
        <v>945</v>
      </c>
      <c r="L140" s="37">
        <v>2850</v>
      </c>
      <c r="M140" s="37" t="s">
        <v>74</v>
      </c>
      <c r="N140" s="43" t="s">
        <v>946</v>
      </c>
      <c r="O140" s="37" t="s">
        <v>947</v>
      </c>
      <c r="P140" s="37" t="s">
        <v>948</v>
      </c>
      <c r="Q140" s="37" t="s">
        <v>682</v>
      </c>
      <c r="R140" s="37" t="s">
        <v>949</v>
      </c>
      <c r="S140" s="37" t="s">
        <v>950</v>
      </c>
      <c r="T140" s="37"/>
      <c r="U140" s="37"/>
      <c r="V140" s="37"/>
      <c r="W140" s="37"/>
      <c r="X140" s="37"/>
      <c r="Y140" s="37" t="s">
        <v>951</v>
      </c>
      <c r="Z140" s="37"/>
      <c r="AA140" s="56"/>
    </row>
    <row r="141" spans="1:27" ht="60" customHeight="1" x14ac:dyDescent="0.2">
      <c r="A141" s="36">
        <v>140</v>
      </c>
      <c r="B141" s="36" t="s">
        <v>17</v>
      </c>
      <c r="C141" s="36" t="str">
        <f>CONCATENATE(VLOOKUP($D141,CODIFICACIÓN_RUTA!$B$2:$C$3,2,0),MID($F141,1,1)&amp;MID($F141,6,1),VLOOKUP($E141,CODIFICACIÓN_RUTA!$E$2:$F$10,2,0),$A141)</f>
        <v>02RR02140</v>
      </c>
      <c r="D141" s="37" t="s">
        <v>18</v>
      </c>
      <c r="E141" s="37" t="s">
        <v>20</v>
      </c>
      <c r="F141" s="37" t="s">
        <v>952</v>
      </c>
      <c r="G141" s="37" t="s">
        <v>70</v>
      </c>
      <c r="H141" s="37" t="s">
        <v>953</v>
      </c>
      <c r="I141" s="37" t="s">
        <v>87</v>
      </c>
      <c r="J141" s="37">
        <v>8.5</v>
      </c>
      <c r="K141" s="37" t="s">
        <v>954</v>
      </c>
      <c r="L141" s="37">
        <v>4696</v>
      </c>
      <c r="M141" s="37" t="s">
        <v>338</v>
      </c>
      <c r="N141" s="43" t="s">
        <v>955</v>
      </c>
      <c r="O141" s="37" t="s">
        <v>956</v>
      </c>
      <c r="P141" s="37" t="s">
        <v>957</v>
      </c>
      <c r="Q141" s="37"/>
      <c r="R141" s="37"/>
      <c r="S141" s="37"/>
      <c r="T141" s="37"/>
      <c r="U141" s="37"/>
      <c r="V141" s="37"/>
      <c r="W141" s="37"/>
      <c r="X141" s="37"/>
      <c r="Y141" s="37"/>
      <c r="Z141" s="37"/>
      <c r="AA141" s="56"/>
    </row>
    <row r="142" spans="1:27" ht="60" customHeight="1" x14ac:dyDescent="0.2">
      <c r="A142" s="37">
        <v>141</v>
      </c>
      <c r="B142" s="37" t="s">
        <v>17</v>
      </c>
      <c r="C142" s="36" t="str">
        <f>CONCATENATE(VLOOKUP($D142,CODIFICACIÓN_RUTA!$B$2:$C$3,2,0),MID($F142,1,1)&amp;MID($F142,6,1),VLOOKUP($E142,CODIFICACIÓN_RUTA!$E$2:$F$10,2,0),$A142)</f>
        <v>01CV01141</v>
      </c>
      <c r="D142" s="37" t="s">
        <v>14</v>
      </c>
      <c r="E142" s="37" t="s">
        <v>16</v>
      </c>
      <c r="F142" s="37" t="s">
        <v>958</v>
      </c>
      <c r="G142" s="37" t="s">
        <v>70</v>
      </c>
      <c r="H142" s="37" t="s">
        <v>959</v>
      </c>
      <c r="I142" s="37" t="s">
        <v>72</v>
      </c>
      <c r="J142" s="37">
        <v>3.5</v>
      </c>
      <c r="K142" s="37" t="s">
        <v>117</v>
      </c>
      <c r="L142" s="37">
        <v>2850</v>
      </c>
      <c r="M142" s="37" t="s">
        <v>74</v>
      </c>
      <c r="N142" s="43" t="s">
        <v>960</v>
      </c>
      <c r="O142" s="37" t="s">
        <v>961</v>
      </c>
      <c r="P142" s="37"/>
      <c r="Q142" s="37"/>
      <c r="R142" s="37"/>
      <c r="S142" s="37"/>
      <c r="T142" s="37"/>
      <c r="U142" s="37"/>
      <c r="V142" s="37"/>
      <c r="W142" s="37"/>
      <c r="X142" s="37"/>
      <c r="Y142" s="37"/>
      <c r="Z142" s="37"/>
      <c r="AA142" s="56"/>
    </row>
    <row r="143" spans="1:27" ht="60" customHeight="1" x14ac:dyDescent="0.2">
      <c r="A143" s="37">
        <v>142</v>
      </c>
      <c r="B143" s="37" t="s">
        <v>17</v>
      </c>
      <c r="C143" s="36" t="str">
        <f>CONCATENATE(VLOOKUP($D143,CODIFICACIÓN_RUTA!$B$2:$C$3,2,0),MID($F143,1,1)&amp;MID($F143,6,1),VLOOKUP($E143,CODIFICACIÓN_RUTA!$E$2:$F$10,2,0),$A143)</f>
        <v>01SE03142</v>
      </c>
      <c r="D143" s="37" t="s">
        <v>14</v>
      </c>
      <c r="E143" s="37" t="s">
        <v>22</v>
      </c>
      <c r="F143" s="37" t="s">
        <v>962</v>
      </c>
      <c r="G143" s="37" t="s">
        <v>70</v>
      </c>
      <c r="H143" s="37" t="s">
        <v>963</v>
      </c>
      <c r="I143" s="37" t="s">
        <v>72</v>
      </c>
      <c r="J143" s="37">
        <v>4</v>
      </c>
      <c r="K143" s="37" t="s">
        <v>964</v>
      </c>
      <c r="L143" s="37">
        <v>2850</v>
      </c>
      <c r="M143" s="37" t="s">
        <v>74</v>
      </c>
      <c r="N143" s="43" t="s">
        <v>965</v>
      </c>
      <c r="O143" s="37" t="s">
        <v>910</v>
      </c>
      <c r="P143" s="37" t="s">
        <v>892</v>
      </c>
      <c r="Q143" s="37" t="s">
        <v>930</v>
      </c>
      <c r="R143" s="37"/>
      <c r="S143" s="37"/>
      <c r="T143" s="37"/>
      <c r="U143" s="37"/>
      <c r="V143" s="37"/>
      <c r="W143" s="37"/>
      <c r="X143" s="37"/>
      <c r="Y143" s="37"/>
      <c r="Z143" s="37"/>
      <c r="AA143" s="56"/>
    </row>
    <row r="144" spans="1:27" ht="60" customHeight="1" x14ac:dyDescent="0.2">
      <c r="A144" s="37">
        <v>143</v>
      </c>
      <c r="B144" s="37" t="s">
        <v>17</v>
      </c>
      <c r="C144" s="36" t="str">
        <f>CONCATENATE(VLOOKUP($D144,CODIFICACIÓN_RUTA!$B$2:$C$3,2,0),MID($F144,1,1)&amp;MID($F144,6,1),VLOOKUP($E144,CODIFICACIÓN_RUTA!$E$2:$F$10,2,0),$A144)</f>
        <v>01CV02143</v>
      </c>
      <c r="D144" s="37" t="s">
        <v>14</v>
      </c>
      <c r="E144" s="37" t="s">
        <v>20</v>
      </c>
      <c r="F144" s="37" t="s">
        <v>966</v>
      </c>
      <c r="G144" s="37" t="s">
        <v>70</v>
      </c>
      <c r="H144" s="37" t="s">
        <v>967</v>
      </c>
      <c r="I144" s="37" t="s">
        <v>72</v>
      </c>
      <c r="J144" s="37">
        <v>3.5</v>
      </c>
      <c r="K144" s="37" t="s">
        <v>117</v>
      </c>
      <c r="L144" s="37">
        <v>2850</v>
      </c>
      <c r="M144" s="37" t="s">
        <v>74</v>
      </c>
      <c r="N144" s="43" t="s">
        <v>968</v>
      </c>
      <c r="O144" s="37" t="s">
        <v>969</v>
      </c>
      <c r="P144" s="37"/>
      <c r="Q144" s="37"/>
      <c r="R144" s="37"/>
      <c r="S144" s="37"/>
      <c r="T144" s="37"/>
      <c r="U144" s="37"/>
      <c r="V144" s="37"/>
      <c r="W144" s="37"/>
      <c r="X144" s="37"/>
      <c r="Y144" s="37"/>
      <c r="Z144" s="37"/>
      <c r="AA144" s="56"/>
    </row>
    <row r="145" spans="1:27" ht="60" customHeight="1" x14ac:dyDescent="0.2">
      <c r="A145" s="37">
        <v>144</v>
      </c>
      <c r="B145" s="37" t="s">
        <v>17</v>
      </c>
      <c r="C145" s="36" t="str">
        <f>CONCATENATE(VLOOKUP($D145,CODIFICACIÓN_RUTA!$B$2:$C$3,2,0),MID($F145,1,1)&amp;MID($F145,6,1),VLOOKUP($E145,CODIFICACIÓN_RUTA!$E$2:$F$10,2,0),$A145)</f>
        <v>02LT04144</v>
      </c>
      <c r="D145" s="37" t="s">
        <v>18</v>
      </c>
      <c r="E145" s="37" t="s">
        <v>24</v>
      </c>
      <c r="F145" s="37" t="s">
        <v>970</v>
      </c>
      <c r="G145" s="37" t="s">
        <v>70</v>
      </c>
      <c r="H145" s="37" t="s">
        <v>971</v>
      </c>
      <c r="I145" s="37" t="s">
        <v>116</v>
      </c>
      <c r="J145" s="37">
        <v>9</v>
      </c>
      <c r="K145" s="37" t="s">
        <v>972</v>
      </c>
      <c r="L145" s="37">
        <v>2349</v>
      </c>
      <c r="M145" s="37" t="s">
        <v>74</v>
      </c>
      <c r="N145" s="43" t="s">
        <v>973</v>
      </c>
      <c r="O145" s="37" t="s">
        <v>974</v>
      </c>
      <c r="P145" s="37" t="s">
        <v>975</v>
      </c>
      <c r="Q145" s="37" t="s">
        <v>976</v>
      </c>
      <c r="R145" s="37" t="s">
        <v>977</v>
      </c>
      <c r="S145" s="37" t="s">
        <v>978</v>
      </c>
      <c r="T145" s="37"/>
      <c r="U145" s="37"/>
      <c r="V145" s="37"/>
      <c r="W145" s="37"/>
      <c r="X145" s="37"/>
      <c r="Y145" s="37" t="s">
        <v>979</v>
      </c>
      <c r="Z145" s="37"/>
      <c r="AA145" s="56"/>
    </row>
    <row r="146" spans="1:27" ht="60" customHeight="1" x14ac:dyDescent="0.2">
      <c r="A146" s="37">
        <v>145</v>
      </c>
      <c r="B146" s="37" t="s">
        <v>17</v>
      </c>
      <c r="C146" s="36" t="str">
        <f>CONCATENATE(VLOOKUP($D146,CODIFICACIÓN_RUTA!$B$2:$C$3,2,0),MID($F146,1,1)&amp;MID($F146,6,1),VLOOKUP($E146,CODIFICACIÓN_RUTA!$E$2:$F$10,2,0),$A146)</f>
        <v>01VL02145</v>
      </c>
      <c r="D146" s="37" t="s">
        <v>14</v>
      </c>
      <c r="E146" s="37" t="s">
        <v>20</v>
      </c>
      <c r="F146" s="37" t="s">
        <v>980</v>
      </c>
      <c r="G146" s="37" t="s">
        <v>129</v>
      </c>
      <c r="H146" s="37" t="s">
        <v>981</v>
      </c>
      <c r="I146" s="37" t="s">
        <v>72</v>
      </c>
      <c r="J146" s="37">
        <v>4.5</v>
      </c>
      <c r="K146" s="37" t="s">
        <v>982</v>
      </c>
      <c r="L146" s="37">
        <v>2850</v>
      </c>
      <c r="M146" s="37" t="s">
        <v>74</v>
      </c>
      <c r="N146" s="50" t="s">
        <v>983</v>
      </c>
      <c r="O146" s="37" t="s">
        <v>984</v>
      </c>
      <c r="P146" s="37" t="s">
        <v>985</v>
      </c>
      <c r="Q146" s="37" t="s">
        <v>986</v>
      </c>
      <c r="R146" s="37" t="s">
        <v>284</v>
      </c>
      <c r="S146" s="37" t="s">
        <v>987</v>
      </c>
      <c r="T146" s="37" t="s">
        <v>969</v>
      </c>
      <c r="U146" s="37" t="s">
        <v>492</v>
      </c>
      <c r="V146" s="37" t="s">
        <v>988</v>
      </c>
      <c r="W146" s="37" t="s">
        <v>989</v>
      </c>
      <c r="X146" s="37" t="s">
        <v>990</v>
      </c>
      <c r="Y146" s="37" t="s">
        <v>991</v>
      </c>
      <c r="Z146" s="37"/>
      <c r="AA146" s="56"/>
    </row>
    <row r="147" spans="1:27" ht="60" customHeight="1" x14ac:dyDescent="0.25">
      <c r="A147" s="37">
        <v>146</v>
      </c>
      <c r="B147" s="37" t="s">
        <v>17</v>
      </c>
      <c r="C147" s="36" t="str">
        <f>CONCATENATE(VLOOKUP($D147,CODIFICACIÓN_RUTA!$B$2:$C$3,2,0),MID($F147,1,1)&amp;MID($F147,6,1),VLOOKUP($E147,CODIFICACIÓN_RUTA!$E$2:$F$10,2,0),$A147)</f>
        <v>02EI04146</v>
      </c>
      <c r="D147" s="37" t="s">
        <v>18</v>
      </c>
      <c r="E147" s="37" t="s">
        <v>24</v>
      </c>
      <c r="F147" s="37" t="s">
        <v>992</v>
      </c>
      <c r="G147" s="57" t="s">
        <v>70</v>
      </c>
      <c r="H147" s="57" t="s">
        <v>993</v>
      </c>
      <c r="I147" s="37" t="s">
        <v>72</v>
      </c>
      <c r="J147" s="37" t="s">
        <v>994</v>
      </c>
      <c r="K147" s="37" t="s">
        <v>995</v>
      </c>
      <c r="L147" s="37">
        <v>2730</v>
      </c>
      <c r="M147" s="37" t="s">
        <v>241</v>
      </c>
      <c r="N147" s="50" t="s">
        <v>996</v>
      </c>
      <c r="O147" s="37" t="s">
        <v>546</v>
      </c>
      <c r="P147" s="37"/>
      <c r="Q147" s="37"/>
      <c r="R147" s="37"/>
      <c r="S147" s="37"/>
      <c r="T147" s="37"/>
      <c r="U147" s="37"/>
      <c r="V147" s="37"/>
      <c r="W147" s="37"/>
      <c r="X147" s="37"/>
      <c r="Y147" s="37"/>
      <c r="Z147" s="37"/>
      <c r="AA147" s="56"/>
    </row>
    <row r="148" spans="1:27" ht="60" customHeight="1" x14ac:dyDescent="0.25">
      <c r="A148" s="37">
        <v>147</v>
      </c>
      <c r="B148" s="37" t="s">
        <v>17</v>
      </c>
      <c r="C148" s="36" t="str">
        <f>CONCATENATE(VLOOKUP($D148,CODIFICACIÓN_RUTA!$B$2:$C$3,2,0),MID($F148,1,1)&amp;MID($F148,6,1),VLOOKUP($E148,CODIFICACIÓN_RUTA!$E$2:$F$10,2,0),$A148)</f>
        <v>01RT01147</v>
      </c>
      <c r="D148" s="37" t="s">
        <v>14</v>
      </c>
      <c r="E148" s="37" t="s">
        <v>16</v>
      </c>
      <c r="F148" s="37" t="s">
        <v>997</v>
      </c>
      <c r="G148" s="57" t="s">
        <v>85</v>
      </c>
      <c r="H148" s="57" t="s">
        <v>998</v>
      </c>
      <c r="I148" s="37" t="s">
        <v>72</v>
      </c>
      <c r="J148" s="37" t="s">
        <v>999</v>
      </c>
      <c r="K148" s="37" t="s">
        <v>117</v>
      </c>
      <c r="L148" s="37">
        <v>2840</v>
      </c>
      <c r="M148" s="37" t="s">
        <v>74</v>
      </c>
      <c r="N148" s="50" t="s">
        <v>1000</v>
      </c>
      <c r="O148" s="37" t="s">
        <v>1001</v>
      </c>
      <c r="P148" s="37" t="s">
        <v>1002</v>
      </c>
      <c r="Q148" s="37"/>
      <c r="R148" s="37"/>
      <c r="S148" s="37"/>
      <c r="T148" s="37"/>
      <c r="U148" s="37"/>
      <c r="V148" s="37"/>
      <c r="W148" s="37"/>
      <c r="X148" s="37"/>
      <c r="Y148" s="37"/>
      <c r="Z148" s="37"/>
      <c r="AA148" s="56"/>
    </row>
    <row r="149" spans="1:27" ht="90" x14ac:dyDescent="0.25">
      <c r="A149" s="37">
        <v>148</v>
      </c>
      <c r="B149" s="37" t="s">
        <v>17</v>
      </c>
      <c r="C149" s="36" t="str">
        <f>CONCATENATE(VLOOKUP($D149,CODIFICACIÓN_RUTA!$B$2:$C$3,2,0),MID($F149,1,1)&amp;MID($F149,6,1),VLOOKUP($E149,CODIFICACIÓN_RUTA!$E$2:$F$10,2,0),$A149)</f>
        <v>02EI05148</v>
      </c>
      <c r="D149" s="37" t="s">
        <v>18</v>
      </c>
      <c r="E149" s="37" t="s">
        <v>26</v>
      </c>
      <c r="F149" s="37" t="s">
        <v>1003</v>
      </c>
      <c r="G149" s="57" t="s">
        <v>70</v>
      </c>
      <c r="H149" s="57" t="s">
        <v>1004</v>
      </c>
      <c r="I149" s="37" t="s">
        <v>87</v>
      </c>
      <c r="J149" s="37" t="s">
        <v>994</v>
      </c>
      <c r="K149" s="37" t="s">
        <v>1005</v>
      </c>
      <c r="L149" s="37">
        <v>2349</v>
      </c>
      <c r="M149" s="37" t="s">
        <v>74</v>
      </c>
      <c r="N149" s="50" t="s">
        <v>1006</v>
      </c>
      <c r="O149" s="37" t="s">
        <v>169</v>
      </c>
      <c r="P149" s="37" t="s">
        <v>291</v>
      </c>
      <c r="Q149" s="37" t="s">
        <v>225</v>
      </c>
      <c r="R149" s="37" t="s">
        <v>682</v>
      </c>
      <c r="S149" s="37" t="s">
        <v>976</v>
      </c>
      <c r="T149" s="37"/>
      <c r="U149" s="37"/>
      <c r="V149" s="37"/>
      <c r="W149" s="37"/>
      <c r="X149" s="37"/>
      <c r="Y149" s="37"/>
      <c r="Z149" s="37"/>
      <c r="AA149" s="56"/>
    </row>
    <row r="150" spans="1:27" ht="78" customHeight="1" x14ac:dyDescent="0.25">
      <c r="A150" s="37">
        <v>149</v>
      </c>
      <c r="B150" s="37" t="s">
        <v>17</v>
      </c>
      <c r="C150" s="36" t="str">
        <f>CONCATENATE(VLOOKUP($D150,CODIFICACIÓN_RUTA!$B$2:$C$3,2,0),MID($F150,1,1)&amp;MID($F150,6,1),VLOOKUP($E150,CODIFICACIÓN_RUTA!$E$2:$F$10,2,0),$A150)</f>
        <v>02EI07149</v>
      </c>
      <c r="D150" s="37" t="s">
        <v>18</v>
      </c>
      <c r="E150" s="37" t="s">
        <v>30</v>
      </c>
      <c r="F150" s="37" t="s">
        <v>1007</v>
      </c>
      <c r="G150" s="57" t="s">
        <v>129</v>
      </c>
      <c r="H150" s="57" t="s">
        <v>1008</v>
      </c>
      <c r="I150" s="37" t="s">
        <v>99</v>
      </c>
      <c r="J150" s="37" t="s">
        <v>1009</v>
      </c>
      <c r="K150" s="37" t="s">
        <v>1010</v>
      </c>
      <c r="L150" s="37">
        <v>3026</v>
      </c>
      <c r="M150" s="37" t="s">
        <v>74</v>
      </c>
      <c r="N150" s="50" t="s">
        <v>1011</v>
      </c>
      <c r="O150" s="37"/>
      <c r="P150" s="37"/>
      <c r="Q150" s="37"/>
      <c r="R150" s="37"/>
      <c r="S150" s="37"/>
      <c r="T150" s="37"/>
      <c r="U150" s="37"/>
      <c r="V150" s="37"/>
      <c r="W150" s="37"/>
      <c r="X150" s="37"/>
      <c r="Y150" s="37"/>
      <c r="Z150" s="37"/>
      <c r="AA150" s="56"/>
    </row>
    <row r="151" spans="1:27" ht="67.5" customHeight="1" x14ac:dyDescent="0.25">
      <c r="A151" s="37">
        <v>150</v>
      </c>
      <c r="B151" s="37" t="s">
        <v>17</v>
      </c>
      <c r="C151" s="36" t="str">
        <f>CONCATENATE(VLOOKUP($D151,CODIFICACIÓN_RUTA!$B$2:$C$3,2,0),MID($F151,1,1)&amp;MID($F151,6,1),VLOOKUP($E151,CODIFICACIÓN_RUTA!$E$2:$F$10,2,0),$A151)</f>
        <v>02EI05150</v>
      </c>
      <c r="D151" s="37" t="s">
        <v>18</v>
      </c>
      <c r="E151" s="37" t="s">
        <v>26</v>
      </c>
      <c r="F151" s="37" t="s">
        <v>1012</v>
      </c>
      <c r="G151" s="57" t="s">
        <v>129</v>
      </c>
      <c r="H151" s="57" t="s">
        <v>1013</v>
      </c>
      <c r="I151" s="37" t="s">
        <v>176</v>
      </c>
      <c r="J151" s="37" t="s">
        <v>1009</v>
      </c>
      <c r="K151" s="37" t="s">
        <v>1014</v>
      </c>
      <c r="L151" s="37">
        <v>1900</v>
      </c>
      <c r="M151" s="37" t="s">
        <v>241</v>
      </c>
      <c r="N151" s="42" t="s">
        <v>1015</v>
      </c>
      <c r="O151" s="37" t="s">
        <v>759</v>
      </c>
      <c r="P151" s="37" t="s">
        <v>203</v>
      </c>
      <c r="Q151" s="37"/>
      <c r="R151" s="37"/>
      <c r="S151" s="37"/>
      <c r="T151" s="37"/>
      <c r="U151" s="37"/>
      <c r="V151" s="37"/>
      <c r="W151" s="37"/>
      <c r="X151" s="37"/>
      <c r="Y151" s="37"/>
      <c r="Z151" s="37"/>
      <c r="AA151" s="56"/>
    </row>
    <row r="152" spans="1:27" ht="65.25" customHeight="1" x14ac:dyDescent="0.2">
      <c r="A152" s="59">
        <v>151</v>
      </c>
      <c r="B152" s="56" t="s">
        <v>17</v>
      </c>
      <c r="C152" s="36" t="str">
        <f>CONCATENATE(VLOOKUP($D152,CODIFICACIÓN_RUTA!$B$2:$C$3,2,0),MID($F152,1,1)&amp;MID($F152,6,1),VLOOKUP($E152,CODIFICACIÓN_RUTA!$E$2:$F$10,2,0),$A152)</f>
        <v>01RC01151</v>
      </c>
      <c r="D152" s="56" t="s">
        <v>14</v>
      </c>
      <c r="E152" s="37" t="s">
        <v>16</v>
      </c>
      <c r="F152" s="37" t="s">
        <v>1016</v>
      </c>
      <c r="G152" s="37" t="s">
        <v>85</v>
      </c>
      <c r="H152" s="37" t="s">
        <v>1017</v>
      </c>
      <c r="I152" s="37" t="s">
        <v>72</v>
      </c>
      <c r="J152" s="37">
        <v>3</v>
      </c>
      <c r="K152" s="37" t="s">
        <v>117</v>
      </c>
      <c r="L152" s="37">
        <v>2830</v>
      </c>
      <c r="M152" s="37" t="s">
        <v>74</v>
      </c>
      <c r="N152" s="43" t="s">
        <v>1018</v>
      </c>
      <c r="O152" s="37" t="s">
        <v>404</v>
      </c>
      <c r="P152" s="37" t="s">
        <v>1019</v>
      </c>
      <c r="Q152" s="37" t="s">
        <v>1020</v>
      </c>
      <c r="R152" s="37"/>
      <c r="S152" s="37"/>
      <c r="T152" s="37"/>
      <c r="U152" s="37"/>
      <c r="V152" s="37"/>
      <c r="W152" s="37"/>
      <c r="X152" s="37"/>
      <c r="Y152" s="37" t="s">
        <v>1021</v>
      </c>
      <c r="Z152" s="37"/>
      <c r="AA152" s="56"/>
    </row>
    <row r="153" spans="1:27" ht="150" x14ac:dyDescent="0.2">
      <c r="A153" s="37">
        <v>152</v>
      </c>
      <c r="B153" s="37" t="s">
        <v>17</v>
      </c>
      <c r="C153" s="36" t="str">
        <f>CONCATENATE(VLOOKUP($D153,CODIFICACIÓN_RUTA!$B$2:$C$3,2,0),MID($F153,1,1)&amp;MID($F153,6,1),VLOOKUP($E153,CODIFICACIÓN_RUTA!$E$2:$F$10,2,0),$A153)</f>
        <v>02RG07152</v>
      </c>
      <c r="D153" s="37" t="s">
        <v>18</v>
      </c>
      <c r="E153" s="37" t="s">
        <v>30</v>
      </c>
      <c r="F153" s="37" t="s">
        <v>1022</v>
      </c>
      <c r="G153" s="37" t="s">
        <v>129</v>
      </c>
      <c r="H153" s="37" t="s">
        <v>1023</v>
      </c>
      <c r="I153" s="37" t="s">
        <v>116</v>
      </c>
      <c r="J153" s="37" t="s">
        <v>1024</v>
      </c>
      <c r="K153" s="37" t="s">
        <v>1025</v>
      </c>
      <c r="L153" s="37">
        <v>2500</v>
      </c>
      <c r="M153" s="37" t="s">
        <v>74</v>
      </c>
      <c r="N153" s="60" t="s">
        <v>1026</v>
      </c>
      <c r="O153" s="37" t="s">
        <v>1027</v>
      </c>
      <c r="P153" s="37" t="s">
        <v>1028</v>
      </c>
      <c r="Q153" s="37" t="s">
        <v>1029</v>
      </c>
      <c r="R153" s="37"/>
      <c r="S153" s="37"/>
      <c r="T153" s="37"/>
      <c r="U153" s="37"/>
      <c r="V153" s="37"/>
      <c r="W153" s="37"/>
      <c r="X153" s="37"/>
      <c r="Y153" s="37" t="s">
        <v>1030</v>
      </c>
      <c r="Z153" s="37"/>
      <c r="AA153" s="56"/>
    </row>
    <row r="154" spans="1:27" ht="180" x14ac:dyDescent="0.2">
      <c r="A154" s="37">
        <v>153</v>
      </c>
      <c r="B154" s="37" t="s">
        <v>17</v>
      </c>
      <c r="C154" s="36" t="str">
        <f>CONCATENATE(VLOOKUP($D154,CODIFICACIÓN_RUTA!$B$2:$C$3,2,0),MID($F154,1,1)&amp;MID($F154,6,1),VLOOKUP($E154,CODIFICACIÓN_RUTA!$E$2:$F$10,2,0),$A154)</f>
        <v>02ST07153</v>
      </c>
      <c r="D154" s="37" t="s">
        <v>18</v>
      </c>
      <c r="E154" s="37" t="s">
        <v>30</v>
      </c>
      <c r="F154" s="37" t="s">
        <v>1031</v>
      </c>
      <c r="G154" s="37" t="s">
        <v>129</v>
      </c>
      <c r="H154" s="37" t="s">
        <v>1032</v>
      </c>
      <c r="I154" s="37" t="s">
        <v>116</v>
      </c>
      <c r="J154" s="37" t="s">
        <v>1033</v>
      </c>
      <c r="K154" s="37" t="s">
        <v>1034</v>
      </c>
      <c r="L154" s="37">
        <v>2500</v>
      </c>
      <c r="M154" s="37" t="s">
        <v>74</v>
      </c>
      <c r="N154" s="60" t="s">
        <v>1035</v>
      </c>
      <c r="O154" s="37" t="s">
        <v>1036</v>
      </c>
      <c r="P154" s="37" t="s">
        <v>1037</v>
      </c>
      <c r="Q154" s="37" t="s">
        <v>1029</v>
      </c>
      <c r="R154" s="37"/>
      <c r="S154" s="37"/>
      <c r="T154" s="37"/>
      <c r="U154" s="37"/>
      <c r="V154" s="37"/>
      <c r="W154" s="37"/>
      <c r="X154" s="37"/>
      <c r="Y154" s="37" t="s">
        <v>1038</v>
      </c>
      <c r="Z154" s="37"/>
      <c r="AA154" s="56"/>
    </row>
    <row r="155" spans="1:27" ht="15.75" customHeight="1" x14ac:dyDescent="0.2">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row>
    <row r="156" spans="1:27" ht="15.75" customHeight="1" x14ac:dyDescent="0.2">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row>
    <row r="157" spans="1:27" ht="15.75" customHeight="1" x14ac:dyDescent="0.2">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row>
    <row r="158" spans="1:27" ht="15.75" customHeight="1" x14ac:dyDescent="0.2">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row>
    <row r="159" spans="1:27" ht="15.75" customHeight="1" x14ac:dyDescent="0.2">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row>
    <row r="160" spans="1:27" ht="15.75" customHeight="1" x14ac:dyDescent="0.2">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row>
    <row r="161" spans="1:27" ht="15.75" customHeight="1" x14ac:dyDescent="0.2">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row>
    <row r="162" spans="1:27" ht="15.75" customHeight="1" x14ac:dyDescent="0.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row>
    <row r="163" spans="1:27" ht="15.75" customHeight="1" x14ac:dyDescent="0.2">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row>
    <row r="164" spans="1:27" ht="15.75" customHeight="1" x14ac:dyDescent="0.2">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row>
    <row r="165" spans="1:27" ht="15.75" customHeight="1" x14ac:dyDescent="0.2">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row>
    <row r="166" spans="1:27" ht="15.75" customHeight="1" x14ac:dyDescent="0.2">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row>
    <row r="167" spans="1:27" ht="15.75" customHeight="1" x14ac:dyDescent="0.2">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row>
    <row r="168" spans="1:27" ht="15.75" customHeight="1" x14ac:dyDescent="0.2">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row>
    <row r="169" spans="1:27" ht="15.75" customHeight="1" x14ac:dyDescent="0.2">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row>
    <row r="170" spans="1:27" ht="15.75" customHeight="1" x14ac:dyDescent="0.2">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row>
    <row r="171" spans="1:27" ht="15.75" customHeight="1" x14ac:dyDescent="0.2">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row>
    <row r="172" spans="1:27" ht="15.75" customHeight="1" x14ac:dyDescent="0.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row>
    <row r="173" spans="1:27" ht="15.75" customHeight="1" x14ac:dyDescent="0.2">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row>
    <row r="174" spans="1:27" ht="15.75" customHeight="1" x14ac:dyDescent="0.2">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row>
    <row r="175" spans="1:27" ht="15.75" customHeight="1" x14ac:dyDescent="0.2">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row>
    <row r="176" spans="1:27" ht="15.75" customHeight="1" x14ac:dyDescent="0.2">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row>
    <row r="177" spans="1:27" ht="15.75" customHeight="1" x14ac:dyDescent="0.2">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row>
    <row r="178" spans="1:27" ht="15.75" customHeight="1" x14ac:dyDescent="0.2">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row>
    <row r="179" spans="1:27" ht="15.75" customHeight="1" x14ac:dyDescent="0.2">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row>
    <row r="180" spans="1:27" ht="15.75" customHeight="1" x14ac:dyDescent="0.2">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row>
    <row r="181" spans="1:27" ht="15.75" customHeight="1" x14ac:dyDescent="0.2">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row>
    <row r="182" spans="1:27" ht="15.75" customHeight="1" x14ac:dyDescent="0.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row>
    <row r="183" spans="1:27" ht="15.75" customHeight="1" x14ac:dyDescent="0.2">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row>
    <row r="184" spans="1:27" ht="15.75" customHeight="1" x14ac:dyDescent="0.2">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row>
    <row r="185" spans="1:27" ht="15.75" customHeight="1" x14ac:dyDescent="0.2">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row>
    <row r="186" spans="1:27" ht="15.75" customHeight="1" x14ac:dyDescent="0.2">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row>
    <row r="187" spans="1:27" ht="15.75" customHeight="1" x14ac:dyDescent="0.2">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row>
    <row r="188" spans="1:27" ht="15.75" customHeight="1" x14ac:dyDescent="0.2">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row>
    <row r="189" spans="1:27" ht="15.75" customHeight="1" x14ac:dyDescent="0.2">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row>
    <row r="190" spans="1:27" ht="15.75" customHeight="1" x14ac:dyDescent="0.2">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row>
    <row r="191" spans="1:27" ht="15.75" customHeight="1" x14ac:dyDescent="0.2">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row>
    <row r="192" spans="1:27" ht="15.75" customHeight="1" x14ac:dyDescent="0.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row>
    <row r="193" spans="1:27" ht="15.75" customHeight="1" x14ac:dyDescent="0.2">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row>
    <row r="194" spans="1:27" ht="15.75" customHeight="1" x14ac:dyDescent="0.2">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row>
    <row r="195" spans="1:27" ht="15.75" customHeight="1" x14ac:dyDescent="0.2">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row>
    <row r="196" spans="1:27" ht="15.75" customHeight="1" x14ac:dyDescent="0.2">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row>
    <row r="197" spans="1:27" ht="15.75" customHeight="1" x14ac:dyDescent="0.2">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row>
    <row r="198" spans="1:27" ht="15.75" customHeight="1" x14ac:dyDescent="0.2">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row>
    <row r="199" spans="1:27" ht="15.75" customHeight="1" x14ac:dyDescent="0.2">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row>
    <row r="200" spans="1:27" ht="15.75" customHeight="1" x14ac:dyDescent="0.2">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row>
    <row r="201" spans="1:27" ht="15.75" customHeight="1" x14ac:dyDescent="0.2">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row>
    <row r="202" spans="1:27" ht="15.75" customHeight="1" x14ac:dyDescent="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row>
    <row r="203" spans="1:27" ht="15.75" customHeight="1" x14ac:dyDescent="0.2">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row>
    <row r="204" spans="1:27" ht="15.75" customHeight="1" x14ac:dyDescent="0.2">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row>
    <row r="205" spans="1:27" ht="15.75" customHeight="1" x14ac:dyDescent="0.2">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row>
    <row r="206" spans="1:27" ht="15.75" customHeight="1" x14ac:dyDescent="0.2">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row>
    <row r="207" spans="1:27" ht="15.75" customHeight="1" x14ac:dyDescent="0.2">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row>
    <row r="208" spans="1:27" ht="15.75" customHeight="1" x14ac:dyDescent="0.2">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row>
    <row r="209" spans="1:27" ht="15.75" customHeight="1" x14ac:dyDescent="0.2">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row>
    <row r="210" spans="1:27" ht="15.75" customHeight="1" x14ac:dyDescent="0.2">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row>
    <row r="211" spans="1:27" ht="15.75" customHeight="1" x14ac:dyDescent="0.2">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row>
    <row r="212" spans="1:27" ht="15.75" customHeight="1" x14ac:dyDescent="0.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c r="AA212" s="56"/>
    </row>
    <row r="213" spans="1:27" ht="15.75" customHeight="1" x14ac:dyDescent="0.2">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c r="AA213" s="56"/>
    </row>
    <row r="214" spans="1:27" ht="15.75" customHeight="1" x14ac:dyDescent="0.2">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row>
    <row r="215" spans="1:27" ht="15.75" customHeight="1" x14ac:dyDescent="0.2">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c r="AA215" s="56"/>
    </row>
    <row r="216" spans="1:27" ht="15.75" customHeight="1" x14ac:dyDescent="0.2">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row>
    <row r="217" spans="1:27" ht="15.75" customHeight="1" x14ac:dyDescent="0.2">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row>
    <row r="218" spans="1:27" ht="15.75" customHeight="1" x14ac:dyDescent="0.25">
      <c r="A218" s="61"/>
      <c r="B218" s="61"/>
      <c r="C218" s="61"/>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row>
    <row r="219" spans="1:27" ht="15.75" customHeight="1" x14ac:dyDescent="0.25">
      <c r="A219" s="61"/>
      <c r="B219" s="61"/>
      <c r="C219" s="61"/>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row>
    <row r="220" spans="1:27" ht="15.75" customHeight="1" x14ac:dyDescent="0.25">
      <c r="A220" s="61"/>
      <c r="B220" s="61"/>
      <c r="C220" s="61"/>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row>
    <row r="221" spans="1:27" ht="15.75" customHeight="1" x14ac:dyDescent="0.25">
      <c r="A221" s="61"/>
      <c r="B221" s="61"/>
      <c r="C221" s="61"/>
      <c r="D221" s="56"/>
      <c r="E221" s="56"/>
      <c r="F221" s="56"/>
      <c r="G221" s="56"/>
      <c r="H221" s="56"/>
      <c r="I221" s="56"/>
      <c r="J221" s="56"/>
      <c r="K221" s="56"/>
      <c r="L221" s="56"/>
      <c r="M221" s="56"/>
      <c r="N221" s="56"/>
      <c r="O221" s="56"/>
      <c r="P221" s="56"/>
      <c r="Q221" s="56"/>
      <c r="R221" s="56"/>
      <c r="S221" s="56"/>
      <c r="T221" s="56"/>
      <c r="U221" s="56"/>
      <c r="V221" s="56"/>
      <c r="W221" s="56"/>
      <c r="X221" s="56"/>
      <c r="Y221" s="56"/>
      <c r="Z221" s="56"/>
      <c r="AA221" s="56"/>
    </row>
    <row r="222" spans="1:27" ht="15.75" customHeight="1" x14ac:dyDescent="0.25">
      <c r="A222" s="61"/>
      <c r="B222" s="61"/>
      <c r="C222" s="61"/>
      <c r="D222" s="56"/>
      <c r="E222" s="56"/>
      <c r="F222" s="56"/>
      <c r="G222" s="56"/>
      <c r="H222" s="56"/>
      <c r="I222" s="56"/>
      <c r="J222" s="56"/>
      <c r="K222" s="56"/>
      <c r="L222" s="56"/>
      <c r="M222" s="56"/>
      <c r="N222" s="56"/>
      <c r="O222" s="56"/>
      <c r="P222" s="56"/>
      <c r="Q222" s="56"/>
      <c r="R222" s="56"/>
      <c r="S222" s="56"/>
      <c r="T222" s="56"/>
      <c r="U222" s="56"/>
      <c r="V222" s="56"/>
      <c r="W222" s="56"/>
      <c r="X222" s="56"/>
      <c r="Y222" s="56"/>
      <c r="Z222" s="56"/>
      <c r="AA222" s="56"/>
    </row>
    <row r="223" spans="1:27" ht="15.75" customHeight="1" x14ac:dyDescent="0.25">
      <c r="A223" s="61"/>
      <c r="B223" s="61"/>
      <c r="C223" s="61"/>
      <c r="D223" s="56"/>
      <c r="E223" s="56"/>
      <c r="F223" s="56"/>
      <c r="G223" s="56"/>
      <c r="H223" s="56"/>
      <c r="I223" s="56"/>
      <c r="J223" s="56"/>
      <c r="K223" s="56"/>
      <c r="L223" s="56"/>
      <c r="M223" s="56"/>
      <c r="N223" s="56"/>
      <c r="O223" s="56"/>
      <c r="P223" s="56"/>
      <c r="Q223" s="56"/>
      <c r="R223" s="56"/>
      <c r="S223" s="56"/>
      <c r="T223" s="56"/>
      <c r="U223" s="56"/>
      <c r="V223" s="56"/>
      <c r="W223" s="56"/>
      <c r="X223" s="56"/>
      <c r="Y223" s="56"/>
      <c r="Z223" s="56"/>
      <c r="AA223" s="56"/>
    </row>
    <row r="224" spans="1:27" ht="15.75" customHeight="1" x14ac:dyDescent="0.25">
      <c r="A224" s="61"/>
      <c r="B224" s="61"/>
      <c r="C224" s="61"/>
      <c r="D224" s="56"/>
      <c r="E224" s="56"/>
      <c r="F224" s="56"/>
      <c r="G224" s="56"/>
      <c r="H224" s="56"/>
      <c r="I224" s="56"/>
      <c r="J224" s="56"/>
      <c r="K224" s="56"/>
      <c r="L224" s="56"/>
      <c r="M224" s="56"/>
      <c r="N224" s="56"/>
      <c r="O224" s="56"/>
      <c r="P224" s="56"/>
      <c r="Q224" s="56"/>
      <c r="R224" s="56"/>
      <c r="S224" s="56"/>
      <c r="T224" s="56"/>
      <c r="U224" s="56"/>
      <c r="V224" s="56"/>
      <c r="W224" s="56"/>
      <c r="X224" s="56"/>
      <c r="Y224" s="56"/>
      <c r="Z224" s="56"/>
      <c r="AA224" s="56"/>
    </row>
    <row r="225" spans="1:27" ht="15.75" customHeight="1" x14ac:dyDescent="0.25">
      <c r="A225" s="61"/>
      <c r="B225" s="61"/>
      <c r="C225" s="61"/>
      <c r="D225" s="56"/>
      <c r="E225" s="56"/>
      <c r="F225" s="56"/>
      <c r="G225" s="56"/>
      <c r="H225" s="56"/>
      <c r="I225" s="56"/>
      <c r="J225" s="56"/>
      <c r="K225" s="56"/>
      <c r="L225" s="56"/>
      <c r="M225" s="56"/>
      <c r="N225" s="56"/>
      <c r="O225" s="56"/>
      <c r="P225" s="56"/>
      <c r="Q225" s="56"/>
      <c r="R225" s="56"/>
      <c r="S225" s="56"/>
      <c r="T225" s="56"/>
      <c r="U225" s="56"/>
      <c r="V225" s="56"/>
      <c r="W225" s="56"/>
      <c r="X225" s="56"/>
      <c r="Y225" s="56"/>
      <c r="Z225" s="56"/>
      <c r="AA225" s="56"/>
    </row>
    <row r="226" spans="1:27" ht="15.75" customHeight="1" x14ac:dyDescent="0.25">
      <c r="A226" s="61"/>
      <c r="B226" s="61"/>
      <c r="C226" s="61"/>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row>
    <row r="227" spans="1:27" ht="15.75" customHeight="1" x14ac:dyDescent="0.25">
      <c r="A227" s="61"/>
      <c r="B227" s="61"/>
      <c r="C227" s="61"/>
      <c r="D227" s="56"/>
      <c r="E227" s="56"/>
      <c r="F227" s="56"/>
      <c r="G227" s="56"/>
      <c r="H227" s="56"/>
      <c r="I227" s="56"/>
      <c r="J227" s="56"/>
      <c r="K227" s="56"/>
      <c r="L227" s="56"/>
      <c r="M227" s="56"/>
      <c r="N227" s="56"/>
      <c r="O227" s="56"/>
      <c r="P227" s="56"/>
      <c r="Q227" s="56"/>
      <c r="R227" s="56"/>
      <c r="S227" s="56"/>
      <c r="T227" s="56"/>
      <c r="U227" s="56"/>
      <c r="V227" s="56"/>
      <c r="W227" s="56"/>
      <c r="X227" s="56"/>
      <c r="Y227" s="56"/>
      <c r="Z227" s="56"/>
      <c r="AA227" s="56"/>
    </row>
    <row r="228" spans="1:27" ht="15.75" customHeight="1" x14ac:dyDescent="0.25">
      <c r="A228" s="61"/>
      <c r="B228" s="61"/>
      <c r="C228" s="61"/>
      <c r="D228" s="56"/>
      <c r="E228" s="56"/>
      <c r="F228" s="56"/>
      <c r="G228" s="56"/>
      <c r="H228" s="56"/>
      <c r="I228" s="56"/>
      <c r="J228" s="56"/>
      <c r="K228" s="56"/>
      <c r="L228" s="56"/>
      <c r="M228" s="56"/>
      <c r="N228" s="56"/>
      <c r="O228" s="56"/>
      <c r="P228" s="56"/>
      <c r="Q228" s="56"/>
      <c r="R228" s="56"/>
      <c r="S228" s="56"/>
      <c r="T228" s="56"/>
      <c r="U228" s="56"/>
      <c r="V228" s="56"/>
      <c r="W228" s="56"/>
      <c r="X228" s="56"/>
      <c r="Y228" s="56"/>
      <c r="Z228" s="56"/>
      <c r="AA228" s="56"/>
    </row>
    <row r="229" spans="1:27" ht="15.75" customHeight="1" x14ac:dyDescent="0.25">
      <c r="A229" s="61"/>
      <c r="B229" s="61"/>
      <c r="C229" s="61"/>
      <c r="D229" s="56"/>
      <c r="E229" s="56"/>
      <c r="F229" s="56"/>
      <c r="G229" s="56"/>
      <c r="H229" s="56"/>
      <c r="I229" s="56"/>
      <c r="J229" s="56"/>
      <c r="K229" s="56"/>
      <c r="L229" s="56"/>
      <c r="M229" s="56"/>
      <c r="N229" s="56"/>
      <c r="O229" s="56"/>
      <c r="P229" s="56"/>
      <c r="Q229" s="56"/>
      <c r="R229" s="56"/>
      <c r="S229" s="56"/>
      <c r="T229" s="56"/>
      <c r="U229" s="56"/>
      <c r="V229" s="56"/>
      <c r="W229" s="56"/>
      <c r="X229" s="56"/>
      <c r="Y229" s="56"/>
      <c r="Z229" s="56"/>
      <c r="AA229" s="56"/>
    </row>
    <row r="230" spans="1:27" ht="15.75" customHeight="1" x14ac:dyDescent="0.25">
      <c r="A230" s="61"/>
      <c r="B230" s="61"/>
      <c r="C230" s="61"/>
      <c r="D230" s="56"/>
      <c r="E230" s="56"/>
      <c r="F230" s="56"/>
      <c r="G230" s="56"/>
      <c r="H230" s="56"/>
      <c r="I230" s="56"/>
      <c r="J230" s="56"/>
      <c r="K230" s="56"/>
      <c r="L230" s="56"/>
      <c r="M230" s="56"/>
      <c r="N230" s="56"/>
      <c r="O230" s="56"/>
      <c r="P230" s="56"/>
      <c r="Q230" s="56"/>
      <c r="R230" s="56"/>
      <c r="S230" s="56"/>
      <c r="T230" s="56"/>
      <c r="U230" s="56"/>
      <c r="V230" s="56"/>
      <c r="W230" s="56"/>
      <c r="X230" s="56"/>
      <c r="Y230" s="56"/>
      <c r="Z230" s="56"/>
      <c r="AA230" s="56"/>
    </row>
    <row r="231" spans="1:27" ht="15.75" customHeight="1" x14ac:dyDescent="0.25">
      <c r="A231" s="61"/>
      <c r="B231" s="61"/>
      <c r="C231" s="61"/>
      <c r="D231" s="56"/>
      <c r="E231" s="56"/>
      <c r="F231" s="56"/>
      <c r="G231" s="56"/>
      <c r="H231" s="56"/>
      <c r="I231" s="56"/>
      <c r="J231" s="56"/>
      <c r="K231" s="56"/>
      <c r="L231" s="56"/>
      <c r="M231" s="56"/>
      <c r="N231" s="56"/>
      <c r="O231" s="56"/>
      <c r="P231" s="56"/>
      <c r="Q231" s="56"/>
      <c r="R231" s="56"/>
      <c r="S231" s="56"/>
      <c r="T231" s="56"/>
      <c r="U231" s="56"/>
      <c r="V231" s="56"/>
      <c r="W231" s="56"/>
      <c r="X231" s="56"/>
      <c r="Y231" s="56"/>
      <c r="Z231" s="56"/>
      <c r="AA231" s="56"/>
    </row>
    <row r="232" spans="1:27" ht="15.75" customHeight="1" x14ac:dyDescent="0.25">
      <c r="A232" s="61"/>
      <c r="B232" s="61"/>
      <c r="C232" s="61"/>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row>
    <row r="233" spans="1:27" ht="15.75" customHeight="1" x14ac:dyDescent="0.25">
      <c r="A233" s="61"/>
      <c r="B233" s="61"/>
      <c r="C233" s="61"/>
      <c r="D233" s="56"/>
      <c r="E233" s="56"/>
      <c r="F233" s="56"/>
      <c r="G233" s="56"/>
      <c r="H233" s="56"/>
      <c r="I233" s="56"/>
      <c r="J233" s="56"/>
      <c r="K233" s="56"/>
      <c r="L233" s="56"/>
      <c r="M233" s="56"/>
      <c r="N233" s="56"/>
      <c r="O233" s="56"/>
      <c r="P233" s="56"/>
      <c r="Q233" s="56"/>
      <c r="R233" s="56"/>
      <c r="S233" s="56"/>
      <c r="T233" s="56"/>
      <c r="U233" s="56"/>
      <c r="V233" s="56"/>
      <c r="W233" s="56"/>
      <c r="X233" s="56"/>
      <c r="Y233" s="56"/>
      <c r="Z233" s="56"/>
      <c r="AA233" s="56"/>
    </row>
    <row r="234" spans="1:27" ht="15.75" customHeight="1" x14ac:dyDescent="0.25">
      <c r="A234" s="61"/>
      <c r="B234" s="61"/>
      <c r="C234" s="61"/>
      <c r="D234" s="56"/>
      <c r="E234" s="56"/>
      <c r="F234" s="56"/>
      <c r="G234" s="56"/>
      <c r="H234" s="56"/>
      <c r="I234" s="56"/>
      <c r="J234" s="56"/>
      <c r="K234" s="56"/>
      <c r="L234" s="56"/>
      <c r="M234" s="56"/>
      <c r="N234" s="56"/>
      <c r="O234" s="56"/>
      <c r="P234" s="56"/>
      <c r="Q234" s="56"/>
      <c r="R234" s="56"/>
      <c r="S234" s="56"/>
      <c r="T234" s="56"/>
      <c r="U234" s="56"/>
      <c r="V234" s="56"/>
      <c r="W234" s="56"/>
      <c r="X234" s="56"/>
      <c r="Y234" s="56"/>
      <c r="Z234" s="56"/>
      <c r="AA234" s="56"/>
    </row>
    <row r="235" spans="1:27" ht="15.75" customHeight="1" x14ac:dyDescent="0.25">
      <c r="A235" s="61"/>
      <c r="B235" s="61"/>
      <c r="C235" s="61"/>
      <c r="D235" s="56"/>
      <c r="E235" s="56"/>
      <c r="F235" s="56"/>
      <c r="G235" s="56"/>
      <c r="H235" s="56"/>
      <c r="I235" s="56"/>
      <c r="J235" s="56"/>
      <c r="K235" s="56"/>
      <c r="L235" s="56"/>
      <c r="M235" s="56"/>
      <c r="N235" s="56"/>
      <c r="O235" s="56"/>
      <c r="P235" s="56"/>
      <c r="Q235" s="56"/>
      <c r="R235" s="56"/>
      <c r="S235" s="56"/>
      <c r="T235" s="56"/>
      <c r="U235" s="56"/>
      <c r="V235" s="56"/>
      <c r="W235" s="56"/>
      <c r="X235" s="56"/>
      <c r="Y235" s="56"/>
      <c r="Z235" s="56"/>
      <c r="AA235" s="56"/>
    </row>
    <row r="236" spans="1:27" ht="15.75" customHeight="1" x14ac:dyDescent="0.25">
      <c r="A236" s="61"/>
      <c r="B236" s="61"/>
      <c r="C236" s="61"/>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row>
    <row r="237" spans="1:27" ht="15.75" customHeight="1" x14ac:dyDescent="0.25">
      <c r="A237" s="61"/>
      <c r="B237" s="61"/>
      <c r="C237" s="61"/>
      <c r="D237" s="56"/>
      <c r="E237" s="56"/>
      <c r="F237" s="56"/>
      <c r="G237" s="56"/>
      <c r="H237" s="56"/>
      <c r="I237" s="56"/>
      <c r="J237" s="56"/>
      <c r="K237" s="56"/>
      <c r="L237" s="56"/>
      <c r="M237" s="56"/>
      <c r="N237" s="56"/>
      <c r="O237" s="56"/>
      <c r="P237" s="56"/>
      <c r="Q237" s="56"/>
      <c r="R237" s="56"/>
      <c r="S237" s="56"/>
      <c r="T237" s="56"/>
      <c r="U237" s="56"/>
      <c r="V237" s="56"/>
      <c r="W237" s="56"/>
      <c r="X237" s="56"/>
      <c r="Y237" s="56"/>
      <c r="Z237" s="56"/>
      <c r="AA237" s="56"/>
    </row>
    <row r="238" spans="1:27" ht="15.75" customHeight="1" x14ac:dyDescent="0.25">
      <c r="A238" s="61"/>
      <c r="B238" s="61"/>
      <c r="C238" s="61"/>
      <c r="D238" s="56"/>
      <c r="E238" s="56"/>
      <c r="F238" s="56"/>
      <c r="G238" s="56"/>
      <c r="H238" s="56"/>
      <c r="I238" s="56"/>
      <c r="J238" s="56"/>
      <c r="K238" s="56"/>
      <c r="L238" s="56"/>
      <c r="M238" s="56"/>
      <c r="N238" s="56"/>
      <c r="O238" s="56"/>
      <c r="P238" s="56"/>
      <c r="Q238" s="56"/>
      <c r="R238" s="56"/>
      <c r="S238" s="56"/>
      <c r="T238" s="56"/>
      <c r="U238" s="56"/>
      <c r="V238" s="56"/>
      <c r="W238" s="56"/>
      <c r="X238" s="56"/>
      <c r="Y238" s="56"/>
      <c r="Z238" s="56"/>
      <c r="AA238" s="56"/>
    </row>
    <row r="239" spans="1:27" ht="15.75" customHeight="1" x14ac:dyDescent="0.25">
      <c r="A239" s="61"/>
      <c r="B239" s="61"/>
      <c r="C239" s="61"/>
      <c r="D239" s="56"/>
      <c r="E239" s="56"/>
      <c r="F239" s="56"/>
      <c r="G239" s="56"/>
      <c r="H239" s="56"/>
      <c r="I239" s="56"/>
      <c r="J239" s="56"/>
      <c r="K239" s="56"/>
      <c r="L239" s="56"/>
      <c r="M239" s="56"/>
      <c r="N239" s="56"/>
      <c r="O239" s="56"/>
      <c r="P239" s="56"/>
      <c r="Q239" s="56"/>
      <c r="R239" s="56"/>
      <c r="S239" s="56"/>
      <c r="T239" s="56"/>
      <c r="U239" s="56"/>
      <c r="V239" s="56"/>
      <c r="W239" s="56"/>
      <c r="X239" s="56"/>
      <c r="Y239" s="56"/>
      <c r="Z239" s="56"/>
      <c r="AA239" s="56"/>
    </row>
    <row r="240" spans="1:27" ht="15.75" customHeight="1" x14ac:dyDescent="0.25">
      <c r="A240" s="61"/>
      <c r="B240" s="61"/>
      <c r="C240" s="61"/>
      <c r="D240" s="56"/>
      <c r="E240" s="56"/>
      <c r="F240" s="56"/>
      <c r="G240" s="56"/>
      <c r="H240" s="56"/>
      <c r="I240" s="56"/>
      <c r="J240" s="56"/>
      <c r="K240" s="56"/>
      <c r="L240" s="56"/>
      <c r="M240" s="56"/>
      <c r="N240" s="56"/>
      <c r="O240" s="56"/>
      <c r="P240" s="56"/>
      <c r="Q240" s="56"/>
      <c r="R240" s="56"/>
      <c r="S240" s="56"/>
      <c r="T240" s="56"/>
      <c r="U240" s="56"/>
      <c r="V240" s="56"/>
      <c r="W240" s="56"/>
      <c r="X240" s="56"/>
      <c r="Y240" s="56"/>
      <c r="Z240" s="56"/>
      <c r="AA240" s="56"/>
    </row>
    <row r="241" spans="1:27" ht="15.75" customHeight="1" x14ac:dyDescent="0.25">
      <c r="A241" s="61"/>
      <c r="B241" s="61"/>
      <c r="C241" s="61"/>
      <c r="D241" s="56"/>
      <c r="E241" s="56"/>
      <c r="F241" s="56"/>
      <c r="G241" s="56"/>
      <c r="H241" s="56"/>
      <c r="I241" s="56"/>
      <c r="J241" s="56"/>
      <c r="K241" s="56"/>
      <c r="L241" s="56"/>
      <c r="M241" s="56"/>
      <c r="N241" s="56"/>
      <c r="O241" s="56"/>
      <c r="P241" s="56"/>
      <c r="Q241" s="56"/>
      <c r="R241" s="56"/>
      <c r="S241" s="56"/>
      <c r="T241" s="56"/>
      <c r="U241" s="56"/>
      <c r="V241" s="56"/>
      <c r="W241" s="56"/>
      <c r="X241" s="56"/>
      <c r="Y241" s="56"/>
      <c r="Z241" s="56"/>
      <c r="AA241" s="56"/>
    </row>
    <row r="242" spans="1:27" ht="15.75" customHeight="1" x14ac:dyDescent="0.25">
      <c r="A242" s="61"/>
      <c r="B242" s="61"/>
      <c r="C242" s="61"/>
      <c r="D242" s="56"/>
      <c r="E242" s="56"/>
      <c r="F242" s="56"/>
      <c r="G242" s="56"/>
      <c r="H242" s="56"/>
      <c r="I242" s="56"/>
      <c r="J242" s="56"/>
      <c r="K242" s="56"/>
      <c r="L242" s="56"/>
      <c r="M242" s="56"/>
      <c r="N242" s="56"/>
      <c r="O242" s="56"/>
      <c r="P242" s="56"/>
      <c r="Q242" s="56"/>
      <c r="R242" s="56"/>
      <c r="S242" s="56"/>
      <c r="T242" s="56"/>
      <c r="U242" s="56"/>
      <c r="V242" s="56"/>
      <c r="W242" s="56"/>
      <c r="X242" s="56"/>
      <c r="Y242" s="56"/>
      <c r="Z242" s="56"/>
      <c r="AA242" s="56"/>
    </row>
    <row r="243" spans="1:27" ht="15.75" customHeight="1" x14ac:dyDescent="0.25">
      <c r="A243" s="61"/>
      <c r="B243" s="61"/>
      <c r="C243" s="61"/>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row>
    <row r="244" spans="1:27" ht="15.75" customHeight="1" x14ac:dyDescent="0.25">
      <c r="A244" s="61"/>
      <c r="B244" s="61"/>
      <c r="C244" s="61"/>
      <c r="D244" s="56"/>
      <c r="E244" s="56"/>
      <c r="F244" s="56"/>
      <c r="G244" s="56"/>
      <c r="H244" s="56"/>
      <c r="I244" s="56"/>
      <c r="J244" s="56"/>
      <c r="K244" s="56"/>
      <c r="L244" s="56"/>
      <c r="M244" s="56"/>
      <c r="N244" s="56"/>
      <c r="O244" s="56"/>
      <c r="P244" s="56"/>
      <c r="Q244" s="56"/>
      <c r="R244" s="56"/>
      <c r="S244" s="56"/>
      <c r="T244" s="56"/>
      <c r="U244" s="56"/>
      <c r="V244" s="56"/>
      <c r="W244" s="56"/>
      <c r="X244" s="56"/>
      <c r="Y244" s="56"/>
      <c r="Z244" s="56"/>
      <c r="AA244" s="56"/>
    </row>
    <row r="245" spans="1:27" ht="15.75" customHeight="1" x14ac:dyDescent="0.25">
      <c r="A245" s="61"/>
      <c r="B245" s="61"/>
      <c r="C245" s="61"/>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row>
    <row r="246" spans="1:27" ht="15.75" customHeight="1" x14ac:dyDescent="0.25">
      <c r="A246" s="61"/>
      <c r="B246" s="61"/>
      <c r="C246" s="61"/>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row>
    <row r="247" spans="1:27" ht="15.75" customHeight="1" x14ac:dyDescent="0.25">
      <c r="A247" s="61"/>
      <c r="B247" s="61"/>
      <c r="C247" s="61"/>
      <c r="D247" s="56"/>
      <c r="E247" s="56"/>
      <c r="F247" s="56"/>
      <c r="G247" s="56"/>
      <c r="H247" s="56"/>
      <c r="I247" s="56"/>
      <c r="J247" s="56"/>
      <c r="K247" s="56"/>
      <c r="L247" s="56"/>
      <c r="M247" s="56"/>
      <c r="N247" s="56"/>
      <c r="O247" s="56"/>
      <c r="P247" s="56"/>
      <c r="Q247" s="56"/>
      <c r="R247" s="56"/>
      <c r="S247" s="56"/>
      <c r="T247" s="56"/>
      <c r="U247" s="56"/>
      <c r="V247" s="56"/>
      <c r="W247" s="56"/>
      <c r="X247" s="56"/>
      <c r="Y247" s="56"/>
      <c r="Z247" s="56"/>
      <c r="AA247" s="56"/>
    </row>
    <row r="248" spans="1:27" ht="15.75" customHeight="1" x14ac:dyDescent="0.25">
      <c r="A248" s="61"/>
      <c r="B248" s="61"/>
      <c r="C248" s="61"/>
      <c r="D248" s="56"/>
      <c r="E248" s="56"/>
      <c r="F248" s="56"/>
      <c r="G248" s="56"/>
      <c r="H248" s="56"/>
      <c r="I248" s="56"/>
      <c r="J248" s="56"/>
      <c r="K248" s="56"/>
      <c r="L248" s="56"/>
      <c r="M248" s="56"/>
      <c r="N248" s="56"/>
      <c r="O248" s="56"/>
      <c r="P248" s="56"/>
      <c r="Q248" s="56"/>
      <c r="R248" s="56"/>
      <c r="S248" s="56"/>
      <c r="T248" s="56"/>
      <c r="U248" s="56"/>
      <c r="V248" s="56"/>
      <c r="W248" s="56"/>
      <c r="X248" s="56"/>
      <c r="Y248" s="56"/>
      <c r="Z248" s="56"/>
      <c r="AA248" s="56"/>
    </row>
    <row r="249" spans="1:27" ht="15.75" customHeight="1" x14ac:dyDescent="0.25">
      <c r="A249" s="61"/>
      <c r="B249" s="61"/>
      <c r="C249" s="61"/>
      <c r="D249" s="56"/>
      <c r="E249" s="56"/>
      <c r="F249" s="56"/>
      <c r="G249" s="56"/>
      <c r="H249" s="56"/>
      <c r="I249" s="56"/>
      <c r="J249" s="56"/>
      <c r="K249" s="56"/>
      <c r="L249" s="56"/>
      <c r="M249" s="56"/>
      <c r="N249" s="56"/>
      <c r="O249" s="56"/>
      <c r="P249" s="56"/>
      <c r="Q249" s="56"/>
      <c r="R249" s="56"/>
      <c r="S249" s="56"/>
      <c r="T249" s="56"/>
      <c r="U249" s="56"/>
      <c r="V249" s="56"/>
      <c r="W249" s="56"/>
      <c r="X249" s="56"/>
      <c r="Y249" s="56"/>
      <c r="Z249" s="56"/>
      <c r="AA249" s="56"/>
    </row>
    <row r="250" spans="1:27" ht="15.75" customHeight="1" x14ac:dyDescent="0.25">
      <c r="A250" s="61"/>
      <c r="B250" s="61"/>
      <c r="C250" s="61"/>
      <c r="D250" s="56"/>
      <c r="E250" s="56"/>
      <c r="F250" s="56"/>
      <c r="G250" s="56"/>
      <c r="H250" s="56"/>
      <c r="I250" s="56"/>
      <c r="J250" s="56"/>
      <c r="K250" s="56"/>
      <c r="L250" s="56"/>
      <c r="M250" s="56"/>
      <c r="N250" s="56"/>
      <c r="O250" s="56"/>
      <c r="P250" s="56"/>
      <c r="Q250" s="56"/>
      <c r="R250" s="56"/>
      <c r="S250" s="56"/>
      <c r="T250" s="56"/>
      <c r="U250" s="56"/>
      <c r="V250" s="56"/>
      <c r="W250" s="56"/>
      <c r="X250" s="56"/>
      <c r="Y250" s="56"/>
      <c r="Z250" s="56"/>
      <c r="AA250" s="56"/>
    </row>
    <row r="251" spans="1:27" ht="15.75" customHeight="1" x14ac:dyDescent="0.25">
      <c r="A251" s="61"/>
      <c r="B251" s="61"/>
      <c r="C251" s="61"/>
      <c r="D251" s="56"/>
      <c r="E251" s="56"/>
      <c r="F251" s="56"/>
      <c r="G251" s="56"/>
      <c r="H251" s="56"/>
      <c r="I251" s="56"/>
      <c r="J251" s="56"/>
      <c r="K251" s="56"/>
      <c r="L251" s="56"/>
      <c r="M251" s="56"/>
      <c r="N251" s="56"/>
      <c r="O251" s="56"/>
      <c r="P251" s="56"/>
      <c r="Q251" s="56"/>
      <c r="R251" s="56"/>
      <c r="S251" s="56"/>
      <c r="T251" s="56"/>
      <c r="U251" s="56"/>
      <c r="V251" s="56"/>
      <c r="W251" s="56"/>
      <c r="X251" s="56"/>
      <c r="Y251" s="56"/>
      <c r="Z251" s="56"/>
      <c r="AA251" s="56"/>
    </row>
    <row r="252" spans="1:27" ht="15.75" customHeight="1" x14ac:dyDescent="0.25">
      <c r="A252" s="61"/>
      <c r="B252" s="61"/>
      <c r="C252" s="61"/>
      <c r="D252" s="56"/>
      <c r="E252" s="56"/>
      <c r="F252" s="56"/>
      <c r="G252" s="56"/>
      <c r="H252" s="56"/>
      <c r="I252" s="56"/>
      <c r="J252" s="56"/>
      <c r="K252" s="56"/>
      <c r="L252" s="56"/>
      <c r="M252" s="56"/>
      <c r="N252" s="56"/>
      <c r="O252" s="56"/>
      <c r="P252" s="56"/>
      <c r="Q252" s="56"/>
      <c r="R252" s="56"/>
      <c r="S252" s="56"/>
      <c r="T252" s="56"/>
      <c r="U252" s="56"/>
      <c r="V252" s="56"/>
      <c r="W252" s="56"/>
      <c r="X252" s="56"/>
      <c r="Y252" s="56"/>
      <c r="Z252" s="56"/>
      <c r="AA252" s="56"/>
    </row>
    <row r="253" spans="1:27" ht="15.75" customHeight="1" x14ac:dyDescent="0.25">
      <c r="A253" s="61"/>
      <c r="B253" s="61"/>
      <c r="C253" s="61"/>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row>
    <row r="254" spans="1:27" ht="15.75" customHeight="1" x14ac:dyDescent="0.25">
      <c r="A254" s="61"/>
      <c r="B254" s="61"/>
      <c r="C254" s="61"/>
      <c r="D254" s="56"/>
      <c r="E254" s="56"/>
      <c r="F254" s="56"/>
      <c r="G254" s="56"/>
      <c r="H254" s="56"/>
      <c r="I254" s="56"/>
      <c r="J254" s="56"/>
      <c r="K254" s="56"/>
      <c r="L254" s="56"/>
      <c r="M254" s="56"/>
      <c r="N254" s="56"/>
      <c r="O254" s="56"/>
      <c r="P254" s="56"/>
      <c r="Q254" s="56"/>
      <c r="R254" s="56"/>
      <c r="S254" s="56"/>
      <c r="T254" s="56"/>
      <c r="U254" s="56"/>
      <c r="V254" s="56"/>
      <c r="W254" s="56"/>
      <c r="X254" s="56"/>
      <c r="Y254" s="56"/>
      <c r="Z254" s="56"/>
      <c r="AA254" s="56"/>
    </row>
    <row r="255" spans="1:27" ht="15.75" customHeight="1" x14ac:dyDescent="0.25">
      <c r="A255" s="61"/>
      <c r="B255" s="61"/>
      <c r="C255" s="61"/>
      <c r="D255" s="56"/>
      <c r="E255" s="56"/>
      <c r="F255" s="56"/>
      <c r="G255" s="56"/>
      <c r="H255" s="56"/>
      <c r="I255" s="56"/>
      <c r="J255" s="56"/>
      <c r="K255" s="56"/>
      <c r="L255" s="56"/>
      <c r="M255" s="56"/>
      <c r="N255" s="56"/>
      <c r="O255" s="56"/>
      <c r="P255" s="56"/>
      <c r="Q255" s="56"/>
      <c r="R255" s="56"/>
      <c r="S255" s="56"/>
      <c r="T255" s="56"/>
      <c r="U255" s="56"/>
      <c r="V255" s="56"/>
      <c r="W255" s="56"/>
      <c r="X255" s="56"/>
      <c r="Y255" s="56"/>
      <c r="Z255" s="56"/>
      <c r="AA255" s="56"/>
    </row>
    <row r="256" spans="1:27" ht="15.75" customHeight="1" x14ac:dyDescent="0.25">
      <c r="A256" s="61"/>
      <c r="B256" s="61"/>
      <c r="C256" s="61"/>
      <c r="D256" s="56"/>
      <c r="E256" s="56"/>
      <c r="F256" s="56"/>
      <c r="G256" s="56"/>
      <c r="H256" s="56"/>
      <c r="I256" s="56"/>
      <c r="J256" s="56"/>
      <c r="K256" s="56"/>
      <c r="L256" s="56"/>
      <c r="M256" s="56"/>
      <c r="N256" s="56"/>
      <c r="O256" s="56"/>
      <c r="P256" s="56"/>
      <c r="Q256" s="56"/>
      <c r="R256" s="56"/>
      <c r="S256" s="56"/>
      <c r="T256" s="56"/>
      <c r="U256" s="56"/>
      <c r="V256" s="56"/>
      <c r="W256" s="56"/>
      <c r="X256" s="56"/>
      <c r="Y256" s="56"/>
      <c r="Z256" s="56"/>
      <c r="AA256" s="56"/>
    </row>
    <row r="257" spans="1:27" ht="15.75" customHeight="1" x14ac:dyDescent="0.25">
      <c r="A257" s="61"/>
      <c r="B257" s="61"/>
      <c r="C257" s="61"/>
      <c r="D257" s="56"/>
      <c r="E257" s="56"/>
      <c r="F257" s="56"/>
      <c r="G257" s="56"/>
      <c r="H257" s="56"/>
      <c r="I257" s="56"/>
      <c r="J257" s="56"/>
      <c r="K257" s="56"/>
      <c r="L257" s="56"/>
      <c r="M257" s="56"/>
      <c r="N257" s="56"/>
      <c r="O257" s="56"/>
      <c r="P257" s="56"/>
      <c r="Q257" s="56"/>
      <c r="R257" s="56"/>
      <c r="S257" s="56"/>
      <c r="T257" s="56"/>
      <c r="U257" s="56"/>
      <c r="V257" s="56"/>
      <c r="W257" s="56"/>
      <c r="X257" s="56"/>
      <c r="Y257" s="56"/>
      <c r="Z257" s="56"/>
      <c r="AA257" s="56"/>
    </row>
    <row r="258" spans="1:27" ht="15.75" customHeight="1" x14ac:dyDescent="0.25">
      <c r="A258" s="61"/>
      <c r="B258" s="61"/>
      <c r="C258" s="61"/>
      <c r="D258" s="56"/>
      <c r="E258" s="56"/>
      <c r="F258" s="56"/>
      <c r="G258" s="56"/>
      <c r="H258" s="56"/>
      <c r="I258" s="56"/>
      <c r="J258" s="56"/>
      <c r="K258" s="56"/>
      <c r="L258" s="56"/>
      <c r="M258" s="56"/>
      <c r="N258" s="56"/>
      <c r="O258" s="56"/>
      <c r="P258" s="56"/>
      <c r="Q258" s="56"/>
      <c r="R258" s="56"/>
      <c r="S258" s="56"/>
      <c r="T258" s="56"/>
      <c r="U258" s="56"/>
      <c r="V258" s="56"/>
      <c r="W258" s="56"/>
      <c r="X258" s="56"/>
      <c r="Y258" s="56"/>
      <c r="Z258" s="56"/>
      <c r="AA258" s="56"/>
    </row>
    <row r="259" spans="1:27" ht="15.75" customHeight="1" x14ac:dyDescent="0.25">
      <c r="A259" s="61"/>
      <c r="B259" s="61"/>
      <c r="C259" s="61"/>
      <c r="D259" s="56"/>
      <c r="E259" s="56"/>
      <c r="F259" s="56"/>
      <c r="G259" s="56"/>
      <c r="H259" s="56"/>
      <c r="I259" s="56"/>
      <c r="J259" s="56"/>
      <c r="K259" s="56"/>
      <c r="L259" s="56"/>
      <c r="M259" s="56"/>
      <c r="N259" s="56"/>
      <c r="O259" s="56"/>
      <c r="P259" s="56"/>
      <c r="Q259" s="56"/>
      <c r="R259" s="56"/>
      <c r="S259" s="56"/>
      <c r="T259" s="56"/>
      <c r="U259" s="56"/>
      <c r="V259" s="56"/>
      <c r="W259" s="56"/>
      <c r="X259" s="56"/>
      <c r="Y259" s="56"/>
      <c r="Z259" s="56"/>
      <c r="AA259" s="56"/>
    </row>
    <row r="260" spans="1:27" ht="15.75" customHeight="1" x14ac:dyDescent="0.25">
      <c r="A260" s="61"/>
      <c r="B260" s="61"/>
      <c r="C260" s="61"/>
      <c r="D260" s="56"/>
      <c r="E260" s="56"/>
      <c r="F260" s="56"/>
      <c r="G260" s="56"/>
      <c r="H260" s="56"/>
      <c r="I260" s="56"/>
      <c r="J260" s="56"/>
      <c r="K260" s="56"/>
      <c r="L260" s="56"/>
      <c r="M260" s="56"/>
      <c r="N260" s="56"/>
      <c r="O260" s="56"/>
      <c r="P260" s="56"/>
      <c r="Q260" s="56"/>
      <c r="R260" s="56"/>
      <c r="S260" s="56"/>
      <c r="T260" s="56"/>
      <c r="U260" s="56"/>
      <c r="V260" s="56"/>
      <c r="W260" s="56"/>
      <c r="X260" s="56"/>
      <c r="Y260" s="56"/>
      <c r="Z260" s="56"/>
      <c r="AA260" s="56"/>
    </row>
    <row r="261" spans="1:27" ht="15.75" customHeight="1" x14ac:dyDescent="0.25">
      <c r="A261" s="61"/>
      <c r="B261" s="61"/>
      <c r="C261" s="61"/>
      <c r="D261" s="56"/>
      <c r="E261" s="56"/>
      <c r="F261" s="56"/>
      <c r="G261" s="56"/>
      <c r="H261" s="56"/>
      <c r="I261" s="56"/>
      <c r="J261" s="56"/>
      <c r="K261" s="56"/>
      <c r="L261" s="56"/>
      <c r="M261" s="56"/>
      <c r="N261" s="56"/>
      <c r="O261" s="56"/>
      <c r="P261" s="56"/>
      <c r="Q261" s="56"/>
      <c r="R261" s="56"/>
      <c r="S261" s="56"/>
      <c r="T261" s="56"/>
      <c r="U261" s="56"/>
      <c r="V261" s="56"/>
      <c r="W261" s="56"/>
      <c r="X261" s="56"/>
      <c r="Y261" s="56"/>
      <c r="Z261" s="56"/>
      <c r="AA261" s="56"/>
    </row>
    <row r="262" spans="1:27" ht="15.75" customHeight="1" x14ac:dyDescent="0.25">
      <c r="A262" s="61"/>
      <c r="B262" s="61"/>
      <c r="C262" s="61"/>
      <c r="D262" s="56"/>
      <c r="E262" s="56"/>
      <c r="F262" s="56"/>
      <c r="G262" s="56"/>
      <c r="H262" s="56"/>
      <c r="I262" s="56"/>
      <c r="J262" s="56"/>
      <c r="K262" s="56"/>
      <c r="L262" s="56"/>
      <c r="M262" s="56"/>
      <c r="N262" s="56"/>
      <c r="O262" s="56"/>
      <c r="P262" s="56"/>
      <c r="Q262" s="56"/>
      <c r="R262" s="56"/>
      <c r="S262" s="56"/>
      <c r="T262" s="56"/>
      <c r="U262" s="56"/>
      <c r="V262" s="56"/>
      <c r="W262" s="56"/>
      <c r="X262" s="56"/>
      <c r="Y262" s="56"/>
      <c r="Z262" s="56"/>
      <c r="AA262" s="56"/>
    </row>
    <row r="263" spans="1:27" ht="15.75" customHeight="1" x14ac:dyDescent="0.25">
      <c r="A263" s="61"/>
      <c r="B263" s="61"/>
      <c r="C263" s="61"/>
      <c r="D263" s="56"/>
      <c r="E263" s="56"/>
      <c r="F263" s="56"/>
      <c r="G263" s="56"/>
      <c r="H263" s="56"/>
      <c r="I263" s="56"/>
      <c r="J263" s="56"/>
      <c r="K263" s="56"/>
      <c r="L263" s="56"/>
      <c r="M263" s="56"/>
      <c r="N263" s="56"/>
      <c r="O263" s="56"/>
      <c r="P263" s="56"/>
      <c r="Q263" s="56"/>
      <c r="R263" s="56"/>
      <c r="S263" s="56"/>
      <c r="T263" s="56"/>
      <c r="U263" s="56"/>
      <c r="V263" s="56"/>
      <c r="W263" s="56"/>
      <c r="X263" s="56"/>
      <c r="Y263" s="56"/>
      <c r="Z263" s="56"/>
      <c r="AA263" s="56"/>
    </row>
    <row r="264" spans="1:27" ht="15.75" customHeight="1" x14ac:dyDescent="0.25">
      <c r="A264" s="61"/>
      <c r="B264" s="61"/>
      <c r="C264" s="61"/>
      <c r="D264" s="56"/>
      <c r="E264" s="56"/>
      <c r="F264" s="56"/>
      <c r="G264" s="56"/>
      <c r="H264" s="56"/>
      <c r="I264" s="56"/>
      <c r="J264" s="56"/>
      <c r="K264" s="56"/>
      <c r="L264" s="56"/>
      <c r="M264" s="56"/>
      <c r="N264" s="56"/>
      <c r="O264" s="56"/>
      <c r="P264" s="56"/>
      <c r="Q264" s="56"/>
      <c r="R264" s="56"/>
      <c r="S264" s="56"/>
      <c r="T264" s="56"/>
      <c r="U264" s="56"/>
      <c r="V264" s="56"/>
      <c r="W264" s="56"/>
      <c r="X264" s="56"/>
      <c r="Y264" s="56"/>
      <c r="Z264" s="56"/>
      <c r="AA264" s="56"/>
    </row>
    <row r="265" spans="1:27" ht="15.75" customHeight="1" x14ac:dyDescent="0.25">
      <c r="A265" s="61"/>
      <c r="B265" s="61"/>
      <c r="C265" s="61"/>
      <c r="D265" s="56"/>
      <c r="E265" s="56"/>
      <c r="F265" s="56"/>
      <c r="G265" s="56"/>
      <c r="H265" s="56"/>
      <c r="I265" s="56"/>
      <c r="J265" s="56"/>
      <c r="K265" s="56"/>
      <c r="L265" s="56"/>
      <c r="M265" s="56"/>
      <c r="N265" s="56"/>
      <c r="O265" s="56"/>
      <c r="P265" s="56"/>
      <c r="Q265" s="56"/>
      <c r="R265" s="56"/>
      <c r="S265" s="56"/>
      <c r="T265" s="56"/>
      <c r="U265" s="56"/>
      <c r="V265" s="56"/>
      <c r="W265" s="56"/>
      <c r="X265" s="56"/>
      <c r="Y265" s="56"/>
      <c r="Z265" s="56"/>
      <c r="AA265" s="56"/>
    </row>
    <row r="266" spans="1:27" ht="15.75" customHeight="1" x14ac:dyDescent="0.25">
      <c r="A266" s="61"/>
      <c r="B266" s="61"/>
      <c r="C266" s="61"/>
      <c r="D266" s="56"/>
      <c r="E266" s="56"/>
      <c r="F266" s="56"/>
      <c r="G266" s="56"/>
      <c r="H266" s="56"/>
      <c r="I266" s="56"/>
      <c r="J266" s="56"/>
      <c r="K266" s="56"/>
      <c r="L266" s="56"/>
      <c r="M266" s="56"/>
      <c r="N266" s="56"/>
      <c r="O266" s="56"/>
      <c r="P266" s="56"/>
      <c r="Q266" s="56"/>
      <c r="R266" s="56"/>
      <c r="S266" s="56"/>
      <c r="T266" s="56"/>
      <c r="U266" s="56"/>
      <c r="V266" s="56"/>
      <c r="W266" s="56"/>
      <c r="X266" s="56"/>
      <c r="Y266" s="56"/>
      <c r="Z266" s="56"/>
      <c r="AA266" s="56"/>
    </row>
    <row r="267" spans="1:27" ht="15.75" customHeight="1" x14ac:dyDescent="0.25">
      <c r="A267" s="61"/>
      <c r="B267" s="61"/>
      <c r="C267" s="61"/>
      <c r="D267" s="56"/>
      <c r="E267" s="56"/>
      <c r="F267" s="56"/>
      <c r="G267" s="56"/>
      <c r="H267" s="56"/>
      <c r="I267" s="56"/>
      <c r="J267" s="56"/>
      <c r="K267" s="56"/>
      <c r="L267" s="56"/>
      <c r="M267" s="56"/>
      <c r="N267" s="56"/>
      <c r="O267" s="56"/>
      <c r="P267" s="56"/>
      <c r="Q267" s="56"/>
      <c r="R267" s="56"/>
      <c r="S267" s="56"/>
      <c r="T267" s="56"/>
      <c r="U267" s="56"/>
      <c r="V267" s="56"/>
      <c r="W267" s="56"/>
      <c r="X267" s="56"/>
      <c r="Y267" s="56"/>
      <c r="Z267" s="56"/>
      <c r="AA267" s="56"/>
    </row>
    <row r="268" spans="1:27" ht="15.75" customHeight="1" x14ac:dyDescent="0.25">
      <c r="A268" s="61"/>
      <c r="B268" s="61"/>
      <c r="C268" s="61"/>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row>
    <row r="269" spans="1:27" ht="15.75" customHeight="1" x14ac:dyDescent="0.25">
      <c r="A269" s="61"/>
      <c r="B269" s="61"/>
      <c r="C269" s="61"/>
      <c r="D269" s="56"/>
      <c r="E269" s="56"/>
      <c r="F269" s="56"/>
      <c r="G269" s="56"/>
      <c r="H269" s="56"/>
      <c r="I269" s="56"/>
      <c r="J269" s="56"/>
      <c r="K269" s="56"/>
      <c r="L269" s="56"/>
      <c r="M269" s="56"/>
      <c r="N269" s="56"/>
      <c r="O269" s="56"/>
      <c r="P269" s="56"/>
      <c r="Q269" s="56"/>
      <c r="R269" s="56"/>
      <c r="S269" s="56"/>
      <c r="T269" s="56"/>
      <c r="U269" s="56"/>
      <c r="V269" s="56"/>
      <c r="W269" s="56"/>
      <c r="X269" s="56"/>
      <c r="Y269" s="56"/>
      <c r="Z269" s="56"/>
      <c r="AA269" s="56"/>
    </row>
    <row r="270" spans="1:27" ht="15.75" customHeight="1" x14ac:dyDescent="0.25">
      <c r="A270" s="61"/>
      <c r="B270" s="61"/>
      <c r="C270" s="61"/>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row>
    <row r="271" spans="1:27" ht="15.75" customHeight="1" x14ac:dyDescent="0.25">
      <c r="A271" s="61"/>
      <c r="B271" s="61"/>
      <c r="C271" s="61"/>
      <c r="D271" s="56"/>
      <c r="E271" s="56"/>
      <c r="F271" s="56"/>
      <c r="G271" s="56"/>
      <c r="H271" s="56"/>
      <c r="I271" s="56"/>
      <c r="J271" s="56"/>
      <c r="K271" s="56"/>
      <c r="L271" s="56"/>
      <c r="M271" s="56"/>
      <c r="N271" s="56"/>
      <c r="O271" s="56"/>
      <c r="P271" s="56"/>
      <c r="Q271" s="56"/>
      <c r="R271" s="56"/>
      <c r="S271" s="56"/>
      <c r="T271" s="56"/>
      <c r="U271" s="56"/>
      <c r="V271" s="56"/>
      <c r="W271" s="56"/>
      <c r="X271" s="56"/>
      <c r="Y271" s="56"/>
      <c r="Z271" s="56"/>
      <c r="AA271" s="56"/>
    </row>
    <row r="272" spans="1:27" ht="15.75" customHeight="1" x14ac:dyDescent="0.25">
      <c r="A272" s="61"/>
      <c r="B272" s="61"/>
      <c r="C272" s="61"/>
      <c r="D272" s="56"/>
      <c r="E272" s="56"/>
      <c r="F272" s="56"/>
      <c r="G272" s="56"/>
      <c r="H272" s="56"/>
      <c r="I272" s="56"/>
      <c r="J272" s="56"/>
      <c r="K272" s="56"/>
      <c r="L272" s="56"/>
      <c r="M272" s="56"/>
      <c r="N272" s="56"/>
      <c r="O272" s="56"/>
      <c r="P272" s="56"/>
      <c r="Q272" s="56"/>
      <c r="R272" s="56"/>
      <c r="S272" s="56"/>
      <c r="T272" s="56"/>
      <c r="U272" s="56"/>
      <c r="V272" s="56"/>
      <c r="W272" s="56"/>
      <c r="X272" s="56"/>
      <c r="Y272" s="56"/>
      <c r="Z272" s="56"/>
      <c r="AA272" s="56"/>
    </row>
    <row r="273" spans="1:27" ht="15.75" customHeight="1" x14ac:dyDescent="0.25">
      <c r="A273" s="61"/>
      <c r="B273" s="61"/>
      <c r="C273" s="61"/>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row>
    <row r="274" spans="1:27" ht="15.75" customHeight="1" x14ac:dyDescent="0.25">
      <c r="A274" s="61"/>
      <c r="B274" s="61"/>
      <c r="C274" s="61"/>
      <c r="D274" s="56"/>
      <c r="E274" s="56"/>
      <c r="F274" s="56"/>
      <c r="G274" s="56"/>
      <c r="H274" s="56"/>
      <c r="I274" s="56"/>
      <c r="J274" s="56"/>
      <c r="K274" s="56"/>
      <c r="L274" s="56"/>
      <c r="M274" s="56"/>
      <c r="N274" s="56"/>
      <c r="O274" s="56"/>
      <c r="P274" s="56"/>
      <c r="Q274" s="56"/>
      <c r="R274" s="56"/>
      <c r="S274" s="56"/>
      <c r="T274" s="56"/>
      <c r="U274" s="56"/>
      <c r="V274" s="56"/>
      <c r="W274" s="56"/>
      <c r="X274" s="56"/>
      <c r="Y274" s="56"/>
      <c r="Z274" s="56"/>
      <c r="AA274" s="56"/>
    </row>
    <row r="275" spans="1:27" ht="15.75" customHeight="1" x14ac:dyDescent="0.25">
      <c r="A275" s="61"/>
      <c r="B275" s="61"/>
      <c r="C275" s="61"/>
      <c r="D275" s="56"/>
      <c r="E275" s="56"/>
      <c r="F275" s="56"/>
      <c r="G275" s="56"/>
      <c r="H275" s="56"/>
      <c r="I275" s="56"/>
      <c r="J275" s="56"/>
      <c r="K275" s="56"/>
      <c r="L275" s="56"/>
      <c r="M275" s="56"/>
      <c r="N275" s="56"/>
      <c r="O275" s="56"/>
      <c r="P275" s="56"/>
      <c r="Q275" s="56"/>
      <c r="R275" s="56"/>
      <c r="S275" s="56"/>
      <c r="T275" s="56"/>
      <c r="U275" s="56"/>
      <c r="V275" s="56"/>
      <c r="W275" s="56"/>
      <c r="X275" s="56"/>
      <c r="Y275" s="56"/>
      <c r="Z275" s="56"/>
      <c r="AA275" s="56"/>
    </row>
    <row r="276" spans="1:27" ht="15.75" customHeight="1" x14ac:dyDescent="0.25">
      <c r="A276" s="61"/>
      <c r="B276" s="61"/>
      <c r="C276" s="61"/>
      <c r="D276" s="56"/>
      <c r="E276" s="56"/>
      <c r="F276" s="56"/>
      <c r="G276" s="56"/>
      <c r="H276" s="56"/>
      <c r="I276" s="56"/>
      <c r="J276" s="56"/>
      <c r="K276" s="56"/>
      <c r="L276" s="56"/>
      <c r="M276" s="56"/>
      <c r="N276" s="56"/>
      <c r="O276" s="56"/>
      <c r="P276" s="56"/>
      <c r="Q276" s="56"/>
      <c r="R276" s="56"/>
      <c r="S276" s="56"/>
      <c r="T276" s="56"/>
      <c r="U276" s="56"/>
      <c r="V276" s="56"/>
      <c r="W276" s="56"/>
      <c r="X276" s="56"/>
      <c r="Y276" s="56"/>
      <c r="Z276" s="56"/>
      <c r="AA276" s="56"/>
    </row>
    <row r="277" spans="1:27" ht="15.75" customHeight="1" x14ac:dyDescent="0.25">
      <c r="A277" s="61"/>
      <c r="B277" s="61"/>
      <c r="C277" s="61"/>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row>
    <row r="278" spans="1:27" ht="15.75" customHeight="1" x14ac:dyDescent="0.25">
      <c r="A278" s="61"/>
      <c r="B278" s="61"/>
      <c r="C278" s="61"/>
      <c r="D278" s="56"/>
      <c r="E278" s="56"/>
      <c r="F278" s="56"/>
      <c r="G278" s="56"/>
      <c r="H278" s="56"/>
      <c r="I278" s="56"/>
      <c r="J278" s="56"/>
      <c r="K278" s="56"/>
      <c r="L278" s="56"/>
      <c r="M278" s="56"/>
      <c r="N278" s="56"/>
      <c r="O278" s="56"/>
      <c r="P278" s="56"/>
      <c r="Q278" s="56"/>
      <c r="R278" s="56"/>
      <c r="S278" s="56"/>
      <c r="T278" s="56"/>
      <c r="U278" s="56"/>
      <c r="V278" s="56"/>
      <c r="W278" s="56"/>
      <c r="X278" s="56"/>
      <c r="Y278" s="56"/>
      <c r="Z278" s="56"/>
      <c r="AA278" s="56"/>
    </row>
    <row r="279" spans="1:27" ht="15.75" customHeight="1" x14ac:dyDescent="0.25">
      <c r="A279" s="61"/>
      <c r="B279" s="61"/>
      <c r="C279" s="61"/>
      <c r="D279" s="56"/>
      <c r="E279" s="56"/>
      <c r="F279" s="56"/>
      <c r="G279" s="56"/>
      <c r="H279" s="56"/>
      <c r="I279" s="56"/>
      <c r="J279" s="56"/>
      <c r="K279" s="56"/>
      <c r="L279" s="56"/>
      <c r="M279" s="56"/>
      <c r="N279" s="56"/>
      <c r="O279" s="56"/>
      <c r="P279" s="56"/>
      <c r="Q279" s="56"/>
      <c r="R279" s="56"/>
      <c r="S279" s="56"/>
      <c r="T279" s="56"/>
      <c r="U279" s="56"/>
      <c r="V279" s="56"/>
      <c r="W279" s="56"/>
      <c r="X279" s="56"/>
      <c r="Y279" s="56"/>
      <c r="Z279" s="56"/>
      <c r="AA279" s="56"/>
    </row>
    <row r="280" spans="1:27" ht="15.75" customHeight="1" x14ac:dyDescent="0.25">
      <c r="A280" s="61"/>
      <c r="B280" s="61"/>
      <c r="C280" s="61"/>
      <c r="D280" s="56"/>
      <c r="E280" s="56"/>
      <c r="F280" s="56"/>
      <c r="G280" s="56"/>
      <c r="H280" s="56"/>
      <c r="I280" s="56"/>
      <c r="J280" s="56"/>
      <c r="K280" s="56"/>
      <c r="L280" s="56"/>
      <c r="M280" s="56"/>
      <c r="N280" s="56"/>
      <c r="O280" s="56"/>
      <c r="P280" s="56"/>
      <c r="Q280" s="56"/>
      <c r="R280" s="56"/>
      <c r="S280" s="56"/>
      <c r="T280" s="56"/>
      <c r="U280" s="56"/>
      <c r="V280" s="56"/>
      <c r="W280" s="56"/>
      <c r="X280" s="56"/>
      <c r="Y280" s="56"/>
      <c r="Z280" s="56"/>
      <c r="AA280" s="56"/>
    </row>
    <row r="281" spans="1:27" ht="15.75" customHeight="1" x14ac:dyDescent="0.25">
      <c r="A281" s="61"/>
      <c r="B281" s="61"/>
      <c r="C281" s="61"/>
      <c r="D281" s="56"/>
      <c r="E281" s="56"/>
      <c r="F281" s="56"/>
      <c r="G281" s="56"/>
      <c r="H281" s="56"/>
      <c r="I281" s="56"/>
      <c r="J281" s="56"/>
      <c r="K281" s="56"/>
      <c r="L281" s="56"/>
      <c r="M281" s="56"/>
      <c r="N281" s="56"/>
      <c r="O281" s="56"/>
      <c r="P281" s="56"/>
      <c r="Q281" s="56"/>
      <c r="R281" s="56"/>
      <c r="S281" s="56"/>
      <c r="T281" s="56"/>
      <c r="U281" s="56"/>
      <c r="V281" s="56"/>
      <c r="W281" s="56"/>
      <c r="X281" s="56"/>
      <c r="Y281" s="56"/>
      <c r="Z281" s="56"/>
      <c r="AA281" s="56"/>
    </row>
    <row r="282" spans="1:27" ht="15.75" customHeight="1" x14ac:dyDescent="0.25">
      <c r="A282" s="61"/>
      <c r="B282" s="61"/>
      <c r="C282" s="61"/>
      <c r="D282" s="56"/>
      <c r="E282" s="56"/>
      <c r="F282" s="56"/>
      <c r="G282" s="56"/>
      <c r="H282" s="56"/>
      <c r="I282" s="56"/>
      <c r="J282" s="56"/>
      <c r="K282" s="56"/>
      <c r="L282" s="56"/>
      <c r="M282" s="56"/>
      <c r="N282" s="56"/>
      <c r="O282" s="56"/>
      <c r="P282" s="56"/>
      <c r="Q282" s="56"/>
      <c r="R282" s="56"/>
      <c r="S282" s="56"/>
      <c r="T282" s="56"/>
      <c r="U282" s="56"/>
      <c r="V282" s="56"/>
      <c r="W282" s="56"/>
      <c r="X282" s="56"/>
      <c r="Y282" s="56"/>
      <c r="Z282" s="56"/>
      <c r="AA282" s="56"/>
    </row>
    <row r="283" spans="1:27" ht="15.75" customHeight="1" x14ac:dyDescent="0.25">
      <c r="A283" s="61"/>
      <c r="B283" s="61"/>
      <c r="C283" s="61"/>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56"/>
    </row>
    <row r="284" spans="1:27" ht="15.75" customHeight="1" x14ac:dyDescent="0.25">
      <c r="A284" s="61"/>
      <c r="B284" s="61"/>
      <c r="C284" s="61"/>
      <c r="D284" s="56"/>
      <c r="E284" s="56"/>
      <c r="F284" s="56"/>
      <c r="G284" s="56"/>
      <c r="H284" s="56"/>
      <c r="I284" s="56"/>
      <c r="J284" s="56"/>
      <c r="K284" s="56"/>
      <c r="L284" s="56"/>
      <c r="M284" s="56"/>
      <c r="N284" s="56"/>
      <c r="O284" s="56"/>
      <c r="P284" s="56"/>
      <c r="Q284" s="56"/>
      <c r="R284" s="56"/>
      <c r="S284" s="56"/>
      <c r="T284" s="56"/>
      <c r="U284" s="56"/>
      <c r="V284" s="56"/>
      <c r="W284" s="56"/>
      <c r="X284" s="56"/>
      <c r="Y284" s="56"/>
      <c r="Z284" s="56"/>
      <c r="AA284" s="56"/>
    </row>
    <row r="285" spans="1:27" ht="15.75" customHeight="1" x14ac:dyDescent="0.25">
      <c r="A285" s="61"/>
      <c r="B285" s="61"/>
      <c r="C285" s="61"/>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row>
    <row r="286" spans="1:27" ht="15.75" customHeight="1" x14ac:dyDescent="0.25">
      <c r="A286" s="61"/>
      <c r="B286" s="61"/>
      <c r="C286" s="61"/>
      <c r="D286" s="56"/>
      <c r="E286" s="56"/>
      <c r="F286" s="56"/>
      <c r="G286" s="56"/>
      <c r="H286" s="56"/>
      <c r="I286" s="56"/>
      <c r="J286" s="56"/>
      <c r="K286" s="56"/>
      <c r="L286" s="56"/>
      <c r="M286" s="56"/>
      <c r="N286" s="56"/>
      <c r="O286" s="56"/>
      <c r="P286" s="56"/>
      <c r="Q286" s="56"/>
      <c r="R286" s="56"/>
      <c r="S286" s="56"/>
      <c r="T286" s="56"/>
      <c r="U286" s="56"/>
      <c r="V286" s="56"/>
      <c r="W286" s="56"/>
      <c r="X286" s="56"/>
      <c r="Y286" s="56"/>
      <c r="Z286" s="56"/>
      <c r="AA286" s="56"/>
    </row>
    <row r="287" spans="1:27" ht="15.75" customHeight="1" x14ac:dyDescent="0.25">
      <c r="A287" s="61"/>
      <c r="B287" s="61"/>
      <c r="C287" s="61"/>
      <c r="D287" s="56"/>
      <c r="E287" s="56"/>
      <c r="F287" s="56"/>
      <c r="G287" s="56"/>
      <c r="H287" s="56"/>
      <c r="I287" s="56"/>
      <c r="J287" s="56"/>
      <c r="K287" s="56"/>
      <c r="L287" s="56"/>
      <c r="M287" s="56"/>
      <c r="N287" s="56"/>
      <c r="O287" s="56"/>
      <c r="P287" s="56"/>
      <c r="Q287" s="56"/>
      <c r="R287" s="56"/>
      <c r="S287" s="56"/>
      <c r="T287" s="56"/>
      <c r="U287" s="56"/>
      <c r="V287" s="56"/>
      <c r="W287" s="56"/>
      <c r="X287" s="56"/>
      <c r="Y287" s="56"/>
      <c r="Z287" s="56"/>
      <c r="AA287" s="56"/>
    </row>
    <row r="288" spans="1:27" ht="15.75" customHeight="1" x14ac:dyDescent="0.25">
      <c r="A288" s="61"/>
      <c r="B288" s="61"/>
      <c r="C288" s="61"/>
      <c r="D288" s="56"/>
      <c r="E288" s="56"/>
      <c r="F288" s="56"/>
      <c r="G288" s="56"/>
      <c r="H288" s="56"/>
      <c r="I288" s="56"/>
      <c r="J288" s="56"/>
      <c r="K288" s="56"/>
      <c r="L288" s="56"/>
      <c r="M288" s="56"/>
      <c r="N288" s="56"/>
      <c r="O288" s="56"/>
      <c r="P288" s="56"/>
      <c r="Q288" s="56"/>
      <c r="R288" s="56"/>
      <c r="S288" s="56"/>
      <c r="T288" s="56"/>
      <c r="U288" s="56"/>
      <c r="V288" s="56"/>
      <c r="W288" s="56"/>
      <c r="X288" s="56"/>
      <c r="Y288" s="56"/>
      <c r="Z288" s="56"/>
      <c r="AA288" s="56"/>
    </row>
    <row r="289" spans="1:27" ht="15.75" customHeight="1" x14ac:dyDescent="0.25">
      <c r="A289" s="61"/>
      <c r="B289" s="61"/>
      <c r="C289" s="61"/>
      <c r="D289" s="56"/>
      <c r="E289" s="56"/>
      <c r="F289" s="56"/>
      <c r="G289" s="56"/>
      <c r="H289" s="56"/>
      <c r="I289" s="56"/>
      <c r="J289" s="56"/>
      <c r="K289" s="56"/>
      <c r="L289" s="56"/>
      <c r="M289" s="56"/>
      <c r="N289" s="56"/>
      <c r="O289" s="56"/>
      <c r="P289" s="56"/>
      <c r="Q289" s="56"/>
      <c r="R289" s="56"/>
      <c r="S289" s="56"/>
      <c r="T289" s="56"/>
      <c r="U289" s="56"/>
      <c r="V289" s="56"/>
      <c r="W289" s="56"/>
      <c r="X289" s="56"/>
      <c r="Y289" s="56"/>
      <c r="Z289" s="56"/>
      <c r="AA289" s="56"/>
    </row>
    <row r="290" spans="1:27" ht="15.75" customHeight="1" x14ac:dyDescent="0.25">
      <c r="A290" s="61"/>
      <c r="B290" s="61"/>
      <c r="C290" s="61"/>
      <c r="D290" s="56"/>
      <c r="E290" s="56"/>
      <c r="F290" s="56"/>
      <c r="G290" s="56"/>
      <c r="H290" s="56"/>
      <c r="I290" s="56"/>
      <c r="J290" s="56"/>
      <c r="K290" s="56"/>
      <c r="L290" s="56"/>
      <c r="M290" s="56"/>
      <c r="N290" s="56"/>
      <c r="O290" s="56"/>
      <c r="P290" s="56"/>
      <c r="Q290" s="56"/>
      <c r="R290" s="56"/>
      <c r="S290" s="56"/>
      <c r="T290" s="56"/>
      <c r="U290" s="56"/>
      <c r="V290" s="56"/>
      <c r="W290" s="56"/>
      <c r="X290" s="56"/>
      <c r="Y290" s="56"/>
      <c r="Z290" s="56"/>
      <c r="AA290" s="56"/>
    </row>
    <row r="291" spans="1:27" ht="15.75" customHeight="1" x14ac:dyDescent="0.25">
      <c r="A291" s="61"/>
      <c r="B291" s="61"/>
      <c r="C291" s="61"/>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row>
    <row r="292" spans="1:27" ht="15.75" customHeight="1" x14ac:dyDescent="0.25">
      <c r="A292" s="61"/>
      <c r="B292" s="61"/>
      <c r="C292" s="61"/>
      <c r="D292" s="56"/>
      <c r="E292" s="56"/>
      <c r="F292" s="56"/>
      <c r="G292" s="56"/>
      <c r="H292" s="56"/>
      <c r="I292" s="56"/>
      <c r="J292" s="56"/>
      <c r="K292" s="56"/>
      <c r="L292" s="56"/>
      <c r="M292" s="56"/>
      <c r="N292" s="56"/>
      <c r="O292" s="56"/>
      <c r="P292" s="56"/>
      <c r="Q292" s="56"/>
      <c r="R292" s="56"/>
      <c r="S292" s="56"/>
      <c r="T292" s="56"/>
      <c r="U292" s="56"/>
      <c r="V292" s="56"/>
      <c r="W292" s="56"/>
      <c r="X292" s="56"/>
      <c r="Y292" s="56"/>
      <c r="Z292" s="56"/>
      <c r="AA292" s="56"/>
    </row>
    <row r="293" spans="1:27" ht="15.75" customHeight="1" x14ac:dyDescent="0.25">
      <c r="A293" s="61"/>
      <c r="B293" s="61"/>
      <c r="C293" s="61"/>
      <c r="D293" s="56"/>
      <c r="E293" s="56"/>
      <c r="F293" s="56"/>
      <c r="G293" s="56"/>
      <c r="H293" s="56"/>
      <c r="I293" s="56"/>
      <c r="J293" s="56"/>
      <c r="K293" s="56"/>
      <c r="L293" s="56"/>
      <c r="M293" s="56"/>
      <c r="N293" s="56"/>
      <c r="O293" s="56"/>
      <c r="P293" s="56"/>
      <c r="Q293" s="56"/>
      <c r="R293" s="56"/>
      <c r="S293" s="56"/>
      <c r="T293" s="56"/>
      <c r="U293" s="56"/>
      <c r="V293" s="56"/>
      <c r="W293" s="56"/>
      <c r="X293" s="56"/>
      <c r="Y293" s="56"/>
      <c r="Z293" s="56"/>
      <c r="AA293" s="56"/>
    </row>
    <row r="294" spans="1:27" ht="15.75" customHeight="1" x14ac:dyDescent="0.25">
      <c r="A294" s="61"/>
      <c r="B294" s="61"/>
      <c r="C294" s="61"/>
      <c r="D294" s="56"/>
      <c r="E294" s="56"/>
      <c r="F294" s="56"/>
      <c r="G294" s="56"/>
      <c r="H294" s="56"/>
      <c r="I294" s="56"/>
      <c r="J294" s="56"/>
      <c r="K294" s="56"/>
      <c r="L294" s="56"/>
      <c r="M294" s="56"/>
      <c r="N294" s="56"/>
      <c r="O294" s="56"/>
      <c r="P294" s="56"/>
      <c r="Q294" s="56"/>
      <c r="R294" s="56"/>
      <c r="S294" s="56"/>
      <c r="T294" s="56"/>
      <c r="U294" s="56"/>
      <c r="V294" s="56"/>
      <c r="W294" s="56"/>
      <c r="X294" s="56"/>
      <c r="Y294" s="56"/>
      <c r="Z294" s="56"/>
      <c r="AA294" s="56"/>
    </row>
    <row r="295" spans="1:27" ht="15.75" customHeight="1" x14ac:dyDescent="0.25">
      <c r="A295" s="61"/>
      <c r="B295" s="61"/>
      <c r="C295" s="61"/>
      <c r="D295" s="56"/>
      <c r="E295" s="56"/>
      <c r="F295" s="56"/>
      <c r="G295" s="56"/>
      <c r="H295" s="56"/>
      <c r="I295" s="56"/>
      <c r="J295" s="56"/>
      <c r="K295" s="56"/>
      <c r="L295" s="56"/>
      <c r="M295" s="56"/>
      <c r="N295" s="56"/>
      <c r="O295" s="56"/>
      <c r="P295" s="56"/>
      <c r="Q295" s="56"/>
      <c r="R295" s="56"/>
      <c r="S295" s="56"/>
      <c r="T295" s="56"/>
      <c r="U295" s="56"/>
      <c r="V295" s="56"/>
      <c r="W295" s="56"/>
      <c r="X295" s="56"/>
      <c r="Y295" s="56"/>
      <c r="Z295" s="56"/>
      <c r="AA295" s="56"/>
    </row>
    <row r="296" spans="1:27" ht="15.75" customHeight="1" x14ac:dyDescent="0.25">
      <c r="A296" s="61"/>
      <c r="B296" s="61"/>
      <c r="C296" s="61"/>
      <c r="D296" s="56"/>
      <c r="E296" s="56"/>
      <c r="F296" s="56"/>
      <c r="G296" s="56"/>
      <c r="H296" s="56"/>
      <c r="I296" s="56"/>
      <c r="J296" s="56"/>
      <c r="K296" s="56"/>
      <c r="L296" s="56"/>
      <c r="M296" s="56"/>
      <c r="N296" s="56"/>
      <c r="O296" s="56"/>
      <c r="P296" s="56"/>
      <c r="Q296" s="56"/>
      <c r="R296" s="56"/>
      <c r="S296" s="56"/>
      <c r="T296" s="56"/>
      <c r="U296" s="56"/>
      <c r="V296" s="56"/>
      <c r="W296" s="56"/>
      <c r="X296" s="56"/>
      <c r="Y296" s="56"/>
      <c r="Z296" s="56"/>
      <c r="AA296" s="56"/>
    </row>
    <row r="297" spans="1:27" ht="15.75" customHeight="1" x14ac:dyDescent="0.25">
      <c r="A297" s="61"/>
      <c r="B297" s="61"/>
      <c r="C297" s="61"/>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row>
    <row r="298" spans="1:27" ht="15.75" customHeight="1" x14ac:dyDescent="0.25">
      <c r="A298" s="61"/>
      <c r="B298" s="61"/>
      <c r="C298" s="61"/>
      <c r="D298" s="56"/>
      <c r="E298" s="56"/>
      <c r="F298" s="56"/>
      <c r="G298" s="56"/>
      <c r="H298" s="56"/>
      <c r="I298" s="56"/>
      <c r="J298" s="56"/>
      <c r="K298" s="56"/>
      <c r="L298" s="56"/>
      <c r="M298" s="56"/>
      <c r="N298" s="56"/>
      <c r="O298" s="56"/>
      <c r="P298" s="56"/>
      <c r="Q298" s="56"/>
      <c r="R298" s="56"/>
      <c r="S298" s="56"/>
      <c r="T298" s="56"/>
      <c r="U298" s="56"/>
      <c r="V298" s="56"/>
      <c r="W298" s="56"/>
      <c r="X298" s="56"/>
      <c r="Y298" s="56"/>
      <c r="Z298" s="56"/>
      <c r="AA298" s="56"/>
    </row>
    <row r="299" spans="1:27" ht="15.75" customHeight="1" x14ac:dyDescent="0.25">
      <c r="A299" s="61"/>
      <c r="B299" s="61"/>
      <c r="C299" s="61"/>
      <c r="D299" s="56"/>
      <c r="E299" s="56"/>
      <c r="F299" s="56"/>
      <c r="G299" s="56"/>
      <c r="H299" s="56"/>
      <c r="I299" s="56"/>
      <c r="J299" s="56"/>
      <c r="K299" s="56"/>
      <c r="L299" s="56"/>
      <c r="M299" s="56"/>
      <c r="N299" s="56"/>
      <c r="O299" s="56"/>
      <c r="P299" s="56"/>
      <c r="Q299" s="56"/>
      <c r="R299" s="56"/>
      <c r="S299" s="56"/>
      <c r="T299" s="56"/>
      <c r="U299" s="56"/>
      <c r="V299" s="56"/>
      <c r="W299" s="56"/>
      <c r="X299" s="56"/>
      <c r="Y299" s="56"/>
      <c r="Z299" s="56"/>
      <c r="AA299" s="56"/>
    </row>
    <row r="300" spans="1:27" ht="15.75" customHeight="1" x14ac:dyDescent="0.25">
      <c r="A300" s="61"/>
      <c r="B300" s="61"/>
      <c r="C300" s="61"/>
      <c r="D300" s="56"/>
      <c r="E300" s="56"/>
      <c r="F300" s="56"/>
      <c r="G300" s="56"/>
      <c r="H300" s="56"/>
      <c r="I300" s="56"/>
      <c r="J300" s="56"/>
      <c r="K300" s="56"/>
      <c r="L300" s="56"/>
      <c r="M300" s="56"/>
      <c r="N300" s="56"/>
      <c r="O300" s="56"/>
      <c r="P300" s="56"/>
      <c r="Q300" s="56"/>
      <c r="R300" s="56"/>
      <c r="S300" s="56"/>
      <c r="T300" s="56"/>
      <c r="U300" s="56"/>
      <c r="V300" s="56"/>
      <c r="W300" s="56"/>
      <c r="X300" s="56"/>
      <c r="Y300" s="56"/>
      <c r="Z300" s="56"/>
      <c r="AA300" s="56"/>
    </row>
    <row r="301" spans="1:27" ht="15.75" customHeight="1" x14ac:dyDescent="0.25">
      <c r="A301" s="61"/>
      <c r="B301" s="61"/>
      <c r="C301" s="61"/>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row>
    <row r="302" spans="1:27" ht="15.75" customHeight="1" x14ac:dyDescent="0.25">
      <c r="A302" s="61"/>
      <c r="B302" s="61"/>
      <c r="C302" s="61"/>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row>
    <row r="303" spans="1:27" ht="15.75" customHeight="1" x14ac:dyDescent="0.25">
      <c r="A303" s="61"/>
      <c r="B303" s="61"/>
      <c r="C303" s="61"/>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row>
    <row r="304" spans="1:27" ht="15.75" customHeight="1" x14ac:dyDescent="0.25">
      <c r="A304" s="61"/>
      <c r="B304" s="61"/>
      <c r="C304" s="61"/>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row>
    <row r="305" spans="1:27" ht="15.75" customHeight="1" x14ac:dyDescent="0.25">
      <c r="A305" s="61"/>
      <c r="B305" s="61"/>
      <c r="C305" s="61"/>
      <c r="D305" s="56"/>
      <c r="E305" s="56"/>
      <c r="F305" s="56"/>
      <c r="G305" s="56"/>
      <c r="H305" s="56"/>
      <c r="I305" s="56"/>
      <c r="J305" s="56"/>
      <c r="K305" s="56"/>
      <c r="L305" s="56"/>
      <c r="M305" s="56"/>
      <c r="N305" s="56"/>
      <c r="O305" s="56"/>
      <c r="P305" s="56"/>
      <c r="Q305" s="56"/>
      <c r="R305" s="56"/>
      <c r="S305" s="56"/>
      <c r="T305" s="56"/>
      <c r="U305" s="56"/>
      <c r="V305" s="56"/>
      <c r="W305" s="56"/>
      <c r="X305" s="56"/>
      <c r="Y305" s="56"/>
      <c r="Z305" s="56"/>
      <c r="AA305" s="56"/>
    </row>
    <row r="306" spans="1:27" ht="15.75" customHeight="1" x14ac:dyDescent="0.25">
      <c r="A306" s="61"/>
      <c r="B306" s="61"/>
      <c r="C306" s="61"/>
      <c r="D306" s="56"/>
      <c r="E306" s="56"/>
      <c r="F306" s="56"/>
      <c r="G306" s="56"/>
      <c r="H306" s="56"/>
      <c r="I306" s="56"/>
      <c r="J306" s="56"/>
      <c r="K306" s="56"/>
      <c r="L306" s="56"/>
      <c r="M306" s="56"/>
      <c r="N306" s="56"/>
      <c r="O306" s="56"/>
      <c r="P306" s="56"/>
      <c r="Q306" s="56"/>
      <c r="R306" s="56"/>
      <c r="S306" s="56"/>
      <c r="T306" s="56"/>
      <c r="U306" s="56"/>
      <c r="V306" s="56"/>
      <c r="W306" s="56"/>
      <c r="X306" s="56"/>
      <c r="Y306" s="56"/>
      <c r="Z306" s="56"/>
      <c r="AA306" s="56"/>
    </row>
    <row r="307" spans="1:27" ht="15.75" customHeight="1" x14ac:dyDescent="0.25">
      <c r="A307" s="61"/>
      <c r="B307" s="61"/>
      <c r="C307" s="61"/>
      <c r="D307" s="56"/>
      <c r="E307" s="56"/>
      <c r="F307" s="56"/>
      <c r="G307" s="56"/>
      <c r="H307" s="56"/>
      <c r="I307" s="56"/>
      <c r="J307" s="56"/>
      <c r="K307" s="56"/>
      <c r="L307" s="56"/>
      <c r="M307" s="56"/>
      <c r="N307" s="56"/>
      <c r="O307" s="56"/>
      <c r="P307" s="56"/>
      <c r="Q307" s="56"/>
      <c r="R307" s="56"/>
      <c r="S307" s="56"/>
      <c r="T307" s="56"/>
      <c r="U307" s="56"/>
      <c r="V307" s="56"/>
      <c r="W307" s="56"/>
      <c r="X307" s="56"/>
      <c r="Y307" s="56"/>
      <c r="Z307" s="56"/>
      <c r="AA307" s="56"/>
    </row>
    <row r="308" spans="1:27" ht="15.75" customHeight="1" x14ac:dyDescent="0.25">
      <c r="A308" s="61"/>
      <c r="B308" s="61"/>
      <c r="C308" s="61"/>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row>
    <row r="309" spans="1:27" ht="15.75" customHeight="1" x14ac:dyDescent="0.25">
      <c r="A309" s="61"/>
      <c r="B309" s="61"/>
      <c r="C309" s="61"/>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row>
    <row r="310" spans="1:27" ht="15.75" customHeight="1" x14ac:dyDescent="0.25">
      <c r="A310" s="61"/>
      <c r="B310" s="61"/>
      <c r="C310" s="61"/>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row>
    <row r="311" spans="1:27" ht="15.75" customHeight="1" x14ac:dyDescent="0.25">
      <c r="A311" s="61"/>
      <c r="B311" s="61"/>
      <c r="C311" s="61"/>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row>
    <row r="312" spans="1:27" ht="15.75" customHeight="1" x14ac:dyDescent="0.25">
      <c r="A312" s="61"/>
      <c r="B312" s="61"/>
      <c r="C312" s="61"/>
      <c r="D312" s="56"/>
      <c r="E312" s="56"/>
      <c r="F312" s="56"/>
      <c r="G312" s="56"/>
      <c r="H312" s="56"/>
      <c r="I312" s="56"/>
      <c r="J312" s="56"/>
      <c r="K312" s="56"/>
      <c r="L312" s="56"/>
      <c r="M312" s="56"/>
      <c r="N312" s="56"/>
      <c r="O312" s="56"/>
      <c r="P312" s="56"/>
      <c r="Q312" s="56"/>
      <c r="R312" s="56"/>
      <c r="S312" s="56"/>
      <c r="T312" s="56"/>
      <c r="U312" s="56"/>
      <c r="V312" s="56"/>
      <c r="W312" s="56"/>
      <c r="X312" s="56"/>
      <c r="Y312" s="56"/>
      <c r="Z312" s="56"/>
      <c r="AA312" s="56"/>
    </row>
    <row r="313" spans="1:27" ht="15.75" customHeight="1" x14ac:dyDescent="0.25">
      <c r="A313" s="61"/>
      <c r="B313" s="61"/>
      <c r="C313" s="61"/>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row>
    <row r="314" spans="1:27" ht="15.75" customHeight="1" x14ac:dyDescent="0.25">
      <c r="A314" s="61"/>
      <c r="B314" s="61"/>
      <c r="C314" s="61"/>
      <c r="D314" s="56"/>
      <c r="E314" s="56"/>
      <c r="F314" s="56"/>
      <c r="G314" s="56"/>
      <c r="H314" s="56"/>
      <c r="I314" s="56"/>
      <c r="J314" s="56"/>
      <c r="K314" s="56"/>
      <c r="L314" s="56"/>
      <c r="M314" s="56"/>
      <c r="N314" s="56"/>
      <c r="O314" s="56"/>
      <c r="P314" s="56"/>
      <c r="Q314" s="56"/>
      <c r="R314" s="56"/>
      <c r="S314" s="56"/>
      <c r="T314" s="56"/>
      <c r="U314" s="56"/>
      <c r="V314" s="56"/>
      <c r="W314" s="56"/>
      <c r="X314" s="56"/>
      <c r="Y314" s="56"/>
      <c r="Z314" s="56"/>
      <c r="AA314" s="56"/>
    </row>
    <row r="315" spans="1:27" ht="15.75" customHeight="1" x14ac:dyDescent="0.25">
      <c r="A315" s="61"/>
      <c r="B315" s="61"/>
      <c r="C315" s="61"/>
      <c r="D315" s="56"/>
      <c r="E315" s="56"/>
      <c r="F315" s="56"/>
      <c r="G315" s="56"/>
      <c r="H315" s="56"/>
      <c r="I315" s="56"/>
      <c r="J315" s="56"/>
      <c r="K315" s="56"/>
      <c r="L315" s="56"/>
      <c r="M315" s="56"/>
      <c r="N315" s="56"/>
      <c r="O315" s="56"/>
      <c r="P315" s="56"/>
      <c r="Q315" s="56"/>
      <c r="R315" s="56"/>
      <c r="S315" s="56"/>
      <c r="T315" s="56"/>
      <c r="U315" s="56"/>
      <c r="V315" s="56"/>
      <c r="W315" s="56"/>
      <c r="X315" s="56"/>
      <c r="Y315" s="56"/>
      <c r="Z315" s="56"/>
      <c r="AA315" s="56"/>
    </row>
    <row r="316" spans="1:27" ht="15.75" customHeight="1" x14ac:dyDescent="0.25">
      <c r="A316" s="61"/>
      <c r="B316" s="61"/>
      <c r="C316" s="61"/>
      <c r="D316" s="56"/>
      <c r="E316" s="56"/>
      <c r="F316" s="56"/>
      <c r="G316" s="56"/>
      <c r="H316" s="56"/>
      <c r="I316" s="56"/>
      <c r="J316" s="56"/>
      <c r="K316" s="56"/>
      <c r="L316" s="56"/>
      <c r="M316" s="56"/>
      <c r="N316" s="56"/>
      <c r="O316" s="56"/>
      <c r="P316" s="56"/>
      <c r="Q316" s="56"/>
      <c r="R316" s="56"/>
      <c r="S316" s="56"/>
      <c r="T316" s="56"/>
      <c r="U316" s="56"/>
      <c r="V316" s="56"/>
      <c r="W316" s="56"/>
      <c r="X316" s="56"/>
      <c r="Y316" s="56"/>
      <c r="Z316" s="56"/>
      <c r="AA316" s="56"/>
    </row>
    <row r="317" spans="1:27" ht="15.75" customHeight="1" x14ac:dyDescent="0.25">
      <c r="A317" s="61"/>
      <c r="B317" s="61"/>
      <c r="C317" s="61"/>
      <c r="D317" s="56"/>
      <c r="E317" s="56"/>
      <c r="F317" s="56"/>
      <c r="G317" s="56"/>
      <c r="H317" s="56"/>
      <c r="I317" s="56"/>
      <c r="J317" s="56"/>
      <c r="K317" s="56"/>
      <c r="L317" s="56"/>
      <c r="M317" s="56"/>
      <c r="N317" s="56"/>
      <c r="O317" s="56"/>
      <c r="P317" s="56"/>
      <c r="Q317" s="56"/>
      <c r="R317" s="56"/>
      <c r="S317" s="56"/>
      <c r="T317" s="56"/>
      <c r="U317" s="56"/>
      <c r="V317" s="56"/>
      <c r="W317" s="56"/>
      <c r="X317" s="56"/>
      <c r="Y317" s="56"/>
      <c r="Z317" s="56"/>
      <c r="AA317" s="56"/>
    </row>
    <row r="318" spans="1:27" ht="15.75" customHeight="1" x14ac:dyDescent="0.25">
      <c r="A318" s="61"/>
      <c r="B318" s="61"/>
      <c r="C318" s="61"/>
      <c r="D318" s="56"/>
      <c r="E318" s="56"/>
      <c r="F318" s="56"/>
      <c r="G318" s="56"/>
      <c r="H318" s="56"/>
      <c r="I318" s="56"/>
      <c r="J318" s="56"/>
      <c r="K318" s="56"/>
      <c r="L318" s="56"/>
      <c r="M318" s="56"/>
      <c r="N318" s="56"/>
      <c r="O318" s="56"/>
      <c r="P318" s="56"/>
      <c r="Q318" s="56"/>
      <c r="R318" s="56"/>
      <c r="S318" s="56"/>
      <c r="T318" s="56"/>
      <c r="U318" s="56"/>
      <c r="V318" s="56"/>
      <c r="W318" s="56"/>
      <c r="X318" s="56"/>
      <c r="Y318" s="56"/>
      <c r="Z318" s="56"/>
      <c r="AA318" s="56"/>
    </row>
    <row r="319" spans="1:27" ht="15.75" customHeight="1" x14ac:dyDescent="0.25">
      <c r="A319" s="61"/>
      <c r="B319" s="61"/>
      <c r="C319" s="61"/>
      <c r="D319" s="56"/>
      <c r="E319" s="56"/>
      <c r="F319" s="56"/>
      <c r="G319" s="56"/>
      <c r="H319" s="56"/>
      <c r="I319" s="56"/>
      <c r="J319" s="56"/>
      <c r="K319" s="56"/>
      <c r="L319" s="56"/>
      <c r="M319" s="56"/>
      <c r="N319" s="56"/>
      <c r="O319" s="56"/>
      <c r="P319" s="56"/>
      <c r="Q319" s="56"/>
      <c r="R319" s="56"/>
      <c r="S319" s="56"/>
      <c r="T319" s="56"/>
      <c r="U319" s="56"/>
      <c r="V319" s="56"/>
      <c r="W319" s="56"/>
      <c r="X319" s="56"/>
      <c r="Y319" s="56"/>
      <c r="Z319" s="56"/>
      <c r="AA319" s="56"/>
    </row>
    <row r="320" spans="1:27" ht="15.75" customHeight="1" x14ac:dyDescent="0.25">
      <c r="A320" s="61"/>
      <c r="B320" s="61"/>
      <c r="C320" s="61"/>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row>
    <row r="321" spans="1:27" ht="15.75" customHeight="1" x14ac:dyDescent="0.25">
      <c r="A321" s="61"/>
      <c r="B321" s="61"/>
      <c r="C321" s="61"/>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row>
    <row r="322" spans="1:27" ht="15.75" customHeight="1" x14ac:dyDescent="0.25">
      <c r="A322" s="61"/>
      <c r="B322" s="61"/>
      <c r="C322" s="61"/>
      <c r="D322" s="56"/>
      <c r="E322" s="56"/>
      <c r="F322" s="56"/>
      <c r="G322" s="56"/>
      <c r="H322" s="56"/>
      <c r="I322" s="56"/>
      <c r="J322" s="56"/>
      <c r="K322" s="56"/>
      <c r="L322" s="56"/>
      <c r="M322" s="56"/>
      <c r="N322" s="56"/>
      <c r="O322" s="56"/>
      <c r="P322" s="56"/>
      <c r="Q322" s="56"/>
      <c r="R322" s="56"/>
      <c r="S322" s="56"/>
      <c r="T322" s="56"/>
      <c r="U322" s="56"/>
      <c r="V322" s="56"/>
      <c r="W322" s="56"/>
      <c r="X322" s="56"/>
      <c r="Y322" s="56"/>
      <c r="Z322" s="56"/>
      <c r="AA322" s="56"/>
    </row>
    <row r="323" spans="1:27" ht="15.75" customHeight="1" x14ac:dyDescent="0.25">
      <c r="A323" s="61"/>
      <c r="B323" s="61"/>
      <c r="C323" s="61"/>
      <c r="D323" s="56"/>
      <c r="E323" s="56"/>
      <c r="F323" s="56"/>
      <c r="G323" s="56"/>
      <c r="H323" s="56"/>
      <c r="I323" s="56"/>
      <c r="J323" s="56"/>
      <c r="K323" s="56"/>
      <c r="L323" s="56"/>
      <c r="M323" s="56"/>
      <c r="N323" s="56"/>
      <c r="O323" s="56"/>
      <c r="P323" s="56"/>
      <c r="Q323" s="56"/>
      <c r="R323" s="56"/>
      <c r="S323" s="56"/>
      <c r="T323" s="56"/>
      <c r="U323" s="56"/>
      <c r="V323" s="56"/>
      <c r="W323" s="56"/>
      <c r="X323" s="56"/>
      <c r="Y323" s="56"/>
      <c r="Z323" s="56"/>
      <c r="AA323" s="56"/>
    </row>
    <row r="324" spans="1:27" ht="15.75" customHeight="1" x14ac:dyDescent="0.25">
      <c r="A324" s="61"/>
      <c r="B324" s="61"/>
      <c r="C324" s="61"/>
      <c r="D324" s="56"/>
      <c r="E324" s="56"/>
      <c r="F324" s="56"/>
      <c r="G324" s="56"/>
      <c r="H324" s="56"/>
      <c r="I324" s="56"/>
      <c r="J324" s="56"/>
      <c r="K324" s="56"/>
      <c r="L324" s="56"/>
      <c r="M324" s="56"/>
      <c r="N324" s="56"/>
      <c r="O324" s="56"/>
      <c r="P324" s="56"/>
      <c r="Q324" s="56"/>
      <c r="R324" s="56"/>
      <c r="S324" s="56"/>
      <c r="T324" s="56"/>
      <c r="U324" s="56"/>
      <c r="V324" s="56"/>
      <c r="W324" s="56"/>
      <c r="X324" s="56"/>
      <c r="Y324" s="56"/>
      <c r="Z324" s="56"/>
      <c r="AA324" s="56"/>
    </row>
    <row r="325" spans="1:27" ht="15.75" customHeight="1" x14ac:dyDescent="0.25">
      <c r="A325" s="61"/>
      <c r="B325" s="61"/>
      <c r="C325" s="61"/>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row>
    <row r="326" spans="1:27" ht="15.75" customHeight="1" x14ac:dyDescent="0.25">
      <c r="A326" s="61"/>
      <c r="B326" s="61"/>
      <c r="C326" s="61"/>
      <c r="D326" s="56"/>
      <c r="E326" s="56"/>
      <c r="F326" s="56"/>
      <c r="G326" s="56"/>
      <c r="H326" s="56"/>
      <c r="I326" s="56"/>
      <c r="J326" s="56"/>
      <c r="K326" s="56"/>
      <c r="L326" s="56"/>
      <c r="M326" s="56"/>
      <c r="N326" s="56"/>
      <c r="O326" s="56"/>
      <c r="P326" s="56"/>
      <c r="Q326" s="56"/>
      <c r="R326" s="56"/>
      <c r="S326" s="56"/>
      <c r="T326" s="56"/>
      <c r="U326" s="56"/>
      <c r="V326" s="56"/>
      <c r="W326" s="56"/>
      <c r="X326" s="56"/>
      <c r="Y326" s="56"/>
      <c r="Z326" s="56"/>
      <c r="AA326" s="56"/>
    </row>
    <row r="327" spans="1:27" ht="15.75" customHeight="1" x14ac:dyDescent="0.25">
      <c r="A327" s="61"/>
      <c r="B327" s="61"/>
      <c r="C327" s="61"/>
      <c r="D327" s="56"/>
      <c r="E327" s="56"/>
      <c r="F327" s="56"/>
      <c r="G327" s="56"/>
      <c r="H327" s="56"/>
      <c r="I327" s="56"/>
      <c r="J327" s="56"/>
      <c r="K327" s="56"/>
      <c r="L327" s="56"/>
      <c r="M327" s="56"/>
      <c r="N327" s="56"/>
      <c r="O327" s="56"/>
      <c r="P327" s="56"/>
      <c r="Q327" s="56"/>
      <c r="R327" s="56"/>
      <c r="S327" s="56"/>
      <c r="T327" s="56"/>
      <c r="U327" s="56"/>
      <c r="V327" s="56"/>
      <c r="W327" s="56"/>
      <c r="X327" s="56"/>
      <c r="Y327" s="56"/>
      <c r="Z327" s="56"/>
      <c r="AA327" s="56"/>
    </row>
    <row r="328" spans="1:27" ht="15.75" customHeight="1" x14ac:dyDescent="0.25">
      <c r="A328" s="61"/>
      <c r="B328" s="61"/>
      <c r="C328" s="61"/>
      <c r="D328" s="56"/>
      <c r="E328" s="56"/>
      <c r="F328" s="56"/>
      <c r="G328" s="56"/>
      <c r="H328" s="56"/>
      <c r="I328" s="56"/>
      <c r="J328" s="56"/>
      <c r="K328" s="56"/>
      <c r="L328" s="56"/>
      <c r="M328" s="56"/>
      <c r="N328" s="56"/>
      <c r="O328" s="56"/>
      <c r="P328" s="56"/>
      <c r="Q328" s="56"/>
      <c r="R328" s="56"/>
      <c r="S328" s="56"/>
      <c r="T328" s="56"/>
      <c r="U328" s="56"/>
      <c r="V328" s="56"/>
      <c r="W328" s="56"/>
      <c r="X328" s="56"/>
      <c r="Y328" s="56"/>
      <c r="Z328" s="56"/>
      <c r="AA328" s="56"/>
    </row>
    <row r="329" spans="1:27" ht="15.75" customHeight="1" x14ac:dyDescent="0.25">
      <c r="A329" s="61"/>
      <c r="B329" s="61"/>
      <c r="C329" s="61"/>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row>
    <row r="330" spans="1:27" ht="15.75" customHeight="1" x14ac:dyDescent="0.25">
      <c r="A330" s="61"/>
      <c r="B330" s="61"/>
      <c r="C330" s="61"/>
      <c r="D330" s="56"/>
      <c r="E330" s="56"/>
      <c r="F330" s="56"/>
      <c r="G330" s="56"/>
      <c r="H330" s="56"/>
      <c r="I330" s="56"/>
      <c r="J330" s="56"/>
      <c r="K330" s="56"/>
      <c r="L330" s="56"/>
      <c r="M330" s="56"/>
      <c r="N330" s="56"/>
      <c r="O330" s="56"/>
      <c r="P330" s="56"/>
      <c r="Q330" s="56"/>
      <c r="R330" s="56"/>
      <c r="S330" s="56"/>
      <c r="T330" s="56"/>
      <c r="U330" s="56"/>
      <c r="V330" s="56"/>
      <c r="W330" s="56"/>
      <c r="X330" s="56"/>
      <c r="Y330" s="56"/>
      <c r="Z330" s="56"/>
      <c r="AA330" s="56"/>
    </row>
    <row r="331" spans="1:27" ht="15.75" customHeight="1" x14ac:dyDescent="0.25">
      <c r="A331" s="61"/>
      <c r="B331" s="61"/>
      <c r="C331" s="61"/>
      <c r="D331" s="56"/>
      <c r="E331" s="56"/>
      <c r="F331" s="56"/>
      <c r="G331" s="56"/>
      <c r="H331" s="56"/>
      <c r="I331" s="56"/>
      <c r="J331" s="56"/>
      <c r="K331" s="56"/>
      <c r="L331" s="56"/>
      <c r="M331" s="56"/>
      <c r="N331" s="56"/>
      <c r="O331" s="56"/>
      <c r="P331" s="56"/>
      <c r="Q331" s="56"/>
      <c r="R331" s="56"/>
      <c r="S331" s="56"/>
      <c r="T331" s="56"/>
      <c r="U331" s="56"/>
      <c r="V331" s="56"/>
      <c r="W331" s="56"/>
      <c r="X331" s="56"/>
      <c r="Y331" s="56"/>
      <c r="Z331" s="56"/>
      <c r="AA331" s="56"/>
    </row>
    <row r="332" spans="1:27" ht="15.75" customHeight="1" x14ac:dyDescent="0.25">
      <c r="A332" s="61"/>
      <c r="B332" s="61"/>
      <c r="C332" s="61"/>
      <c r="D332" s="56"/>
      <c r="E332" s="56"/>
      <c r="F332" s="56"/>
      <c r="G332" s="56"/>
      <c r="H332" s="56"/>
      <c r="I332" s="56"/>
      <c r="J332" s="56"/>
      <c r="K332" s="56"/>
      <c r="L332" s="56"/>
      <c r="M332" s="56"/>
      <c r="N332" s="56"/>
      <c r="O332" s="56"/>
      <c r="P332" s="56"/>
      <c r="Q332" s="56"/>
      <c r="R332" s="56"/>
      <c r="S332" s="56"/>
      <c r="T332" s="56"/>
      <c r="U332" s="56"/>
      <c r="V332" s="56"/>
      <c r="W332" s="56"/>
      <c r="X332" s="56"/>
      <c r="Y332" s="56"/>
      <c r="Z332" s="56"/>
      <c r="AA332" s="56"/>
    </row>
    <row r="333" spans="1:27" ht="15.75" customHeight="1" x14ac:dyDescent="0.25">
      <c r="A333" s="61"/>
      <c r="B333" s="61"/>
      <c r="C333" s="61"/>
      <c r="D333" s="56"/>
      <c r="E333" s="56"/>
      <c r="F333" s="56"/>
      <c r="G333" s="56"/>
      <c r="H333" s="56"/>
      <c r="I333" s="56"/>
      <c r="J333" s="56"/>
      <c r="K333" s="56"/>
      <c r="L333" s="56"/>
      <c r="M333" s="56"/>
      <c r="N333" s="56"/>
      <c r="O333" s="56"/>
      <c r="P333" s="56"/>
      <c r="Q333" s="56"/>
      <c r="R333" s="56"/>
      <c r="S333" s="56"/>
      <c r="T333" s="56"/>
      <c r="U333" s="56"/>
      <c r="V333" s="56"/>
      <c r="W333" s="56"/>
      <c r="X333" s="56"/>
      <c r="Y333" s="56"/>
      <c r="Z333" s="56"/>
      <c r="AA333" s="56"/>
    </row>
    <row r="334" spans="1:27" ht="15.75" customHeight="1" x14ac:dyDescent="0.25">
      <c r="A334" s="61"/>
      <c r="B334" s="61"/>
      <c r="C334" s="61"/>
      <c r="D334" s="56"/>
      <c r="E334" s="56"/>
      <c r="F334" s="56"/>
      <c r="G334" s="56"/>
      <c r="H334" s="56"/>
      <c r="I334" s="56"/>
      <c r="J334" s="56"/>
      <c r="K334" s="56"/>
      <c r="L334" s="56"/>
      <c r="M334" s="56"/>
      <c r="N334" s="56"/>
      <c r="O334" s="56"/>
      <c r="P334" s="56"/>
      <c r="Q334" s="56"/>
      <c r="R334" s="56"/>
      <c r="S334" s="56"/>
      <c r="T334" s="56"/>
      <c r="U334" s="56"/>
      <c r="V334" s="56"/>
      <c r="W334" s="56"/>
      <c r="X334" s="56"/>
      <c r="Y334" s="56"/>
      <c r="Z334" s="56"/>
      <c r="AA334" s="56"/>
    </row>
    <row r="335" spans="1:27" ht="15.75" customHeight="1" x14ac:dyDescent="0.25">
      <c r="A335" s="61"/>
      <c r="B335" s="61"/>
      <c r="C335" s="61"/>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row>
    <row r="336" spans="1:27" ht="15.75" customHeight="1" x14ac:dyDescent="0.25">
      <c r="A336" s="61"/>
      <c r="B336" s="61"/>
      <c r="C336" s="61"/>
      <c r="D336" s="56"/>
      <c r="E336" s="56"/>
      <c r="F336" s="56"/>
      <c r="G336" s="56"/>
      <c r="H336" s="56"/>
      <c r="I336" s="56"/>
      <c r="J336" s="56"/>
      <c r="K336" s="56"/>
      <c r="L336" s="56"/>
      <c r="M336" s="56"/>
      <c r="N336" s="56"/>
      <c r="O336" s="56"/>
      <c r="P336" s="56"/>
      <c r="Q336" s="56"/>
      <c r="R336" s="56"/>
      <c r="S336" s="56"/>
      <c r="T336" s="56"/>
      <c r="U336" s="56"/>
      <c r="V336" s="56"/>
      <c r="W336" s="56"/>
      <c r="X336" s="56"/>
      <c r="Y336" s="56"/>
      <c r="Z336" s="56"/>
      <c r="AA336" s="56"/>
    </row>
    <row r="337" spans="1:27" ht="15.75" customHeight="1" x14ac:dyDescent="0.25">
      <c r="A337" s="61"/>
      <c r="B337" s="61"/>
      <c r="C337" s="61"/>
      <c r="D337" s="56"/>
      <c r="E337" s="56"/>
      <c r="F337" s="56"/>
      <c r="G337" s="56"/>
      <c r="H337" s="56"/>
      <c r="I337" s="56"/>
      <c r="J337" s="56"/>
      <c r="K337" s="56"/>
      <c r="L337" s="56"/>
      <c r="M337" s="56"/>
      <c r="N337" s="56"/>
      <c r="O337" s="56"/>
      <c r="P337" s="56"/>
      <c r="Q337" s="56"/>
      <c r="R337" s="56"/>
      <c r="S337" s="56"/>
      <c r="T337" s="56"/>
      <c r="U337" s="56"/>
      <c r="V337" s="56"/>
      <c r="W337" s="56"/>
      <c r="X337" s="56"/>
      <c r="Y337" s="56"/>
      <c r="Z337" s="56"/>
      <c r="AA337" s="56"/>
    </row>
    <row r="338" spans="1:27" ht="15.75" customHeight="1" x14ac:dyDescent="0.25">
      <c r="A338" s="61"/>
      <c r="B338" s="61"/>
      <c r="C338" s="61"/>
      <c r="D338" s="56"/>
      <c r="E338" s="56"/>
      <c r="F338" s="56"/>
      <c r="G338" s="56"/>
      <c r="H338" s="56"/>
      <c r="I338" s="56"/>
      <c r="J338" s="56"/>
      <c r="K338" s="56"/>
      <c r="L338" s="56"/>
      <c r="M338" s="56"/>
      <c r="N338" s="56"/>
      <c r="O338" s="56"/>
      <c r="P338" s="56"/>
      <c r="Q338" s="56"/>
      <c r="R338" s="56"/>
      <c r="S338" s="56"/>
      <c r="T338" s="56"/>
      <c r="U338" s="56"/>
      <c r="V338" s="56"/>
      <c r="W338" s="56"/>
      <c r="X338" s="56"/>
      <c r="Y338" s="56"/>
      <c r="Z338" s="56"/>
      <c r="AA338" s="56"/>
    </row>
    <row r="339" spans="1:27" ht="15.75" customHeight="1" x14ac:dyDescent="0.25">
      <c r="A339" s="61"/>
      <c r="B339" s="61"/>
      <c r="C339" s="61"/>
      <c r="D339" s="56"/>
      <c r="E339" s="56"/>
      <c r="F339" s="56"/>
      <c r="G339" s="56"/>
      <c r="H339" s="56"/>
      <c r="I339" s="56"/>
      <c r="J339" s="56"/>
      <c r="K339" s="56"/>
      <c r="L339" s="56"/>
      <c r="M339" s="56"/>
      <c r="N339" s="56"/>
      <c r="O339" s="56"/>
      <c r="P339" s="56"/>
      <c r="Q339" s="56"/>
      <c r="R339" s="56"/>
      <c r="S339" s="56"/>
      <c r="T339" s="56"/>
      <c r="U339" s="56"/>
      <c r="V339" s="56"/>
      <c r="W339" s="56"/>
      <c r="X339" s="56"/>
      <c r="Y339" s="56"/>
      <c r="Z339" s="56"/>
      <c r="AA339" s="56"/>
    </row>
    <row r="340" spans="1:27" ht="15.75" customHeight="1" x14ac:dyDescent="0.25">
      <c r="A340" s="61"/>
      <c r="B340" s="61"/>
      <c r="C340" s="61"/>
      <c r="D340" s="56"/>
      <c r="E340" s="56"/>
      <c r="F340" s="56"/>
      <c r="G340" s="56"/>
      <c r="H340" s="56"/>
      <c r="I340" s="56"/>
      <c r="J340" s="56"/>
      <c r="K340" s="56"/>
      <c r="L340" s="56"/>
      <c r="M340" s="56"/>
      <c r="N340" s="56"/>
      <c r="O340" s="56"/>
      <c r="P340" s="56"/>
      <c r="Q340" s="56"/>
      <c r="R340" s="56"/>
      <c r="S340" s="56"/>
      <c r="T340" s="56"/>
      <c r="U340" s="56"/>
      <c r="V340" s="56"/>
      <c r="W340" s="56"/>
      <c r="X340" s="56"/>
      <c r="Y340" s="56"/>
      <c r="Z340" s="56"/>
      <c r="AA340" s="56"/>
    </row>
    <row r="341" spans="1:27" ht="15.75" customHeight="1" x14ac:dyDescent="0.25">
      <c r="A341" s="61"/>
      <c r="B341" s="61"/>
      <c r="C341" s="61"/>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row>
    <row r="342" spans="1:27" ht="15.75" customHeight="1" x14ac:dyDescent="0.25">
      <c r="A342" s="61"/>
      <c r="B342" s="61"/>
      <c r="C342" s="61"/>
      <c r="D342" s="56"/>
      <c r="E342" s="56"/>
      <c r="F342" s="56"/>
      <c r="G342" s="56"/>
      <c r="H342" s="56"/>
      <c r="I342" s="56"/>
      <c r="J342" s="56"/>
      <c r="K342" s="56"/>
      <c r="L342" s="56"/>
      <c r="M342" s="56"/>
      <c r="N342" s="56"/>
      <c r="O342" s="56"/>
      <c r="P342" s="56"/>
      <c r="Q342" s="56"/>
      <c r="R342" s="56"/>
      <c r="S342" s="56"/>
      <c r="T342" s="56"/>
      <c r="U342" s="56"/>
      <c r="V342" s="56"/>
      <c r="W342" s="56"/>
      <c r="X342" s="56"/>
      <c r="Y342" s="56"/>
      <c r="Z342" s="56"/>
      <c r="AA342" s="56"/>
    </row>
    <row r="343" spans="1:27" ht="15.75" customHeight="1" x14ac:dyDescent="0.25">
      <c r="A343" s="61"/>
      <c r="B343" s="61"/>
      <c r="C343" s="61"/>
      <c r="D343" s="56"/>
      <c r="E343" s="56"/>
      <c r="F343" s="56"/>
      <c r="G343" s="56"/>
      <c r="H343" s="56"/>
      <c r="I343" s="56"/>
      <c r="J343" s="56"/>
      <c r="K343" s="56"/>
      <c r="L343" s="56"/>
      <c r="M343" s="56"/>
      <c r="N343" s="56"/>
      <c r="O343" s="56"/>
      <c r="P343" s="56"/>
      <c r="Q343" s="56"/>
      <c r="R343" s="56"/>
      <c r="S343" s="56"/>
      <c r="T343" s="56"/>
      <c r="U343" s="56"/>
      <c r="V343" s="56"/>
      <c r="W343" s="56"/>
      <c r="X343" s="56"/>
      <c r="Y343" s="56"/>
      <c r="Z343" s="56"/>
      <c r="AA343" s="56"/>
    </row>
    <row r="344" spans="1:27" ht="15.75" customHeight="1" x14ac:dyDescent="0.25">
      <c r="A344" s="61"/>
      <c r="B344" s="61"/>
      <c r="C344" s="61"/>
      <c r="D344" s="56"/>
      <c r="E344" s="56"/>
      <c r="F344" s="56"/>
      <c r="G344" s="56"/>
      <c r="H344" s="56"/>
      <c r="I344" s="56"/>
      <c r="J344" s="56"/>
      <c r="K344" s="56"/>
      <c r="L344" s="56"/>
      <c r="M344" s="56"/>
      <c r="N344" s="56"/>
      <c r="O344" s="56"/>
      <c r="P344" s="56"/>
      <c r="Q344" s="56"/>
      <c r="R344" s="56"/>
      <c r="S344" s="56"/>
      <c r="T344" s="56"/>
      <c r="U344" s="56"/>
      <c r="V344" s="56"/>
      <c r="W344" s="56"/>
      <c r="X344" s="56"/>
      <c r="Y344" s="56"/>
      <c r="Z344" s="56"/>
      <c r="AA344" s="56"/>
    </row>
    <row r="345" spans="1:27" ht="15.75" customHeight="1" x14ac:dyDescent="0.25">
      <c r="A345" s="61"/>
      <c r="B345" s="61"/>
      <c r="C345" s="61"/>
      <c r="D345" s="56"/>
      <c r="E345" s="56"/>
      <c r="F345" s="56"/>
      <c r="G345" s="56"/>
      <c r="H345" s="56"/>
      <c r="I345" s="56"/>
      <c r="J345" s="56"/>
      <c r="K345" s="56"/>
      <c r="L345" s="56"/>
      <c r="M345" s="56"/>
      <c r="N345" s="56"/>
      <c r="O345" s="56"/>
      <c r="P345" s="56"/>
      <c r="Q345" s="56"/>
      <c r="R345" s="56"/>
      <c r="S345" s="56"/>
      <c r="T345" s="56"/>
      <c r="U345" s="56"/>
      <c r="V345" s="56"/>
      <c r="W345" s="56"/>
      <c r="X345" s="56"/>
      <c r="Y345" s="56"/>
      <c r="Z345" s="56"/>
      <c r="AA345" s="56"/>
    </row>
    <row r="346" spans="1:27" ht="15.75" customHeight="1" x14ac:dyDescent="0.25">
      <c r="A346" s="61"/>
      <c r="B346" s="61"/>
      <c r="C346" s="61"/>
      <c r="D346" s="56"/>
      <c r="E346" s="56"/>
      <c r="F346" s="56"/>
      <c r="G346" s="56"/>
      <c r="H346" s="56"/>
      <c r="I346" s="56"/>
      <c r="J346" s="56"/>
      <c r="K346" s="56"/>
      <c r="L346" s="56"/>
      <c r="M346" s="56"/>
      <c r="N346" s="56"/>
      <c r="O346" s="56"/>
      <c r="P346" s="56"/>
      <c r="Q346" s="56"/>
      <c r="R346" s="56"/>
      <c r="S346" s="56"/>
      <c r="T346" s="56"/>
      <c r="U346" s="56"/>
      <c r="V346" s="56"/>
      <c r="W346" s="56"/>
      <c r="X346" s="56"/>
      <c r="Y346" s="56"/>
      <c r="Z346" s="56"/>
      <c r="AA346" s="56"/>
    </row>
    <row r="347" spans="1:27" ht="15.75" customHeight="1" x14ac:dyDescent="0.25">
      <c r="A347" s="61"/>
      <c r="B347" s="61"/>
      <c r="C347" s="61"/>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row>
    <row r="348" spans="1:27" ht="15.75" customHeight="1" x14ac:dyDescent="0.25">
      <c r="A348" s="61"/>
      <c r="B348" s="61"/>
      <c r="C348" s="61"/>
      <c r="D348" s="56"/>
      <c r="E348" s="56"/>
      <c r="F348" s="56"/>
      <c r="G348" s="56"/>
      <c r="H348" s="56"/>
      <c r="I348" s="56"/>
      <c r="J348" s="56"/>
      <c r="K348" s="56"/>
      <c r="L348" s="56"/>
      <c r="M348" s="56"/>
      <c r="N348" s="56"/>
      <c r="O348" s="56"/>
      <c r="P348" s="56"/>
      <c r="Q348" s="56"/>
      <c r="R348" s="56"/>
      <c r="S348" s="56"/>
      <c r="T348" s="56"/>
      <c r="U348" s="56"/>
      <c r="V348" s="56"/>
      <c r="W348" s="56"/>
      <c r="X348" s="56"/>
      <c r="Y348" s="56"/>
      <c r="Z348" s="56"/>
      <c r="AA348" s="56"/>
    </row>
    <row r="349" spans="1:27" ht="15.75" customHeight="1" x14ac:dyDescent="0.25">
      <c r="A349" s="61"/>
      <c r="B349" s="61"/>
      <c r="C349" s="61"/>
      <c r="D349" s="56"/>
      <c r="E349" s="56"/>
      <c r="F349" s="56"/>
      <c r="G349" s="56"/>
      <c r="H349" s="56"/>
      <c r="I349" s="56"/>
      <c r="J349" s="56"/>
      <c r="K349" s="56"/>
      <c r="L349" s="56"/>
      <c r="M349" s="56"/>
      <c r="N349" s="56"/>
      <c r="O349" s="56"/>
      <c r="P349" s="56"/>
      <c r="Q349" s="56"/>
      <c r="R349" s="56"/>
      <c r="S349" s="56"/>
      <c r="T349" s="56"/>
      <c r="U349" s="56"/>
      <c r="V349" s="56"/>
      <c r="W349" s="56"/>
      <c r="X349" s="56"/>
      <c r="Y349" s="56"/>
      <c r="Z349" s="56"/>
      <c r="AA349" s="56"/>
    </row>
    <row r="350" spans="1:27" ht="15.75" customHeight="1" x14ac:dyDescent="0.25">
      <c r="A350" s="61"/>
      <c r="B350" s="61"/>
      <c r="C350" s="61"/>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row>
    <row r="351" spans="1:27" ht="15.75" customHeight="1" x14ac:dyDescent="0.25">
      <c r="A351" s="61"/>
      <c r="B351" s="61"/>
      <c r="C351" s="61"/>
      <c r="D351" s="56"/>
      <c r="E351" s="56"/>
      <c r="F351" s="56"/>
      <c r="G351" s="56"/>
      <c r="H351" s="56"/>
      <c r="I351" s="56"/>
      <c r="J351" s="56"/>
      <c r="K351" s="56"/>
      <c r="L351" s="56"/>
      <c r="M351" s="56"/>
      <c r="N351" s="56"/>
      <c r="O351" s="56"/>
      <c r="P351" s="56"/>
      <c r="Q351" s="56"/>
      <c r="R351" s="56"/>
      <c r="S351" s="56"/>
      <c r="T351" s="56"/>
      <c r="U351" s="56"/>
      <c r="V351" s="56"/>
      <c r="W351" s="56"/>
      <c r="X351" s="56"/>
      <c r="Y351" s="56"/>
      <c r="Z351" s="56"/>
      <c r="AA351" s="56"/>
    </row>
    <row r="352" spans="1:27" ht="15.75" customHeight="1" x14ac:dyDescent="0.25">
      <c r="A352" s="61"/>
      <c r="B352" s="61"/>
      <c r="C352" s="61"/>
      <c r="D352" s="56"/>
      <c r="E352" s="56"/>
      <c r="F352" s="56"/>
      <c r="G352" s="56"/>
      <c r="H352" s="56"/>
      <c r="I352" s="56"/>
      <c r="J352" s="56"/>
      <c r="K352" s="56"/>
      <c r="L352" s="56"/>
      <c r="M352" s="56"/>
      <c r="N352" s="56"/>
      <c r="O352" s="56"/>
      <c r="P352" s="56"/>
      <c r="Q352" s="56"/>
      <c r="R352" s="56"/>
      <c r="S352" s="56"/>
      <c r="T352" s="56"/>
      <c r="U352" s="56"/>
      <c r="V352" s="56"/>
      <c r="W352" s="56"/>
      <c r="X352" s="56"/>
      <c r="Y352" s="56"/>
      <c r="Z352" s="56"/>
      <c r="AA352" s="56"/>
    </row>
    <row r="353" spans="1:27" ht="15.75" customHeight="1" x14ac:dyDescent="0.25">
      <c r="A353" s="61"/>
      <c r="B353" s="61"/>
      <c r="C353" s="61"/>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row>
    <row r="354" spans="1:27" ht="15.75" customHeight="1" x14ac:dyDescent="0.25">
      <c r="A354" s="61"/>
      <c r="B354" s="61"/>
      <c r="C354" s="61"/>
      <c r="D354" s="56"/>
      <c r="E354" s="56"/>
      <c r="F354" s="56"/>
      <c r="G354" s="56"/>
      <c r="H354" s="56"/>
      <c r="I354" s="56"/>
      <c r="J354" s="56"/>
      <c r="K354" s="56"/>
      <c r="L354" s="56"/>
      <c r="M354" s="56"/>
      <c r="N354" s="56"/>
      <c r="O354" s="56"/>
      <c r="P354" s="56"/>
      <c r="Q354" s="56"/>
      <c r="R354" s="56"/>
      <c r="S354" s="56"/>
      <c r="T354" s="56"/>
      <c r="U354" s="56"/>
      <c r="V354" s="56"/>
      <c r="W354" s="56"/>
      <c r="X354" s="56"/>
      <c r="Y354" s="56"/>
      <c r="Z354" s="56"/>
      <c r="AA354" s="56"/>
    </row>
    <row r="355" spans="1:27" ht="15.75" customHeight="1" x14ac:dyDescent="0.25">
      <c r="A355" s="61"/>
      <c r="B355" s="61"/>
      <c r="C355" s="61"/>
      <c r="D355" s="56"/>
      <c r="E355" s="56"/>
      <c r="F355" s="56"/>
      <c r="G355" s="56"/>
      <c r="H355" s="56"/>
      <c r="I355" s="56"/>
      <c r="J355" s="56"/>
      <c r="K355" s="56"/>
      <c r="L355" s="56"/>
      <c r="M355" s="56"/>
      <c r="N355" s="56"/>
      <c r="O355" s="56"/>
      <c r="P355" s="56"/>
      <c r="Q355" s="56"/>
      <c r="R355" s="56"/>
      <c r="S355" s="56"/>
      <c r="T355" s="56"/>
      <c r="U355" s="56"/>
      <c r="V355" s="56"/>
      <c r="W355" s="56"/>
      <c r="X355" s="56"/>
      <c r="Y355" s="56"/>
      <c r="Z355" s="56"/>
      <c r="AA355" s="56"/>
    </row>
    <row r="356" spans="1:27" ht="15.75" customHeight="1" x14ac:dyDescent="0.25">
      <c r="A356" s="61"/>
      <c r="B356" s="61"/>
      <c r="C356" s="61"/>
      <c r="D356" s="56"/>
      <c r="E356" s="56"/>
      <c r="F356" s="56"/>
      <c r="G356" s="56"/>
      <c r="H356" s="56"/>
      <c r="I356" s="56"/>
      <c r="J356" s="56"/>
      <c r="K356" s="56"/>
      <c r="L356" s="56"/>
      <c r="M356" s="56"/>
      <c r="N356" s="56"/>
      <c r="O356" s="56"/>
      <c r="P356" s="56"/>
      <c r="Q356" s="56"/>
      <c r="R356" s="56"/>
      <c r="S356" s="56"/>
      <c r="T356" s="56"/>
      <c r="U356" s="56"/>
      <c r="V356" s="56"/>
      <c r="W356" s="56"/>
      <c r="X356" s="56"/>
      <c r="Y356" s="56"/>
      <c r="Z356" s="56"/>
      <c r="AA356" s="56"/>
    </row>
    <row r="357" spans="1:27" ht="15.75" customHeight="1" x14ac:dyDescent="0.25">
      <c r="A357" s="61"/>
      <c r="B357" s="61"/>
      <c r="C357" s="61"/>
      <c r="D357" s="56"/>
      <c r="E357" s="56"/>
      <c r="F357" s="56"/>
      <c r="G357" s="56"/>
      <c r="H357" s="56"/>
      <c r="I357" s="56"/>
      <c r="J357" s="56"/>
      <c r="K357" s="56"/>
      <c r="L357" s="56"/>
      <c r="M357" s="56"/>
      <c r="N357" s="56"/>
      <c r="O357" s="56"/>
      <c r="P357" s="56"/>
      <c r="Q357" s="56"/>
      <c r="R357" s="56"/>
      <c r="S357" s="56"/>
      <c r="T357" s="56"/>
      <c r="U357" s="56"/>
      <c r="V357" s="56"/>
      <c r="W357" s="56"/>
      <c r="X357" s="56"/>
      <c r="Y357" s="56"/>
      <c r="Z357" s="56"/>
      <c r="AA357" s="56"/>
    </row>
    <row r="358" spans="1:27" ht="15.75" customHeight="1" x14ac:dyDescent="0.25">
      <c r="A358" s="61"/>
      <c r="B358" s="61"/>
      <c r="C358" s="61"/>
      <c r="D358" s="56"/>
      <c r="E358" s="56"/>
      <c r="F358" s="56"/>
      <c r="G358" s="56"/>
      <c r="H358" s="56"/>
      <c r="I358" s="56"/>
      <c r="J358" s="56"/>
      <c r="K358" s="56"/>
      <c r="L358" s="56"/>
      <c r="M358" s="56"/>
      <c r="N358" s="56"/>
      <c r="O358" s="56"/>
      <c r="P358" s="56"/>
      <c r="Q358" s="56"/>
      <c r="R358" s="56"/>
      <c r="S358" s="56"/>
      <c r="T358" s="56"/>
      <c r="U358" s="56"/>
      <c r="V358" s="56"/>
      <c r="W358" s="56"/>
      <c r="X358" s="56"/>
      <c r="Y358" s="56"/>
      <c r="Z358" s="56"/>
      <c r="AA358" s="56"/>
    </row>
    <row r="359" spans="1:27" ht="15.75" customHeight="1" x14ac:dyDescent="0.25">
      <c r="A359" s="61"/>
      <c r="B359" s="61"/>
      <c r="C359" s="61"/>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row>
    <row r="360" spans="1:27" ht="15.75" customHeight="1" x14ac:dyDescent="0.25">
      <c r="A360" s="61"/>
      <c r="B360" s="61"/>
      <c r="C360" s="61"/>
      <c r="D360" s="56"/>
      <c r="E360" s="56"/>
      <c r="F360" s="56"/>
      <c r="G360" s="56"/>
      <c r="H360" s="56"/>
      <c r="I360" s="56"/>
      <c r="J360" s="56"/>
      <c r="K360" s="56"/>
      <c r="L360" s="56"/>
      <c r="M360" s="56"/>
      <c r="N360" s="56"/>
      <c r="O360" s="56"/>
      <c r="P360" s="56"/>
      <c r="Q360" s="56"/>
      <c r="R360" s="56"/>
      <c r="S360" s="56"/>
      <c r="T360" s="56"/>
      <c r="U360" s="56"/>
      <c r="V360" s="56"/>
      <c r="W360" s="56"/>
      <c r="X360" s="56"/>
      <c r="Y360" s="56"/>
      <c r="Z360" s="56"/>
      <c r="AA360" s="56"/>
    </row>
    <row r="361" spans="1:27" ht="15.75" customHeight="1" x14ac:dyDescent="0.25">
      <c r="A361" s="61"/>
      <c r="B361" s="61"/>
      <c r="C361" s="61"/>
      <c r="D361" s="56"/>
      <c r="E361" s="56"/>
      <c r="F361" s="56"/>
      <c r="G361" s="56"/>
      <c r="H361" s="56"/>
      <c r="I361" s="56"/>
      <c r="J361" s="56"/>
      <c r="K361" s="56"/>
      <c r="L361" s="56"/>
      <c r="M361" s="56"/>
      <c r="N361" s="56"/>
      <c r="O361" s="56"/>
      <c r="P361" s="56"/>
      <c r="Q361" s="56"/>
      <c r="R361" s="56"/>
      <c r="S361" s="56"/>
      <c r="T361" s="56"/>
      <c r="U361" s="56"/>
      <c r="V361" s="56"/>
      <c r="W361" s="56"/>
      <c r="X361" s="56"/>
      <c r="Y361" s="56"/>
      <c r="Z361" s="56"/>
      <c r="AA361" s="56"/>
    </row>
    <row r="362" spans="1:27" ht="15.75" customHeight="1" x14ac:dyDescent="0.25">
      <c r="A362" s="61"/>
      <c r="B362" s="61"/>
      <c r="C362" s="61"/>
      <c r="D362" s="56"/>
      <c r="E362" s="56"/>
      <c r="F362" s="56"/>
      <c r="G362" s="56"/>
      <c r="H362" s="56"/>
      <c r="I362" s="56"/>
      <c r="J362" s="56"/>
      <c r="K362" s="56"/>
      <c r="L362" s="56"/>
      <c r="M362" s="56"/>
      <c r="N362" s="56"/>
      <c r="O362" s="56"/>
      <c r="P362" s="56"/>
      <c r="Q362" s="56"/>
      <c r="R362" s="56"/>
      <c r="S362" s="56"/>
      <c r="T362" s="56"/>
      <c r="U362" s="56"/>
      <c r="V362" s="56"/>
      <c r="W362" s="56"/>
      <c r="X362" s="56"/>
      <c r="Y362" s="56"/>
      <c r="Z362" s="56"/>
      <c r="AA362" s="56"/>
    </row>
    <row r="363" spans="1:27" ht="15.75" customHeight="1" x14ac:dyDescent="0.25">
      <c r="A363" s="61"/>
      <c r="B363" s="61"/>
      <c r="C363" s="61"/>
      <c r="D363" s="56"/>
      <c r="E363" s="56"/>
      <c r="F363" s="56"/>
      <c r="G363" s="56"/>
      <c r="H363" s="56"/>
      <c r="I363" s="56"/>
      <c r="J363" s="56"/>
      <c r="K363" s="56"/>
      <c r="L363" s="56"/>
      <c r="M363" s="56"/>
      <c r="N363" s="56"/>
      <c r="O363" s="56"/>
      <c r="P363" s="56"/>
      <c r="Q363" s="56"/>
      <c r="R363" s="56"/>
      <c r="S363" s="56"/>
      <c r="T363" s="56"/>
      <c r="U363" s="56"/>
      <c r="V363" s="56"/>
      <c r="W363" s="56"/>
      <c r="X363" s="56"/>
      <c r="Y363" s="56"/>
      <c r="Z363" s="56"/>
      <c r="AA363" s="56"/>
    </row>
    <row r="364" spans="1:27" ht="15.75" customHeight="1" x14ac:dyDescent="0.25">
      <c r="A364" s="61"/>
      <c r="B364" s="61"/>
      <c r="C364" s="61"/>
      <c r="D364" s="56"/>
      <c r="E364" s="56"/>
      <c r="F364" s="56"/>
      <c r="G364" s="56"/>
      <c r="H364" s="56"/>
      <c r="I364" s="56"/>
      <c r="J364" s="56"/>
      <c r="K364" s="56"/>
      <c r="L364" s="56"/>
      <c r="M364" s="56"/>
      <c r="N364" s="56"/>
      <c r="O364" s="56"/>
      <c r="P364" s="56"/>
      <c r="Q364" s="56"/>
      <c r="R364" s="56"/>
      <c r="S364" s="56"/>
      <c r="T364" s="56"/>
      <c r="U364" s="56"/>
      <c r="V364" s="56"/>
      <c r="W364" s="56"/>
      <c r="X364" s="56"/>
      <c r="Y364" s="56"/>
      <c r="Z364" s="56"/>
      <c r="AA364" s="56"/>
    </row>
    <row r="365" spans="1:27" ht="15.75" customHeight="1" x14ac:dyDescent="0.25">
      <c r="A365" s="61"/>
      <c r="B365" s="61"/>
      <c r="C365" s="61"/>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row>
    <row r="366" spans="1:27" ht="15.75" customHeight="1" x14ac:dyDescent="0.25">
      <c r="A366" s="61"/>
      <c r="B366" s="61"/>
      <c r="C366" s="61"/>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row>
    <row r="367" spans="1:27" ht="15.75" customHeight="1" x14ac:dyDescent="0.25">
      <c r="A367" s="61"/>
      <c r="B367" s="61"/>
      <c r="C367" s="61"/>
      <c r="D367" s="56"/>
      <c r="E367" s="56"/>
      <c r="F367" s="56"/>
      <c r="G367" s="56"/>
      <c r="H367" s="56"/>
      <c r="I367" s="56"/>
      <c r="J367" s="56"/>
      <c r="K367" s="56"/>
      <c r="L367" s="56"/>
      <c r="M367" s="56"/>
      <c r="N367" s="56"/>
      <c r="O367" s="56"/>
      <c r="P367" s="56"/>
      <c r="Q367" s="56"/>
      <c r="R367" s="56"/>
      <c r="S367" s="56"/>
      <c r="T367" s="56"/>
      <c r="U367" s="56"/>
      <c r="V367" s="56"/>
      <c r="W367" s="56"/>
      <c r="X367" s="56"/>
      <c r="Y367" s="56"/>
      <c r="Z367" s="56"/>
      <c r="AA367" s="56"/>
    </row>
    <row r="368" spans="1:27" ht="15.75" customHeight="1" x14ac:dyDescent="0.25">
      <c r="A368" s="61"/>
      <c r="B368" s="61"/>
      <c r="C368" s="61"/>
      <c r="D368" s="56"/>
      <c r="E368" s="56"/>
      <c r="F368" s="56"/>
      <c r="G368" s="56"/>
      <c r="H368" s="56"/>
      <c r="I368" s="56"/>
      <c r="J368" s="56"/>
      <c r="K368" s="56"/>
      <c r="L368" s="56"/>
      <c r="M368" s="56"/>
      <c r="N368" s="56"/>
      <c r="O368" s="56"/>
      <c r="P368" s="56"/>
      <c r="Q368" s="56"/>
      <c r="R368" s="56"/>
      <c r="S368" s="56"/>
      <c r="T368" s="56"/>
      <c r="U368" s="56"/>
      <c r="V368" s="56"/>
      <c r="W368" s="56"/>
      <c r="X368" s="56"/>
      <c r="Y368" s="56"/>
      <c r="Z368" s="56"/>
      <c r="AA368" s="56"/>
    </row>
    <row r="369" spans="1:27" ht="15.75" customHeight="1" x14ac:dyDescent="0.25">
      <c r="A369" s="61"/>
      <c r="B369" s="61"/>
      <c r="C369" s="61"/>
      <c r="D369" s="56"/>
      <c r="E369" s="56"/>
      <c r="F369" s="56"/>
      <c r="G369" s="56"/>
      <c r="H369" s="56"/>
      <c r="I369" s="56"/>
      <c r="J369" s="56"/>
      <c r="K369" s="56"/>
      <c r="L369" s="56"/>
      <c r="M369" s="56"/>
      <c r="N369" s="56"/>
      <c r="O369" s="56"/>
      <c r="P369" s="56"/>
      <c r="Q369" s="56"/>
      <c r="R369" s="56"/>
      <c r="S369" s="56"/>
      <c r="T369" s="56"/>
      <c r="U369" s="56"/>
      <c r="V369" s="56"/>
      <c r="W369" s="56"/>
      <c r="X369" s="56"/>
      <c r="Y369" s="56"/>
      <c r="Z369" s="56"/>
      <c r="AA369" s="56"/>
    </row>
    <row r="370" spans="1:27" ht="15.75" customHeight="1" x14ac:dyDescent="0.25">
      <c r="A370" s="61"/>
      <c r="B370" s="61"/>
      <c r="C370" s="61"/>
      <c r="D370" s="56"/>
      <c r="E370" s="56"/>
      <c r="F370" s="56"/>
      <c r="G370" s="56"/>
      <c r="H370" s="56"/>
      <c r="I370" s="56"/>
      <c r="J370" s="56"/>
      <c r="K370" s="56"/>
      <c r="L370" s="56"/>
      <c r="M370" s="56"/>
      <c r="N370" s="56"/>
      <c r="O370" s="56"/>
      <c r="P370" s="56"/>
      <c r="Q370" s="56"/>
      <c r="R370" s="56"/>
      <c r="S370" s="56"/>
      <c r="T370" s="56"/>
      <c r="U370" s="56"/>
      <c r="V370" s="56"/>
      <c r="W370" s="56"/>
      <c r="X370" s="56"/>
      <c r="Y370" s="56"/>
      <c r="Z370" s="56"/>
      <c r="AA370" s="56"/>
    </row>
    <row r="371" spans="1:27" ht="15.75" customHeight="1" x14ac:dyDescent="0.25">
      <c r="A371" s="61"/>
      <c r="B371" s="61"/>
      <c r="C371" s="61"/>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row>
    <row r="372" spans="1:27" ht="15.75" customHeight="1" x14ac:dyDescent="0.25">
      <c r="A372" s="61"/>
      <c r="B372" s="61"/>
      <c r="C372" s="61"/>
      <c r="D372" s="56"/>
      <c r="E372" s="56"/>
      <c r="F372" s="56"/>
      <c r="G372" s="56"/>
      <c r="H372" s="56"/>
      <c r="I372" s="56"/>
      <c r="J372" s="56"/>
      <c r="K372" s="56"/>
      <c r="L372" s="56"/>
      <c r="M372" s="56"/>
      <c r="N372" s="56"/>
      <c r="O372" s="56"/>
      <c r="P372" s="56"/>
      <c r="Q372" s="56"/>
      <c r="R372" s="56"/>
      <c r="S372" s="56"/>
      <c r="T372" s="56"/>
      <c r="U372" s="56"/>
      <c r="V372" s="56"/>
      <c r="W372" s="56"/>
      <c r="X372" s="56"/>
      <c r="Y372" s="56"/>
      <c r="Z372" s="56"/>
      <c r="AA372" s="56"/>
    </row>
    <row r="373" spans="1:27" ht="15.75" customHeight="1" x14ac:dyDescent="0.25">
      <c r="A373" s="61"/>
      <c r="B373" s="61"/>
      <c r="C373" s="61"/>
      <c r="D373" s="56"/>
      <c r="E373" s="56"/>
      <c r="F373" s="56"/>
      <c r="G373" s="56"/>
      <c r="H373" s="56"/>
      <c r="I373" s="56"/>
      <c r="J373" s="56"/>
      <c r="K373" s="56"/>
      <c r="L373" s="56"/>
      <c r="M373" s="56"/>
      <c r="N373" s="56"/>
      <c r="O373" s="56"/>
      <c r="P373" s="56"/>
      <c r="Q373" s="56"/>
      <c r="R373" s="56"/>
      <c r="S373" s="56"/>
      <c r="T373" s="56"/>
      <c r="U373" s="56"/>
      <c r="V373" s="56"/>
      <c r="W373" s="56"/>
      <c r="X373" s="56"/>
      <c r="Y373" s="56"/>
      <c r="Z373" s="56"/>
      <c r="AA373" s="56"/>
    </row>
    <row r="374" spans="1:27" ht="15.75" customHeight="1" x14ac:dyDescent="0.25">
      <c r="A374" s="61"/>
      <c r="B374" s="61"/>
      <c r="C374" s="61"/>
      <c r="D374" s="56"/>
      <c r="E374" s="56"/>
      <c r="F374" s="56"/>
      <c r="G374" s="56"/>
      <c r="H374" s="56"/>
      <c r="I374" s="56"/>
      <c r="J374" s="56"/>
      <c r="K374" s="56"/>
      <c r="L374" s="56"/>
      <c r="M374" s="56"/>
      <c r="N374" s="56"/>
      <c r="O374" s="56"/>
      <c r="P374" s="56"/>
      <c r="Q374" s="56"/>
      <c r="R374" s="56"/>
      <c r="S374" s="56"/>
      <c r="T374" s="56"/>
      <c r="U374" s="56"/>
      <c r="V374" s="56"/>
      <c r="W374" s="56"/>
      <c r="X374" s="56"/>
      <c r="Y374" s="56"/>
      <c r="Z374" s="56"/>
      <c r="AA374" s="56"/>
    </row>
    <row r="375" spans="1:27" ht="15.75" customHeight="1" x14ac:dyDescent="0.25">
      <c r="A375" s="61"/>
      <c r="B375" s="61"/>
      <c r="C375" s="61"/>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row>
    <row r="376" spans="1:27" ht="15.75" customHeight="1" x14ac:dyDescent="0.25">
      <c r="A376" s="61"/>
      <c r="B376" s="61"/>
      <c r="C376" s="61"/>
      <c r="D376" s="56"/>
      <c r="E376" s="56"/>
      <c r="F376" s="56"/>
      <c r="G376" s="56"/>
      <c r="H376" s="56"/>
      <c r="I376" s="56"/>
      <c r="J376" s="56"/>
      <c r="K376" s="56"/>
      <c r="L376" s="56"/>
      <c r="M376" s="56"/>
      <c r="N376" s="56"/>
      <c r="O376" s="56"/>
      <c r="P376" s="56"/>
      <c r="Q376" s="56"/>
      <c r="R376" s="56"/>
      <c r="S376" s="56"/>
      <c r="T376" s="56"/>
      <c r="U376" s="56"/>
      <c r="V376" s="56"/>
      <c r="W376" s="56"/>
      <c r="X376" s="56"/>
      <c r="Y376" s="56"/>
      <c r="Z376" s="56"/>
      <c r="AA376" s="56"/>
    </row>
    <row r="377" spans="1:27" ht="15.75" customHeight="1" x14ac:dyDescent="0.25">
      <c r="A377" s="61"/>
      <c r="B377" s="61"/>
      <c r="C377" s="61"/>
      <c r="D377" s="56"/>
      <c r="E377" s="56"/>
      <c r="F377" s="56"/>
      <c r="G377" s="56"/>
      <c r="H377" s="56"/>
      <c r="I377" s="56"/>
      <c r="J377" s="56"/>
      <c r="K377" s="56"/>
      <c r="L377" s="56"/>
      <c r="M377" s="56"/>
      <c r="N377" s="56"/>
      <c r="O377" s="56"/>
      <c r="P377" s="56"/>
      <c r="Q377" s="56"/>
      <c r="R377" s="56"/>
      <c r="S377" s="56"/>
      <c r="T377" s="56"/>
      <c r="U377" s="56"/>
      <c r="V377" s="56"/>
      <c r="W377" s="56"/>
      <c r="X377" s="56"/>
      <c r="Y377" s="56"/>
      <c r="Z377" s="56"/>
      <c r="AA377" s="56"/>
    </row>
    <row r="378" spans="1:27" ht="15.75" customHeight="1" x14ac:dyDescent="0.25">
      <c r="A378" s="61"/>
      <c r="B378" s="61"/>
      <c r="C378" s="61"/>
      <c r="D378" s="56"/>
      <c r="E378" s="56"/>
      <c r="F378" s="56"/>
      <c r="G378" s="56"/>
      <c r="H378" s="56"/>
      <c r="I378" s="56"/>
      <c r="J378" s="56"/>
      <c r="K378" s="56"/>
      <c r="L378" s="56"/>
      <c r="M378" s="56"/>
      <c r="N378" s="56"/>
      <c r="O378" s="56"/>
      <c r="P378" s="56"/>
      <c r="Q378" s="56"/>
      <c r="R378" s="56"/>
      <c r="S378" s="56"/>
      <c r="T378" s="56"/>
      <c r="U378" s="56"/>
      <c r="V378" s="56"/>
      <c r="W378" s="56"/>
      <c r="X378" s="56"/>
      <c r="Y378" s="56"/>
      <c r="Z378" s="56"/>
      <c r="AA378" s="56"/>
    </row>
    <row r="379" spans="1:27" ht="15.75" customHeight="1" x14ac:dyDescent="0.25">
      <c r="A379" s="61"/>
      <c r="B379" s="61"/>
      <c r="C379" s="61"/>
      <c r="D379" s="56"/>
      <c r="E379" s="56"/>
      <c r="F379" s="56"/>
      <c r="G379" s="56"/>
      <c r="H379" s="56"/>
      <c r="I379" s="56"/>
      <c r="J379" s="56"/>
      <c r="K379" s="56"/>
      <c r="L379" s="56"/>
      <c r="M379" s="56"/>
      <c r="N379" s="56"/>
      <c r="O379" s="56"/>
      <c r="P379" s="56"/>
      <c r="Q379" s="56"/>
      <c r="R379" s="56"/>
      <c r="S379" s="56"/>
      <c r="T379" s="56"/>
      <c r="U379" s="56"/>
      <c r="V379" s="56"/>
      <c r="W379" s="56"/>
      <c r="X379" s="56"/>
      <c r="Y379" s="56"/>
      <c r="Z379" s="56"/>
      <c r="AA379" s="56"/>
    </row>
    <row r="380" spans="1:27" ht="15.75" customHeight="1" x14ac:dyDescent="0.25">
      <c r="A380" s="61"/>
      <c r="B380" s="61"/>
      <c r="C380" s="61"/>
      <c r="D380" s="56"/>
      <c r="E380" s="56"/>
      <c r="F380" s="56"/>
      <c r="G380" s="56"/>
      <c r="H380" s="56"/>
      <c r="I380" s="56"/>
      <c r="J380" s="56"/>
      <c r="K380" s="56"/>
      <c r="L380" s="56"/>
      <c r="M380" s="56"/>
      <c r="N380" s="56"/>
      <c r="O380" s="56"/>
      <c r="P380" s="56"/>
      <c r="Q380" s="56"/>
      <c r="R380" s="56"/>
      <c r="S380" s="56"/>
      <c r="T380" s="56"/>
      <c r="U380" s="56"/>
      <c r="V380" s="56"/>
      <c r="W380" s="56"/>
      <c r="X380" s="56"/>
      <c r="Y380" s="56"/>
      <c r="Z380" s="56"/>
      <c r="AA380" s="56"/>
    </row>
    <row r="381" spans="1:27" ht="15.75" customHeight="1" x14ac:dyDescent="0.25">
      <c r="A381" s="61"/>
      <c r="B381" s="61"/>
      <c r="C381" s="61"/>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row>
    <row r="382" spans="1:27" ht="15.75" customHeight="1" x14ac:dyDescent="0.25">
      <c r="A382" s="61"/>
      <c r="B382" s="61"/>
      <c r="C382" s="61"/>
      <c r="D382" s="56"/>
      <c r="E382" s="56"/>
      <c r="F382" s="56"/>
      <c r="G382" s="56"/>
      <c r="H382" s="56"/>
      <c r="I382" s="56"/>
      <c r="J382" s="56"/>
      <c r="K382" s="56"/>
      <c r="L382" s="56"/>
      <c r="M382" s="56"/>
      <c r="N382" s="56"/>
      <c r="O382" s="56"/>
      <c r="P382" s="56"/>
      <c r="Q382" s="56"/>
      <c r="R382" s="56"/>
      <c r="S382" s="56"/>
      <c r="T382" s="56"/>
      <c r="U382" s="56"/>
      <c r="V382" s="56"/>
      <c r="W382" s="56"/>
      <c r="X382" s="56"/>
      <c r="Y382" s="56"/>
      <c r="Z382" s="56"/>
      <c r="AA382" s="56"/>
    </row>
    <row r="383" spans="1:27" ht="15.75" customHeight="1" x14ac:dyDescent="0.25">
      <c r="A383" s="61"/>
      <c r="B383" s="61"/>
      <c r="C383" s="61"/>
      <c r="D383" s="56"/>
      <c r="E383" s="56"/>
      <c r="F383" s="56"/>
      <c r="G383" s="56"/>
      <c r="H383" s="56"/>
      <c r="I383" s="56"/>
      <c r="J383" s="56"/>
      <c r="K383" s="56"/>
      <c r="L383" s="56"/>
      <c r="M383" s="56"/>
      <c r="N383" s="56"/>
      <c r="O383" s="56"/>
      <c r="P383" s="56"/>
      <c r="Q383" s="56"/>
      <c r="R383" s="56"/>
      <c r="S383" s="56"/>
      <c r="T383" s="56"/>
      <c r="U383" s="56"/>
      <c r="V383" s="56"/>
      <c r="W383" s="56"/>
      <c r="X383" s="56"/>
      <c r="Y383" s="56"/>
      <c r="Z383" s="56"/>
      <c r="AA383" s="56"/>
    </row>
    <row r="384" spans="1:27" ht="15.75" customHeight="1" x14ac:dyDescent="0.25">
      <c r="A384" s="61"/>
      <c r="B384" s="61"/>
      <c r="C384" s="61"/>
      <c r="D384" s="56"/>
      <c r="E384" s="56"/>
      <c r="F384" s="56"/>
      <c r="G384" s="56"/>
      <c r="H384" s="56"/>
      <c r="I384" s="56"/>
      <c r="J384" s="56"/>
      <c r="K384" s="56"/>
      <c r="L384" s="56"/>
      <c r="M384" s="56"/>
      <c r="N384" s="56"/>
      <c r="O384" s="56"/>
      <c r="P384" s="56"/>
      <c r="Q384" s="56"/>
      <c r="R384" s="56"/>
      <c r="S384" s="56"/>
      <c r="T384" s="56"/>
      <c r="U384" s="56"/>
      <c r="V384" s="56"/>
      <c r="W384" s="56"/>
      <c r="X384" s="56"/>
      <c r="Y384" s="56"/>
      <c r="Z384" s="56"/>
      <c r="AA384" s="56"/>
    </row>
    <row r="385" spans="1:27" ht="15.75" customHeight="1" x14ac:dyDescent="0.25">
      <c r="A385" s="61"/>
      <c r="B385" s="61"/>
      <c r="C385" s="61"/>
      <c r="D385" s="56"/>
      <c r="E385" s="56"/>
      <c r="F385" s="56"/>
      <c r="G385" s="56"/>
      <c r="H385" s="56"/>
      <c r="I385" s="56"/>
      <c r="J385" s="56"/>
      <c r="K385" s="56"/>
      <c r="L385" s="56"/>
      <c r="M385" s="56"/>
      <c r="N385" s="56"/>
      <c r="O385" s="56"/>
      <c r="P385" s="56"/>
      <c r="Q385" s="56"/>
      <c r="R385" s="56"/>
      <c r="S385" s="56"/>
      <c r="T385" s="56"/>
      <c r="U385" s="56"/>
      <c r="V385" s="56"/>
      <c r="W385" s="56"/>
      <c r="X385" s="56"/>
      <c r="Y385" s="56"/>
      <c r="Z385" s="56"/>
      <c r="AA385" s="56"/>
    </row>
    <row r="386" spans="1:27" ht="15.75" customHeight="1" x14ac:dyDescent="0.25">
      <c r="A386" s="61"/>
      <c r="B386" s="61"/>
      <c r="C386" s="61"/>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row>
    <row r="387" spans="1:27" ht="15.75" customHeight="1" x14ac:dyDescent="0.25">
      <c r="A387" s="61"/>
      <c r="B387" s="61"/>
      <c r="C387" s="61"/>
      <c r="D387" s="56"/>
      <c r="E387" s="56"/>
      <c r="F387" s="56"/>
      <c r="G387" s="56"/>
      <c r="H387" s="56"/>
      <c r="I387" s="56"/>
      <c r="J387" s="56"/>
      <c r="K387" s="56"/>
      <c r="L387" s="56"/>
      <c r="M387" s="56"/>
      <c r="N387" s="56"/>
      <c r="O387" s="56"/>
      <c r="P387" s="56"/>
      <c r="Q387" s="56"/>
      <c r="R387" s="56"/>
      <c r="S387" s="56"/>
      <c r="T387" s="56"/>
      <c r="U387" s="56"/>
      <c r="V387" s="56"/>
      <c r="W387" s="56"/>
      <c r="X387" s="56"/>
      <c r="Y387" s="56"/>
      <c r="Z387" s="56"/>
      <c r="AA387" s="56"/>
    </row>
    <row r="388" spans="1:27" ht="15.75" customHeight="1" x14ac:dyDescent="0.25">
      <c r="A388" s="61"/>
      <c r="B388" s="61"/>
      <c r="C388" s="61"/>
      <c r="D388" s="56"/>
      <c r="E388" s="56"/>
      <c r="F388" s="56"/>
      <c r="G388" s="56"/>
      <c r="H388" s="56"/>
      <c r="I388" s="56"/>
      <c r="J388" s="56"/>
      <c r="K388" s="56"/>
      <c r="L388" s="56"/>
      <c r="M388" s="56"/>
      <c r="N388" s="56"/>
      <c r="O388" s="56"/>
      <c r="P388" s="56"/>
      <c r="Q388" s="56"/>
      <c r="R388" s="56"/>
      <c r="S388" s="56"/>
      <c r="T388" s="56"/>
      <c r="U388" s="56"/>
      <c r="V388" s="56"/>
      <c r="W388" s="56"/>
      <c r="X388" s="56"/>
      <c r="Y388" s="56"/>
      <c r="Z388" s="56"/>
      <c r="AA388" s="56"/>
    </row>
    <row r="389" spans="1:27" ht="15.75" customHeight="1" x14ac:dyDescent="0.25">
      <c r="A389" s="61"/>
      <c r="B389" s="61"/>
      <c r="C389" s="61"/>
      <c r="D389" s="56"/>
      <c r="E389" s="56"/>
      <c r="F389" s="56"/>
      <c r="G389" s="56"/>
      <c r="H389" s="56"/>
      <c r="I389" s="56"/>
      <c r="J389" s="56"/>
      <c r="K389" s="56"/>
      <c r="L389" s="56"/>
      <c r="M389" s="56"/>
      <c r="N389" s="56"/>
      <c r="O389" s="56"/>
      <c r="P389" s="56"/>
      <c r="Q389" s="56"/>
      <c r="R389" s="56"/>
      <c r="S389" s="56"/>
      <c r="T389" s="56"/>
      <c r="U389" s="56"/>
      <c r="V389" s="56"/>
      <c r="W389" s="56"/>
      <c r="X389" s="56"/>
      <c r="Y389" s="56"/>
      <c r="Z389" s="56"/>
      <c r="AA389" s="56"/>
    </row>
    <row r="390" spans="1:27" ht="15.75" customHeight="1" x14ac:dyDescent="0.25">
      <c r="A390" s="61"/>
      <c r="B390" s="61"/>
      <c r="C390" s="61"/>
      <c r="D390" s="56"/>
      <c r="E390" s="56"/>
      <c r="F390" s="56"/>
      <c r="G390" s="56"/>
      <c r="H390" s="56"/>
      <c r="I390" s="56"/>
      <c r="J390" s="56"/>
      <c r="K390" s="56"/>
      <c r="L390" s="56"/>
      <c r="M390" s="56"/>
      <c r="N390" s="56"/>
      <c r="O390" s="56"/>
      <c r="P390" s="56"/>
      <c r="Q390" s="56"/>
      <c r="R390" s="56"/>
      <c r="S390" s="56"/>
      <c r="T390" s="56"/>
      <c r="U390" s="56"/>
      <c r="V390" s="56"/>
      <c r="W390" s="56"/>
      <c r="X390" s="56"/>
      <c r="Y390" s="56"/>
      <c r="Z390" s="56"/>
      <c r="AA390" s="56"/>
    </row>
    <row r="391" spans="1:27" ht="15.75" customHeight="1" x14ac:dyDescent="0.25">
      <c r="A391" s="61"/>
      <c r="B391" s="61"/>
      <c r="C391" s="61"/>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row>
    <row r="392" spans="1:27" ht="15.75" customHeight="1" x14ac:dyDescent="0.25">
      <c r="A392" s="61"/>
      <c r="B392" s="61"/>
      <c r="C392" s="61"/>
      <c r="D392" s="56"/>
      <c r="E392" s="56"/>
      <c r="F392" s="56"/>
      <c r="G392" s="56"/>
      <c r="H392" s="56"/>
      <c r="I392" s="56"/>
      <c r="J392" s="56"/>
      <c r="K392" s="56"/>
      <c r="L392" s="56"/>
      <c r="M392" s="56"/>
      <c r="N392" s="56"/>
      <c r="O392" s="56"/>
      <c r="P392" s="56"/>
      <c r="Q392" s="56"/>
      <c r="R392" s="56"/>
      <c r="S392" s="56"/>
      <c r="T392" s="56"/>
      <c r="U392" s="56"/>
      <c r="V392" s="56"/>
      <c r="W392" s="56"/>
      <c r="X392" s="56"/>
      <c r="Y392" s="56"/>
      <c r="Z392" s="56"/>
      <c r="AA392" s="56"/>
    </row>
    <row r="393" spans="1:27" ht="15.75" customHeight="1" x14ac:dyDescent="0.25">
      <c r="A393" s="61"/>
      <c r="B393" s="61"/>
      <c r="C393" s="61"/>
      <c r="D393" s="56"/>
      <c r="E393" s="56"/>
      <c r="F393" s="56"/>
      <c r="G393" s="56"/>
      <c r="H393" s="56"/>
      <c r="I393" s="56"/>
      <c r="J393" s="56"/>
      <c r="K393" s="56"/>
      <c r="L393" s="56"/>
      <c r="M393" s="56"/>
      <c r="N393" s="56"/>
      <c r="O393" s="56"/>
      <c r="P393" s="56"/>
      <c r="Q393" s="56"/>
      <c r="R393" s="56"/>
      <c r="S393" s="56"/>
      <c r="T393" s="56"/>
      <c r="U393" s="56"/>
      <c r="V393" s="56"/>
      <c r="W393" s="56"/>
      <c r="X393" s="56"/>
      <c r="Y393" s="56"/>
      <c r="Z393" s="56"/>
      <c r="AA393" s="56"/>
    </row>
    <row r="394" spans="1:27" ht="15.75" customHeight="1" x14ac:dyDescent="0.25">
      <c r="A394" s="61"/>
      <c r="B394" s="61"/>
      <c r="C394" s="61"/>
      <c r="D394" s="56"/>
      <c r="E394" s="56"/>
      <c r="F394" s="56"/>
      <c r="G394" s="56"/>
      <c r="H394" s="56"/>
      <c r="I394" s="56"/>
      <c r="J394" s="56"/>
      <c r="K394" s="56"/>
      <c r="L394" s="56"/>
      <c r="M394" s="56"/>
      <c r="N394" s="56"/>
      <c r="O394" s="56"/>
      <c r="P394" s="56"/>
      <c r="Q394" s="56"/>
      <c r="R394" s="56"/>
      <c r="S394" s="56"/>
      <c r="T394" s="56"/>
      <c r="U394" s="56"/>
      <c r="V394" s="56"/>
      <c r="W394" s="56"/>
      <c r="X394" s="56"/>
      <c r="Y394" s="56"/>
      <c r="Z394" s="56"/>
      <c r="AA394" s="56"/>
    </row>
    <row r="395" spans="1:27" ht="15.75" customHeight="1" x14ac:dyDescent="0.25">
      <c r="A395" s="61"/>
      <c r="B395" s="61"/>
      <c r="C395" s="61"/>
      <c r="D395" s="56"/>
      <c r="E395" s="56"/>
      <c r="F395" s="56"/>
      <c r="G395" s="56"/>
      <c r="H395" s="56"/>
      <c r="I395" s="56"/>
      <c r="J395" s="56"/>
      <c r="K395" s="56"/>
      <c r="L395" s="56"/>
      <c r="M395" s="56"/>
      <c r="N395" s="56"/>
      <c r="O395" s="56"/>
      <c r="P395" s="56"/>
      <c r="Q395" s="56"/>
      <c r="R395" s="56"/>
      <c r="S395" s="56"/>
      <c r="T395" s="56"/>
      <c r="U395" s="56"/>
      <c r="V395" s="56"/>
      <c r="W395" s="56"/>
      <c r="X395" s="56"/>
      <c r="Y395" s="56"/>
      <c r="Z395" s="56"/>
      <c r="AA395" s="56"/>
    </row>
    <row r="396" spans="1:27" ht="15.75" customHeight="1" x14ac:dyDescent="0.25">
      <c r="A396" s="61"/>
      <c r="B396" s="61"/>
      <c r="C396" s="61"/>
      <c r="D396" s="56"/>
      <c r="E396" s="56"/>
      <c r="F396" s="56"/>
      <c r="G396" s="56"/>
      <c r="H396" s="56"/>
      <c r="I396" s="56"/>
      <c r="J396" s="56"/>
      <c r="K396" s="56"/>
      <c r="L396" s="56"/>
      <c r="M396" s="56"/>
      <c r="N396" s="56"/>
      <c r="O396" s="56"/>
      <c r="P396" s="56"/>
      <c r="Q396" s="56"/>
      <c r="R396" s="56"/>
      <c r="S396" s="56"/>
      <c r="T396" s="56"/>
      <c r="U396" s="56"/>
      <c r="V396" s="56"/>
      <c r="W396" s="56"/>
      <c r="X396" s="56"/>
      <c r="Y396" s="56"/>
      <c r="Z396" s="56"/>
      <c r="AA396" s="56"/>
    </row>
    <row r="397" spans="1:27" ht="15.75" customHeight="1" x14ac:dyDescent="0.25">
      <c r="A397" s="61"/>
      <c r="B397" s="61"/>
      <c r="C397" s="61"/>
      <c r="D397" s="56"/>
      <c r="E397" s="56"/>
      <c r="F397" s="56"/>
      <c r="G397" s="56"/>
      <c r="H397" s="56"/>
      <c r="I397" s="56"/>
      <c r="J397" s="56"/>
      <c r="K397" s="56"/>
      <c r="L397" s="56"/>
      <c r="M397" s="56"/>
      <c r="N397" s="56"/>
      <c r="O397" s="56"/>
      <c r="P397" s="56"/>
      <c r="Q397" s="56"/>
      <c r="R397" s="56"/>
      <c r="S397" s="56"/>
      <c r="T397" s="56"/>
      <c r="U397" s="56"/>
      <c r="V397" s="56"/>
      <c r="W397" s="56"/>
      <c r="X397" s="56"/>
      <c r="Y397" s="56"/>
      <c r="Z397" s="56"/>
      <c r="AA397" s="56"/>
    </row>
    <row r="398" spans="1:27" ht="15.75" customHeight="1" x14ac:dyDescent="0.25">
      <c r="A398" s="61"/>
      <c r="B398" s="61"/>
      <c r="C398" s="61"/>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row>
    <row r="399" spans="1:27" ht="15.75" customHeight="1" x14ac:dyDescent="0.25">
      <c r="A399" s="61"/>
      <c r="B399" s="61"/>
      <c r="C399" s="61"/>
      <c r="D399" s="56"/>
      <c r="E399" s="56"/>
      <c r="F399" s="56"/>
      <c r="G399" s="56"/>
      <c r="H399" s="56"/>
      <c r="I399" s="56"/>
      <c r="J399" s="56"/>
      <c r="K399" s="56"/>
      <c r="L399" s="56"/>
      <c r="M399" s="56"/>
      <c r="N399" s="56"/>
      <c r="O399" s="56"/>
      <c r="P399" s="56"/>
      <c r="Q399" s="56"/>
      <c r="R399" s="56"/>
      <c r="S399" s="56"/>
      <c r="T399" s="56"/>
      <c r="U399" s="56"/>
      <c r="V399" s="56"/>
      <c r="W399" s="56"/>
      <c r="X399" s="56"/>
      <c r="Y399" s="56"/>
      <c r="Z399" s="56"/>
      <c r="AA399" s="56"/>
    </row>
    <row r="400" spans="1:27" ht="15.75" customHeight="1" x14ac:dyDescent="0.25">
      <c r="A400" s="61"/>
      <c r="B400" s="61"/>
      <c r="C400" s="61"/>
      <c r="D400" s="56"/>
      <c r="E400" s="56"/>
      <c r="F400" s="56"/>
      <c r="G400" s="56"/>
      <c r="H400" s="56"/>
      <c r="I400" s="56"/>
      <c r="J400" s="56"/>
      <c r="K400" s="56"/>
      <c r="L400" s="56"/>
      <c r="M400" s="56"/>
      <c r="N400" s="56"/>
      <c r="O400" s="56"/>
      <c r="P400" s="56"/>
      <c r="Q400" s="56"/>
      <c r="R400" s="56"/>
      <c r="S400" s="56"/>
      <c r="T400" s="56"/>
      <c r="U400" s="56"/>
      <c r="V400" s="56"/>
      <c r="W400" s="56"/>
      <c r="X400" s="56"/>
      <c r="Y400" s="56"/>
      <c r="Z400" s="56"/>
      <c r="AA400" s="56"/>
    </row>
    <row r="401" spans="1:27" ht="15.75" customHeight="1" x14ac:dyDescent="0.25">
      <c r="A401" s="61"/>
      <c r="B401" s="61"/>
      <c r="C401" s="61"/>
      <c r="D401" s="56"/>
      <c r="E401" s="56"/>
      <c r="F401" s="56"/>
      <c r="G401" s="56"/>
      <c r="H401" s="56"/>
      <c r="I401" s="56"/>
      <c r="J401" s="56"/>
      <c r="K401" s="56"/>
      <c r="L401" s="56"/>
      <c r="M401" s="56"/>
      <c r="N401" s="56"/>
      <c r="O401" s="56"/>
      <c r="P401" s="56"/>
      <c r="Q401" s="56"/>
      <c r="R401" s="56"/>
      <c r="S401" s="56"/>
      <c r="T401" s="56"/>
      <c r="U401" s="56"/>
      <c r="V401" s="56"/>
      <c r="W401" s="56"/>
      <c r="X401" s="56"/>
      <c r="Y401" s="56"/>
      <c r="Z401" s="56"/>
      <c r="AA401" s="56"/>
    </row>
    <row r="402" spans="1:27" ht="15.75" customHeight="1" x14ac:dyDescent="0.25">
      <c r="A402" s="61"/>
      <c r="B402" s="61"/>
      <c r="C402" s="61"/>
      <c r="D402" s="56"/>
      <c r="E402" s="56"/>
      <c r="F402" s="56"/>
      <c r="G402" s="56"/>
      <c r="H402" s="56"/>
      <c r="I402" s="56"/>
      <c r="J402" s="56"/>
      <c r="K402" s="56"/>
      <c r="L402" s="56"/>
      <c r="M402" s="56"/>
      <c r="N402" s="56"/>
      <c r="O402" s="56"/>
      <c r="P402" s="56"/>
      <c r="Q402" s="56"/>
      <c r="R402" s="56"/>
      <c r="S402" s="56"/>
      <c r="T402" s="56"/>
      <c r="U402" s="56"/>
      <c r="V402" s="56"/>
      <c r="W402" s="56"/>
      <c r="X402" s="56"/>
      <c r="Y402" s="56"/>
      <c r="Z402" s="56"/>
      <c r="AA402" s="56"/>
    </row>
    <row r="403" spans="1:27" ht="15.75" customHeight="1" x14ac:dyDescent="0.25">
      <c r="A403" s="61"/>
      <c r="B403" s="61"/>
      <c r="C403" s="61"/>
      <c r="D403" s="56"/>
      <c r="E403" s="56"/>
      <c r="F403" s="56"/>
      <c r="G403" s="56"/>
      <c r="H403" s="56"/>
      <c r="I403" s="56"/>
      <c r="J403" s="56"/>
      <c r="K403" s="56"/>
      <c r="L403" s="56"/>
      <c r="M403" s="56"/>
      <c r="N403" s="56"/>
      <c r="O403" s="56"/>
      <c r="P403" s="56"/>
      <c r="Q403" s="56"/>
      <c r="R403" s="56"/>
      <c r="S403" s="56"/>
      <c r="T403" s="56"/>
      <c r="U403" s="56"/>
      <c r="V403" s="56"/>
      <c r="W403" s="56"/>
      <c r="X403" s="56"/>
      <c r="Y403" s="56"/>
      <c r="Z403" s="56"/>
      <c r="AA403" s="56"/>
    </row>
    <row r="404" spans="1:27" ht="15.75" customHeight="1" x14ac:dyDescent="0.25">
      <c r="A404" s="61"/>
      <c r="B404" s="61"/>
      <c r="C404" s="61"/>
      <c r="D404" s="56"/>
      <c r="E404" s="56"/>
      <c r="F404" s="56"/>
      <c r="G404" s="56"/>
      <c r="H404" s="56"/>
      <c r="I404" s="56"/>
      <c r="J404" s="56"/>
      <c r="K404" s="56"/>
      <c r="L404" s="56"/>
      <c r="M404" s="56"/>
      <c r="N404" s="56"/>
      <c r="O404" s="56"/>
      <c r="P404" s="56"/>
      <c r="Q404" s="56"/>
      <c r="R404" s="56"/>
      <c r="S404" s="56"/>
      <c r="T404" s="56"/>
      <c r="U404" s="56"/>
      <c r="V404" s="56"/>
      <c r="W404" s="56"/>
      <c r="X404" s="56"/>
      <c r="Y404" s="56"/>
      <c r="Z404" s="56"/>
      <c r="AA404" s="56"/>
    </row>
    <row r="405" spans="1:27" ht="15.75" customHeight="1" x14ac:dyDescent="0.25">
      <c r="A405" s="61"/>
      <c r="B405" s="61"/>
      <c r="C405" s="61"/>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row>
    <row r="406" spans="1:27" ht="15.75" customHeight="1" x14ac:dyDescent="0.25">
      <c r="A406" s="61"/>
      <c r="B406" s="61"/>
      <c r="C406" s="61"/>
      <c r="D406" s="56"/>
      <c r="E406" s="56"/>
      <c r="F406" s="56"/>
      <c r="G406" s="56"/>
      <c r="H406" s="56"/>
      <c r="I406" s="56"/>
      <c r="J406" s="56"/>
      <c r="K406" s="56"/>
      <c r="L406" s="56"/>
      <c r="M406" s="56"/>
      <c r="N406" s="56"/>
      <c r="O406" s="56"/>
      <c r="P406" s="56"/>
      <c r="Q406" s="56"/>
      <c r="R406" s="56"/>
      <c r="S406" s="56"/>
      <c r="T406" s="56"/>
      <c r="U406" s="56"/>
      <c r="V406" s="56"/>
      <c r="W406" s="56"/>
      <c r="X406" s="56"/>
      <c r="Y406" s="56"/>
      <c r="Z406" s="56"/>
      <c r="AA406" s="56"/>
    </row>
    <row r="407" spans="1:27" ht="15.75" customHeight="1" x14ac:dyDescent="0.25">
      <c r="A407" s="61"/>
      <c r="B407" s="61"/>
      <c r="C407" s="61"/>
      <c r="D407" s="56"/>
      <c r="E407" s="56"/>
      <c r="F407" s="56"/>
      <c r="G407" s="56"/>
      <c r="H407" s="56"/>
      <c r="I407" s="56"/>
      <c r="J407" s="56"/>
      <c r="K407" s="56"/>
      <c r="L407" s="56"/>
      <c r="M407" s="56"/>
      <c r="N407" s="56"/>
      <c r="O407" s="56"/>
      <c r="P407" s="56"/>
      <c r="Q407" s="56"/>
      <c r="R407" s="56"/>
      <c r="S407" s="56"/>
      <c r="T407" s="56"/>
      <c r="U407" s="56"/>
      <c r="V407" s="56"/>
      <c r="W407" s="56"/>
      <c r="X407" s="56"/>
      <c r="Y407" s="56"/>
      <c r="Z407" s="56"/>
      <c r="AA407" s="56"/>
    </row>
    <row r="408" spans="1:27" ht="15.75" customHeight="1" x14ac:dyDescent="0.25">
      <c r="A408" s="61"/>
      <c r="B408" s="61"/>
      <c r="C408" s="61"/>
      <c r="D408" s="56"/>
      <c r="E408" s="56"/>
      <c r="F408" s="56"/>
      <c r="G408" s="56"/>
      <c r="H408" s="56"/>
      <c r="I408" s="56"/>
      <c r="J408" s="56"/>
      <c r="K408" s="56"/>
      <c r="L408" s="56"/>
      <c r="M408" s="56"/>
      <c r="N408" s="56"/>
      <c r="O408" s="56"/>
      <c r="P408" s="56"/>
      <c r="Q408" s="56"/>
      <c r="R408" s="56"/>
      <c r="S408" s="56"/>
      <c r="T408" s="56"/>
      <c r="U408" s="56"/>
      <c r="V408" s="56"/>
      <c r="W408" s="56"/>
      <c r="X408" s="56"/>
      <c r="Y408" s="56"/>
      <c r="Z408" s="56"/>
      <c r="AA408" s="56"/>
    </row>
    <row r="409" spans="1:27" ht="15.75" customHeight="1" x14ac:dyDescent="0.25">
      <c r="A409" s="61"/>
      <c r="B409" s="61"/>
      <c r="C409" s="61"/>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56"/>
    </row>
    <row r="410" spans="1:27" ht="15.75" customHeight="1" x14ac:dyDescent="0.25">
      <c r="A410" s="61"/>
      <c r="B410" s="61"/>
      <c r="C410" s="61"/>
      <c r="D410" s="56"/>
      <c r="E410" s="56"/>
      <c r="F410" s="56"/>
      <c r="G410" s="56"/>
      <c r="H410" s="56"/>
      <c r="I410" s="56"/>
      <c r="J410" s="56"/>
      <c r="K410" s="56"/>
      <c r="L410" s="56"/>
      <c r="M410" s="56"/>
      <c r="N410" s="56"/>
      <c r="O410" s="56"/>
      <c r="P410" s="56"/>
      <c r="Q410" s="56"/>
      <c r="R410" s="56"/>
      <c r="S410" s="56"/>
      <c r="T410" s="56"/>
      <c r="U410" s="56"/>
      <c r="V410" s="56"/>
      <c r="W410" s="56"/>
      <c r="X410" s="56"/>
      <c r="Y410" s="56"/>
      <c r="Z410" s="56"/>
      <c r="AA410" s="56"/>
    </row>
    <row r="411" spans="1:27" ht="15.75" customHeight="1" x14ac:dyDescent="0.25">
      <c r="A411" s="61"/>
      <c r="B411" s="61"/>
      <c r="C411" s="61"/>
      <c r="D411" s="56"/>
      <c r="E411" s="56"/>
      <c r="F411" s="56"/>
      <c r="G411" s="56"/>
      <c r="H411" s="56"/>
      <c r="I411" s="56"/>
      <c r="J411" s="56"/>
      <c r="K411" s="56"/>
      <c r="L411" s="56"/>
      <c r="M411" s="56"/>
      <c r="N411" s="56"/>
      <c r="O411" s="56"/>
      <c r="P411" s="56"/>
      <c r="Q411" s="56"/>
      <c r="R411" s="56"/>
      <c r="S411" s="56"/>
      <c r="T411" s="56"/>
      <c r="U411" s="56"/>
      <c r="V411" s="56"/>
      <c r="W411" s="56"/>
      <c r="X411" s="56"/>
      <c r="Y411" s="56"/>
      <c r="Z411" s="56"/>
      <c r="AA411" s="56"/>
    </row>
    <row r="412" spans="1:27" ht="15.75" customHeight="1" x14ac:dyDescent="0.25">
      <c r="A412" s="61"/>
      <c r="B412" s="61"/>
      <c r="C412" s="61"/>
      <c r="D412" s="56"/>
      <c r="E412" s="56"/>
      <c r="F412" s="56"/>
      <c r="G412" s="56"/>
      <c r="H412" s="56"/>
      <c r="I412" s="56"/>
      <c r="J412" s="56"/>
      <c r="K412" s="56"/>
      <c r="L412" s="56"/>
      <c r="M412" s="56"/>
      <c r="N412" s="56"/>
      <c r="O412" s="56"/>
      <c r="P412" s="56"/>
      <c r="Q412" s="56"/>
      <c r="R412" s="56"/>
      <c r="S412" s="56"/>
      <c r="T412" s="56"/>
      <c r="U412" s="56"/>
      <c r="V412" s="56"/>
      <c r="W412" s="56"/>
      <c r="X412" s="56"/>
      <c r="Y412" s="56"/>
      <c r="Z412" s="56"/>
      <c r="AA412" s="56"/>
    </row>
    <row r="413" spans="1:27" ht="15.75" customHeight="1" x14ac:dyDescent="0.25">
      <c r="A413" s="61"/>
      <c r="B413" s="61"/>
      <c r="C413" s="61"/>
      <c r="D413" s="56"/>
      <c r="E413" s="56"/>
      <c r="F413" s="56"/>
      <c r="G413" s="56"/>
      <c r="H413" s="56"/>
      <c r="I413" s="56"/>
      <c r="J413" s="56"/>
      <c r="K413" s="56"/>
      <c r="L413" s="56"/>
      <c r="M413" s="56"/>
      <c r="N413" s="56"/>
      <c r="O413" s="56"/>
      <c r="P413" s="56"/>
      <c r="Q413" s="56"/>
      <c r="R413" s="56"/>
      <c r="S413" s="56"/>
      <c r="T413" s="56"/>
      <c r="U413" s="56"/>
      <c r="V413" s="56"/>
      <c r="W413" s="56"/>
      <c r="X413" s="56"/>
      <c r="Y413" s="56"/>
      <c r="Z413" s="56"/>
      <c r="AA413" s="56"/>
    </row>
    <row r="414" spans="1:27" ht="15.75" customHeight="1" x14ac:dyDescent="0.25">
      <c r="A414" s="61"/>
      <c r="B414" s="61"/>
      <c r="C414" s="61"/>
      <c r="D414" s="56"/>
      <c r="E414" s="56"/>
      <c r="F414" s="56"/>
      <c r="G414" s="56"/>
      <c r="H414" s="56"/>
      <c r="I414" s="56"/>
      <c r="J414" s="56"/>
      <c r="K414" s="56"/>
      <c r="L414" s="56"/>
      <c r="M414" s="56"/>
      <c r="N414" s="56"/>
      <c r="O414" s="56"/>
      <c r="P414" s="56"/>
      <c r="Q414" s="56"/>
      <c r="R414" s="56"/>
      <c r="S414" s="56"/>
      <c r="T414" s="56"/>
      <c r="U414" s="56"/>
      <c r="V414" s="56"/>
      <c r="W414" s="56"/>
      <c r="X414" s="56"/>
      <c r="Y414" s="56"/>
      <c r="Z414" s="56"/>
      <c r="AA414" s="56"/>
    </row>
    <row r="415" spans="1:27" ht="15.75" customHeight="1" x14ac:dyDescent="0.25">
      <c r="A415" s="61"/>
      <c r="B415" s="61"/>
      <c r="C415" s="61"/>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row>
    <row r="416" spans="1:27" ht="15.75" customHeight="1" x14ac:dyDescent="0.25">
      <c r="A416" s="61"/>
      <c r="B416" s="61"/>
      <c r="C416" s="61"/>
      <c r="D416" s="56"/>
      <c r="E416" s="56"/>
      <c r="F416" s="56"/>
      <c r="G416" s="56"/>
      <c r="H416" s="56"/>
      <c r="I416" s="56"/>
      <c r="J416" s="56"/>
      <c r="K416" s="56"/>
      <c r="L416" s="56"/>
      <c r="M416" s="56"/>
      <c r="N416" s="56"/>
      <c r="O416" s="56"/>
      <c r="P416" s="56"/>
      <c r="Q416" s="56"/>
      <c r="R416" s="56"/>
      <c r="S416" s="56"/>
      <c r="T416" s="56"/>
      <c r="U416" s="56"/>
      <c r="V416" s="56"/>
      <c r="W416" s="56"/>
      <c r="X416" s="56"/>
      <c r="Y416" s="56"/>
      <c r="Z416" s="56"/>
      <c r="AA416" s="56"/>
    </row>
    <row r="417" spans="1:27" ht="15.75" customHeight="1" x14ac:dyDescent="0.25">
      <c r="A417" s="61"/>
      <c r="B417" s="61"/>
      <c r="C417" s="61"/>
      <c r="D417" s="56"/>
      <c r="E417" s="56"/>
      <c r="F417" s="56"/>
      <c r="G417" s="56"/>
      <c r="H417" s="56"/>
      <c r="I417" s="56"/>
      <c r="J417" s="56"/>
      <c r="K417" s="56"/>
      <c r="L417" s="56"/>
      <c r="M417" s="56"/>
      <c r="N417" s="56"/>
      <c r="O417" s="56"/>
      <c r="P417" s="56"/>
      <c r="Q417" s="56"/>
      <c r="R417" s="56"/>
      <c r="S417" s="56"/>
      <c r="T417" s="56"/>
      <c r="U417" s="56"/>
      <c r="V417" s="56"/>
      <c r="W417" s="56"/>
      <c r="X417" s="56"/>
      <c r="Y417" s="56"/>
      <c r="Z417" s="56"/>
      <c r="AA417" s="56"/>
    </row>
    <row r="418" spans="1:27" ht="15.75" customHeight="1" x14ac:dyDescent="0.25">
      <c r="A418" s="61"/>
      <c r="B418" s="61"/>
      <c r="C418" s="61"/>
      <c r="D418" s="56"/>
      <c r="E418" s="56"/>
      <c r="F418" s="56"/>
      <c r="G418" s="56"/>
      <c r="H418" s="56"/>
      <c r="I418" s="56"/>
      <c r="J418" s="56"/>
      <c r="K418" s="56"/>
      <c r="L418" s="56"/>
      <c r="M418" s="56"/>
      <c r="N418" s="56"/>
      <c r="O418" s="56"/>
      <c r="P418" s="56"/>
      <c r="Q418" s="56"/>
      <c r="R418" s="56"/>
      <c r="S418" s="56"/>
      <c r="T418" s="56"/>
      <c r="U418" s="56"/>
      <c r="V418" s="56"/>
      <c r="W418" s="56"/>
      <c r="X418" s="56"/>
      <c r="Y418" s="56"/>
      <c r="Z418" s="56"/>
      <c r="AA418" s="56"/>
    </row>
    <row r="419" spans="1:27" ht="15.75" customHeight="1" x14ac:dyDescent="0.25">
      <c r="A419" s="61"/>
      <c r="B419" s="61"/>
      <c r="C419" s="61"/>
      <c r="D419" s="56"/>
      <c r="E419" s="56"/>
      <c r="F419" s="56"/>
      <c r="G419" s="56"/>
      <c r="H419" s="56"/>
      <c r="I419" s="56"/>
      <c r="J419" s="56"/>
      <c r="K419" s="56"/>
      <c r="L419" s="56"/>
      <c r="M419" s="56"/>
      <c r="N419" s="56"/>
      <c r="O419" s="56"/>
      <c r="P419" s="56"/>
      <c r="Q419" s="56"/>
      <c r="R419" s="56"/>
      <c r="S419" s="56"/>
      <c r="T419" s="56"/>
      <c r="U419" s="56"/>
      <c r="V419" s="56"/>
      <c r="W419" s="56"/>
      <c r="X419" s="56"/>
      <c r="Y419" s="56"/>
      <c r="Z419" s="56"/>
      <c r="AA419" s="56"/>
    </row>
    <row r="420" spans="1:27" ht="15.75" customHeight="1" x14ac:dyDescent="0.25">
      <c r="A420" s="61"/>
      <c r="B420" s="61"/>
      <c r="C420" s="61"/>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row>
    <row r="421" spans="1:27" ht="15.75" customHeight="1" x14ac:dyDescent="0.25">
      <c r="A421" s="61"/>
      <c r="B421" s="61"/>
      <c r="C421" s="61"/>
      <c r="D421" s="56"/>
      <c r="E421" s="56"/>
      <c r="F421" s="56"/>
      <c r="G421" s="56"/>
      <c r="H421" s="56"/>
      <c r="I421" s="56"/>
      <c r="J421" s="56"/>
      <c r="K421" s="56"/>
      <c r="L421" s="56"/>
      <c r="M421" s="56"/>
      <c r="N421" s="56"/>
      <c r="O421" s="56"/>
      <c r="P421" s="56"/>
      <c r="Q421" s="56"/>
      <c r="R421" s="56"/>
      <c r="S421" s="56"/>
      <c r="T421" s="56"/>
      <c r="U421" s="56"/>
      <c r="V421" s="56"/>
      <c r="W421" s="56"/>
      <c r="X421" s="56"/>
      <c r="Y421" s="56"/>
      <c r="Z421" s="56"/>
      <c r="AA421" s="56"/>
    </row>
    <row r="422" spans="1:27" ht="15.75" customHeight="1" x14ac:dyDescent="0.25">
      <c r="A422" s="61"/>
      <c r="B422" s="61"/>
      <c r="C422" s="61"/>
      <c r="D422" s="56"/>
      <c r="E422" s="56"/>
      <c r="F422" s="56"/>
      <c r="G422" s="56"/>
      <c r="H422" s="56"/>
      <c r="I422" s="56"/>
      <c r="J422" s="56"/>
      <c r="K422" s="56"/>
      <c r="L422" s="56"/>
      <c r="M422" s="56"/>
      <c r="N422" s="56"/>
      <c r="O422" s="56"/>
      <c r="P422" s="56"/>
      <c r="Q422" s="56"/>
      <c r="R422" s="56"/>
      <c r="S422" s="56"/>
      <c r="T422" s="56"/>
      <c r="U422" s="56"/>
      <c r="V422" s="56"/>
      <c r="W422" s="56"/>
      <c r="X422" s="56"/>
      <c r="Y422" s="56"/>
      <c r="Z422" s="56"/>
      <c r="AA422" s="56"/>
    </row>
    <row r="423" spans="1:27" ht="15.75" customHeight="1" x14ac:dyDescent="0.25">
      <c r="A423" s="61"/>
      <c r="B423" s="61"/>
      <c r="C423" s="61"/>
      <c r="D423" s="56"/>
      <c r="E423" s="56"/>
      <c r="F423" s="56"/>
      <c r="G423" s="56"/>
      <c r="H423" s="56"/>
      <c r="I423" s="56"/>
      <c r="J423" s="56"/>
      <c r="K423" s="56"/>
      <c r="L423" s="56"/>
      <c r="M423" s="56"/>
      <c r="N423" s="56"/>
      <c r="O423" s="56"/>
      <c r="P423" s="56"/>
      <c r="Q423" s="56"/>
      <c r="R423" s="56"/>
      <c r="S423" s="56"/>
      <c r="T423" s="56"/>
      <c r="U423" s="56"/>
      <c r="V423" s="56"/>
      <c r="W423" s="56"/>
      <c r="X423" s="56"/>
      <c r="Y423" s="56"/>
      <c r="Z423" s="56"/>
      <c r="AA423" s="56"/>
    </row>
    <row r="424" spans="1:27" ht="15.75" customHeight="1" x14ac:dyDescent="0.25">
      <c r="A424" s="61"/>
      <c r="B424" s="61"/>
      <c r="C424" s="61"/>
      <c r="D424" s="56"/>
      <c r="E424" s="56"/>
      <c r="F424" s="56"/>
      <c r="G424" s="56"/>
      <c r="H424" s="56"/>
      <c r="I424" s="56"/>
      <c r="J424" s="56"/>
      <c r="K424" s="56"/>
      <c r="L424" s="56"/>
      <c r="M424" s="56"/>
      <c r="N424" s="56"/>
      <c r="O424" s="56"/>
      <c r="P424" s="56"/>
      <c r="Q424" s="56"/>
      <c r="R424" s="56"/>
      <c r="S424" s="56"/>
      <c r="T424" s="56"/>
      <c r="U424" s="56"/>
      <c r="V424" s="56"/>
      <c r="W424" s="56"/>
      <c r="X424" s="56"/>
      <c r="Y424" s="56"/>
      <c r="Z424" s="56"/>
      <c r="AA424" s="56"/>
    </row>
    <row r="425" spans="1:27" ht="15.75" customHeight="1" x14ac:dyDescent="0.25">
      <c r="A425" s="61"/>
      <c r="B425" s="61"/>
      <c r="C425" s="61"/>
      <c r="D425" s="56"/>
      <c r="E425" s="56"/>
      <c r="F425" s="56"/>
      <c r="G425" s="56"/>
      <c r="H425" s="56"/>
      <c r="I425" s="56"/>
      <c r="J425" s="56"/>
      <c r="K425" s="56"/>
      <c r="L425" s="56"/>
      <c r="M425" s="56"/>
      <c r="N425" s="56"/>
      <c r="O425" s="56"/>
      <c r="P425" s="56"/>
      <c r="Q425" s="56"/>
      <c r="R425" s="56"/>
      <c r="S425" s="56"/>
      <c r="T425" s="56"/>
      <c r="U425" s="56"/>
      <c r="V425" s="56"/>
      <c r="W425" s="56"/>
      <c r="X425" s="56"/>
      <c r="Y425" s="56"/>
      <c r="Z425" s="56"/>
      <c r="AA425" s="56"/>
    </row>
    <row r="426" spans="1:27" ht="15.75" customHeight="1" x14ac:dyDescent="0.25">
      <c r="A426" s="61"/>
      <c r="B426" s="61"/>
      <c r="C426" s="61"/>
      <c r="D426" s="56"/>
      <c r="E426" s="56"/>
      <c r="F426" s="56"/>
      <c r="G426" s="56"/>
      <c r="H426" s="56"/>
      <c r="I426" s="56"/>
      <c r="J426" s="56"/>
      <c r="K426" s="56"/>
      <c r="L426" s="56"/>
      <c r="M426" s="56"/>
      <c r="N426" s="56"/>
      <c r="O426" s="56"/>
      <c r="P426" s="56"/>
      <c r="Q426" s="56"/>
      <c r="R426" s="56"/>
      <c r="S426" s="56"/>
      <c r="T426" s="56"/>
      <c r="U426" s="56"/>
      <c r="V426" s="56"/>
      <c r="W426" s="56"/>
      <c r="X426" s="56"/>
      <c r="Y426" s="56"/>
      <c r="Z426" s="56"/>
      <c r="AA426" s="56"/>
    </row>
    <row r="427" spans="1:27" ht="15.75" customHeight="1" x14ac:dyDescent="0.25">
      <c r="A427" s="61"/>
      <c r="B427" s="61"/>
      <c r="C427" s="61"/>
      <c r="D427" s="56"/>
      <c r="E427" s="56"/>
      <c r="F427" s="56"/>
      <c r="G427" s="56"/>
      <c r="H427" s="56"/>
      <c r="I427" s="56"/>
      <c r="J427" s="56"/>
      <c r="K427" s="56"/>
      <c r="L427" s="56"/>
      <c r="M427" s="56"/>
      <c r="N427" s="56"/>
      <c r="O427" s="56"/>
      <c r="P427" s="56"/>
      <c r="Q427" s="56"/>
      <c r="R427" s="56"/>
      <c r="S427" s="56"/>
      <c r="T427" s="56"/>
      <c r="U427" s="56"/>
      <c r="V427" s="56"/>
      <c r="W427" s="56"/>
      <c r="X427" s="56"/>
      <c r="Y427" s="56"/>
      <c r="Z427" s="56"/>
      <c r="AA427" s="56"/>
    </row>
    <row r="428" spans="1:27" ht="15.75" customHeight="1" x14ac:dyDescent="0.25">
      <c r="A428" s="61"/>
      <c r="B428" s="61"/>
      <c r="C428" s="61"/>
      <c r="D428" s="56"/>
      <c r="E428" s="56"/>
      <c r="F428" s="56"/>
      <c r="G428" s="56"/>
      <c r="H428" s="56"/>
      <c r="I428" s="56"/>
      <c r="J428" s="56"/>
      <c r="K428" s="56"/>
      <c r="L428" s="56"/>
      <c r="M428" s="56"/>
      <c r="N428" s="56"/>
      <c r="O428" s="56"/>
      <c r="P428" s="56"/>
      <c r="Q428" s="56"/>
      <c r="R428" s="56"/>
      <c r="S428" s="56"/>
      <c r="T428" s="56"/>
      <c r="U428" s="56"/>
      <c r="V428" s="56"/>
      <c r="W428" s="56"/>
      <c r="X428" s="56"/>
      <c r="Y428" s="56"/>
      <c r="Z428" s="56"/>
      <c r="AA428" s="56"/>
    </row>
    <row r="429" spans="1:27" ht="15.75" customHeight="1" x14ac:dyDescent="0.25">
      <c r="A429" s="61"/>
      <c r="B429" s="61"/>
      <c r="C429" s="61"/>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row>
    <row r="430" spans="1:27" ht="15.75" customHeight="1" x14ac:dyDescent="0.25">
      <c r="A430" s="61"/>
      <c r="B430" s="61"/>
      <c r="C430" s="61"/>
      <c r="D430" s="56"/>
      <c r="E430" s="56"/>
      <c r="F430" s="56"/>
      <c r="G430" s="56"/>
      <c r="H430" s="56"/>
      <c r="I430" s="56"/>
      <c r="J430" s="56"/>
      <c r="K430" s="56"/>
      <c r="L430" s="56"/>
      <c r="M430" s="56"/>
      <c r="N430" s="56"/>
      <c r="O430" s="56"/>
      <c r="P430" s="56"/>
      <c r="Q430" s="56"/>
      <c r="R430" s="56"/>
      <c r="S430" s="56"/>
      <c r="T430" s="56"/>
      <c r="U430" s="56"/>
      <c r="V430" s="56"/>
      <c r="W430" s="56"/>
      <c r="X430" s="56"/>
      <c r="Y430" s="56"/>
      <c r="Z430" s="56"/>
      <c r="AA430" s="56"/>
    </row>
    <row r="431" spans="1:27" ht="15.75" customHeight="1" x14ac:dyDescent="0.25">
      <c r="A431" s="61"/>
      <c r="B431" s="61"/>
      <c r="C431" s="61"/>
      <c r="D431" s="56"/>
      <c r="E431" s="56"/>
      <c r="F431" s="56"/>
      <c r="G431" s="56"/>
      <c r="H431" s="56"/>
      <c r="I431" s="56"/>
      <c r="J431" s="56"/>
      <c r="K431" s="56"/>
      <c r="L431" s="56"/>
      <c r="M431" s="56"/>
      <c r="N431" s="56"/>
      <c r="O431" s="56"/>
      <c r="P431" s="56"/>
      <c r="Q431" s="56"/>
      <c r="R431" s="56"/>
      <c r="S431" s="56"/>
      <c r="T431" s="56"/>
      <c r="U431" s="56"/>
      <c r="V431" s="56"/>
      <c r="W431" s="56"/>
      <c r="X431" s="56"/>
      <c r="Y431" s="56"/>
      <c r="Z431" s="56"/>
      <c r="AA431" s="56"/>
    </row>
    <row r="432" spans="1:27" ht="15.75" customHeight="1" x14ac:dyDescent="0.25">
      <c r="A432" s="61"/>
      <c r="B432" s="61"/>
      <c r="C432" s="61"/>
      <c r="D432" s="56"/>
      <c r="E432" s="56"/>
      <c r="F432" s="56"/>
      <c r="G432" s="56"/>
      <c r="H432" s="56"/>
      <c r="I432" s="56"/>
      <c r="J432" s="56"/>
      <c r="K432" s="56"/>
      <c r="L432" s="56"/>
      <c r="M432" s="56"/>
      <c r="N432" s="56"/>
      <c r="O432" s="56"/>
      <c r="P432" s="56"/>
      <c r="Q432" s="56"/>
      <c r="R432" s="56"/>
      <c r="S432" s="56"/>
      <c r="T432" s="56"/>
      <c r="U432" s="56"/>
      <c r="V432" s="56"/>
      <c r="W432" s="56"/>
      <c r="X432" s="56"/>
      <c r="Y432" s="56"/>
      <c r="Z432" s="56"/>
      <c r="AA432" s="56"/>
    </row>
    <row r="433" spans="1:27" ht="15.75" customHeight="1" x14ac:dyDescent="0.25">
      <c r="A433" s="61"/>
      <c r="B433" s="61"/>
      <c r="C433" s="61"/>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row>
    <row r="434" spans="1:27" ht="15.75" customHeight="1" x14ac:dyDescent="0.25">
      <c r="A434" s="61"/>
      <c r="B434" s="61"/>
      <c r="C434" s="61"/>
      <c r="D434" s="56"/>
      <c r="E434" s="56"/>
      <c r="F434" s="56"/>
      <c r="G434" s="56"/>
      <c r="H434" s="56"/>
      <c r="I434" s="56"/>
      <c r="J434" s="56"/>
      <c r="K434" s="56"/>
      <c r="L434" s="56"/>
      <c r="M434" s="56"/>
      <c r="N434" s="56"/>
      <c r="O434" s="56"/>
      <c r="P434" s="56"/>
      <c r="Q434" s="56"/>
      <c r="R434" s="56"/>
      <c r="S434" s="56"/>
      <c r="T434" s="56"/>
      <c r="U434" s="56"/>
      <c r="V434" s="56"/>
      <c r="W434" s="56"/>
      <c r="X434" s="56"/>
      <c r="Y434" s="56"/>
      <c r="Z434" s="56"/>
      <c r="AA434" s="56"/>
    </row>
    <row r="435" spans="1:27" ht="15.75" customHeight="1" x14ac:dyDescent="0.25">
      <c r="A435" s="61"/>
      <c r="B435" s="61"/>
      <c r="C435" s="61"/>
      <c r="D435" s="56"/>
      <c r="E435" s="56"/>
      <c r="F435" s="56"/>
      <c r="G435" s="56"/>
      <c r="H435" s="56"/>
      <c r="I435" s="56"/>
      <c r="J435" s="56"/>
      <c r="K435" s="56"/>
      <c r="L435" s="56"/>
      <c r="M435" s="56"/>
      <c r="N435" s="56"/>
      <c r="O435" s="56"/>
      <c r="P435" s="56"/>
      <c r="Q435" s="56"/>
      <c r="R435" s="56"/>
      <c r="S435" s="56"/>
      <c r="T435" s="56"/>
      <c r="U435" s="56"/>
      <c r="V435" s="56"/>
      <c r="W435" s="56"/>
      <c r="X435" s="56"/>
      <c r="Y435" s="56"/>
      <c r="Z435" s="56"/>
      <c r="AA435" s="56"/>
    </row>
    <row r="436" spans="1:27" ht="15.75" customHeight="1" x14ac:dyDescent="0.25">
      <c r="A436" s="61"/>
      <c r="B436" s="61"/>
      <c r="C436" s="61"/>
      <c r="D436" s="56"/>
      <c r="E436" s="56"/>
      <c r="F436" s="56"/>
      <c r="G436" s="56"/>
      <c r="H436" s="56"/>
      <c r="I436" s="56"/>
      <c r="J436" s="56"/>
      <c r="K436" s="56"/>
      <c r="L436" s="56"/>
      <c r="M436" s="56"/>
      <c r="N436" s="56"/>
      <c r="O436" s="56"/>
      <c r="P436" s="56"/>
      <c r="Q436" s="56"/>
      <c r="R436" s="56"/>
      <c r="S436" s="56"/>
      <c r="T436" s="56"/>
      <c r="U436" s="56"/>
      <c r="V436" s="56"/>
      <c r="W436" s="56"/>
      <c r="X436" s="56"/>
      <c r="Y436" s="56"/>
      <c r="Z436" s="56"/>
      <c r="AA436" s="56"/>
    </row>
    <row r="437" spans="1:27" ht="15.75" customHeight="1" x14ac:dyDescent="0.25">
      <c r="A437" s="61"/>
      <c r="B437" s="61"/>
      <c r="C437" s="61"/>
      <c r="D437" s="56"/>
      <c r="E437" s="56"/>
      <c r="F437" s="56"/>
      <c r="G437" s="56"/>
      <c r="H437" s="56"/>
      <c r="I437" s="56"/>
      <c r="J437" s="56"/>
      <c r="K437" s="56"/>
      <c r="L437" s="56"/>
      <c r="M437" s="56"/>
      <c r="N437" s="56"/>
      <c r="O437" s="56"/>
      <c r="P437" s="56"/>
      <c r="Q437" s="56"/>
      <c r="R437" s="56"/>
      <c r="S437" s="56"/>
      <c r="T437" s="56"/>
      <c r="U437" s="56"/>
      <c r="V437" s="56"/>
      <c r="W437" s="56"/>
      <c r="X437" s="56"/>
      <c r="Y437" s="56"/>
      <c r="Z437" s="56"/>
      <c r="AA437" s="56"/>
    </row>
    <row r="438" spans="1:27" ht="15.75" customHeight="1" x14ac:dyDescent="0.25">
      <c r="A438" s="61"/>
      <c r="B438" s="61"/>
      <c r="C438" s="61"/>
      <c r="D438" s="56"/>
      <c r="E438" s="56"/>
      <c r="F438" s="56"/>
      <c r="G438" s="56"/>
      <c r="H438" s="56"/>
      <c r="I438" s="56"/>
      <c r="J438" s="56"/>
      <c r="K438" s="56"/>
      <c r="L438" s="56"/>
      <c r="M438" s="56"/>
      <c r="N438" s="56"/>
      <c r="O438" s="56"/>
      <c r="P438" s="56"/>
      <c r="Q438" s="56"/>
      <c r="R438" s="56"/>
      <c r="S438" s="56"/>
      <c r="T438" s="56"/>
      <c r="U438" s="56"/>
      <c r="V438" s="56"/>
      <c r="W438" s="56"/>
      <c r="X438" s="56"/>
      <c r="Y438" s="56"/>
      <c r="Z438" s="56"/>
      <c r="AA438" s="56"/>
    </row>
    <row r="439" spans="1:27" ht="15.75" customHeight="1" x14ac:dyDescent="0.25">
      <c r="A439" s="61"/>
      <c r="B439" s="61"/>
      <c r="C439" s="61"/>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row>
    <row r="440" spans="1:27" ht="15.75" customHeight="1" x14ac:dyDescent="0.25">
      <c r="A440" s="61"/>
      <c r="B440" s="61"/>
      <c r="C440" s="61"/>
      <c r="D440" s="56"/>
      <c r="E440" s="56"/>
      <c r="F440" s="56"/>
      <c r="G440" s="56"/>
      <c r="H440" s="56"/>
      <c r="I440" s="56"/>
      <c r="J440" s="56"/>
      <c r="K440" s="56"/>
      <c r="L440" s="56"/>
      <c r="M440" s="56"/>
      <c r="N440" s="56"/>
      <c r="O440" s="56"/>
      <c r="P440" s="56"/>
      <c r="Q440" s="56"/>
      <c r="R440" s="56"/>
      <c r="S440" s="56"/>
      <c r="T440" s="56"/>
      <c r="U440" s="56"/>
      <c r="V440" s="56"/>
      <c r="W440" s="56"/>
      <c r="X440" s="56"/>
      <c r="Y440" s="56"/>
      <c r="Z440" s="56"/>
      <c r="AA440" s="56"/>
    </row>
    <row r="441" spans="1:27" ht="15.75" customHeight="1" x14ac:dyDescent="0.25">
      <c r="A441" s="61"/>
      <c r="B441" s="61"/>
      <c r="C441" s="61"/>
      <c r="D441" s="56"/>
      <c r="E441" s="56"/>
      <c r="F441" s="56"/>
      <c r="G441" s="56"/>
      <c r="H441" s="56"/>
      <c r="I441" s="56"/>
      <c r="J441" s="56"/>
      <c r="K441" s="56"/>
      <c r="L441" s="56"/>
      <c r="M441" s="56"/>
      <c r="N441" s="56"/>
      <c r="O441" s="56"/>
      <c r="P441" s="56"/>
      <c r="Q441" s="56"/>
      <c r="R441" s="56"/>
      <c r="S441" s="56"/>
      <c r="T441" s="56"/>
      <c r="U441" s="56"/>
      <c r="V441" s="56"/>
      <c r="W441" s="56"/>
      <c r="X441" s="56"/>
      <c r="Y441" s="56"/>
      <c r="Z441" s="56"/>
      <c r="AA441" s="56"/>
    </row>
    <row r="442" spans="1:27" ht="15.75" customHeight="1" x14ac:dyDescent="0.25">
      <c r="A442" s="61"/>
      <c r="B442" s="61"/>
      <c r="C442" s="61"/>
      <c r="D442" s="56"/>
      <c r="E442" s="56"/>
      <c r="F442" s="56"/>
      <c r="G442" s="56"/>
      <c r="H442" s="56"/>
      <c r="I442" s="56"/>
      <c r="J442" s="56"/>
      <c r="K442" s="56"/>
      <c r="L442" s="56"/>
      <c r="M442" s="56"/>
      <c r="N442" s="56"/>
      <c r="O442" s="56"/>
      <c r="P442" s="56"/>
      <c r="Q442" s="56"/>
      <c r="R442" s="56"/>
      <c r="S442" s="56"/>
      <c r="T442" s="56"/>
      <c r="U442" s="56"/>
      <c r="V442" s="56"/>
      <c r="W442" s="56"/>
      <c r="X442" s="56"/>
      <c r="Y442" s="56"/>
      <c r="Z442" s="56"/>
      <c r="AA442" s="56"/>
    </row>
    <row r="443" spans="1:27" ht="15.75" customHeight="1" x14ac:dyDescent="0.25">
      <c r="A443" s="61"/>
      <c r="B443" s="61"/>
      <c r="C443" s="61"/>
      <c r="D443" s="56"/>
      <c r="E443" s="56"/>
      <c r="F443" s="56"/>
      <c r="G443" s="56"/>
      <c r="H443" s="56"/>
      <c r="I443" s="56"/>
      <c r="J443" s="56"/>
      <c r="K443" s="56"/>
      <c r="L443" s="56"/>
      <c r="M443" s="56"/>
      <c r="N443" s="56"/>
      <c r="O443" s="56"/>
      <c r="P443" s="56"/>
      <c r="Q443" s="56"/>
      <c r="R443" s="56"/>
      <c r="S443" s="56"/>
      <c r="T443" s="56"/>
      <c r="U443" s="56"/>
      <c r="V443" s="56"/>
      <c r="W443" s="56"/>
      <c r="X443" s="56"/>
      <c r="Y443" s="56"/>
      <c r="Z443" s="56"/>
      <c r="AA443" s="56"/>
    </row>
    <row r="444" spans="1:27" ht="15.75" customHeight="1" x14ac:dyDescent="0.25">
      <c r="A444" s="61"/>
      <c r="B444" s="61"/>
      <c r="C444" s="61"/>
      <c r="D444" s="56"/>
      <c r="E444" s="56"/>
      <c r="F444" s="56"/>
      <c r="G444" s="56"/>
      <c r="H444" s="56"/>
      <c r="I444" s="56"/>
      <c r="J444" s="56"/>
      <c r="K444" s="56"/>
      <c r="L444" s="56"/>
      <c r="M444" s="56"/>
      <c r="N444" s="56"/>
      <c r="O444" s="56"/>
      <c r="P444" s="56"/>
      <c r="Q444" s="56"/>
      <c r="R444" s="56"/>
      <c r="S444" s="56"/>
      <c r="T444" s="56"/>
      <c r="U444" s="56"/>
      <c r="V444" s="56"/>
      <c r="W444" s="56"/>
      <c r="X444" s="56"/>
      <c r="Y444" s="56"/>
      <c r="Z444" s="56"/>
      <c r="AA444" s="56"/>
    </row>
    <row r="445" spans="1:27" ht="15.75" customHeight="1" x14ac:dyDescent="0.25">
      <c r="A445" s="61"/>
      <c r="B445" s="61"/>
      <c r="C445" s="61"/>
      <c r="D445" s="56"/>
      <c r="E445" s="56"/>
      <c r="F445" s="56"/>
      <c r="G445" s="56"/>
      <c r="H445" s="56"/>
      <c r="I445" s="56"/>
      <c r="J445" s="56"/>
      <c r="K445" s="56"/>
      <c r="L445" s="56"/>
      <c r="M445" s="56"/>
      <c r="N445" s="56"/>
      <c r="O445" s="56"/>
      <c r="P445" s="56"/>
      <c r="Q445" s="56"/>
      <c r="R445" s="56"/>
      <c r="S445" s="56"/>
      <c r="T445" s="56"/>
      <c r="U445" s="56"/>
      <c r="V445" s="56"/>
      <c r="W445" s="56"/>
      <c r="X445" s="56"/>
      <c r="Y445" s="56"/>
      <c r="Z445" s="56"/>
      <c r="AA445" s="56"/>
    </row>
    <row r="446" spans="1:27" ht="15.75" customHeight="1" x14ac:dyDescent="0.25">
      <c r="A446" s="61"/>
      <c r="B446" s="61"/>
      <c r="C446" s="61"/>
      <c r="D446" s="56"/>
      <c r="E446" s="56"/>
      <c r="F446" s="56"/>
      <c r="G446" s="56"/>
      <c r="H446" s="56"/>
      <c r="I446" s="56"/>
      <c r="J446" s="56"/>
      <c r="K446" s="56"/>
      <c r="L446" s="56"/>
      <c r="M446" s="56"/>
      <c r="N446" s="56"/>
      <c r="O446" s="56"/>
      <c r="P446" s="56"/>
      <c r="Q446" s="56"/>
      <c r="R446" s="56"/>
      <c r="S446" s="56"/>
      <c r="T446" s="56"/>
      <c r="U446" s="56"/>
      <c r="V446" s="56"/>
      <c r="W446" s="56"/>
      <c r="X446" s="56"/>
      <c r="Y446" s="56"/>
      <c r="Z446" s="56"/>
      <c r="AA446" s="56"/>
    </row>
    <row r="447" spans="1:27" ht="15.75" customHeight="1" x14ac:dyDescent="0.25">
      <c r="A447" s="61"/>
      <c r="B447" s="61"/>
      <c r="C447" s="61"/>
      <c r="D447" s="56"/>
      <c r="E447" s="56"/>
      <c r="F447" s="56"/>
      <c r="G447" s="56"/>
      <c r="H447" s="56"/>
      <c r="I447" s="56"/>
      <c r="J447" s="56"/>
      <c r="K447" s="56"/>
      <c r="L447" s="56"/>
      <c r="M447" s="56"/>
      <c r="N447" s="56"/>
      <c r="O447" s="56"/>
      <c r="P447" s="56"/>
      <c r="Q447" s="56"/>
      <c r="R447" s="56"/>
      <c r="S447" s="56"/>
      <c r="T447" s="56"/>
      <c r="U447" s="56"/>
      <c r="V447" s="56"/>
      <c r="W447" s="56"/>
      <c r="X447" s="56"/>
      <c r="Y447" s="56"/>
      <c r="Z447" s="56"/>
      <c r="AA447" s="56"/>
    </row>
    <row r="448" spans="1:27" ht="15.75" customHeight="1" x14ac:dyDescent="0.25">
      <c r="A448" s="61"/>
      <c r="B448" s="61"/>
      <c r="C448" s="61"/>
      <c r="D448" s="56"/>
      <c r="E448" s="56"/>
      <c r="F448" s="56"/>
      <c r="G448" s="56"/>
      <c r="H448" s="56"/>
      <c r="I448" s="56"/>
      <c r="J448" s="56"/>
      <c r="K448" s="56"/>
      <c r="L448" s="56"/>
      <c r="M448" s="56"/>
      <c r="N448" s="56"/>
      <c r="O448" s="56"/>
      <c r="P448" s="56"/>
      <c r="Q448" s="56"/>
      <c r="R448" s="56"/>
      <c r="S448" s="56"/>
      <c r="T448" s="56"/>
      <c r="U448" s="56"/>
      <c r="V448" s="56"/>
      <c r="W448" s="56"/>
      <c r="X448" s="56"/>
      <c r="Y448" s="56"/>
      <c r="Z448" s="56"/>
      <c r="AA448" s="56"/>
    </row>
    <row r="449" spans="1:27" ht="15.75" customHeight="1" x14ac:dyDescent="0.25">
      <c r="A449" s="61"/>
      <c r="B449" s="61"/>
      <c r="C449" s="61"/>
      <c r="D449" s="56"/>
      <c r="E449" s="56"/>
      <c r="F449" s="56"/>
      <c r="G449" s="56"/>
      <c r="H449" s="56"/>
      <c r="I449" s="56"/>
      <c r="J449" s="56"/>
      <c r="K449" s="56"/>
      <c r="L449" s="56"/>
      <c r="M449" s="56"/>
      <c r="N449" s="56"/>
      <c r="O449" s="56"/>
      <c r="P449" s="56"/>
      <c r="Q449" s="56"/>
      <c r="R449" s="56"/>
      <c r="S449" s="56"/>
      <c r="T449" s="56"/>
      <c r="U449" s="56"/>
      <c r="V449" s="56"/>
      <c r="W449" s="56"/>
      <c r="X449" s="56"/>
      <c r="Y449" s="56"/>
      <c r="Z449" s="56"/>
      <c r="AA449" s="56"/>
    </row>
    <row r="450" spans="1:27" ht="15.75" customHeight="1" x14ac:dyDescent="0.25">
      <c r="A450" s="61"/>
      <c r="B450" s="61"/>
      <c r="C450" s="61"/>
      <c r="D450" s="56"/>
      <c r="E450" s="56"/>
      <c r="F450" s="56"/>
      <c r="G450" s="56"/>
      <c r="H450" s="56"/>
      <c r="I450" s="56"/>
      <c r="J450" s="56"/>
      <c r="K450" s="56"/>
      <c r="L450" s="56"/>
      <c r="M450" s="56"/>
      <c r="N450" s="56"/>
      <c r="O450" s="56"/>
      <c r="P450" s="56"/>
      <c r="Q450" s="56"/>
      <c r="R450" s="56"/>
      <c r="S450" s="56"/>
      <c r="T450" s="56"/>
      <c r="U450" s="56"/>
      <c r="V450" s="56"/>
      <c r="W450" s="56"/>
      <c r="X450" s="56"/>
      <c r="Y450" s="56"/>
      <c r="Z450" s="56"/>
      <c r="AA450" s="56"/>
    </row>
    <row r="451" spans="1:27" ht="15.75" customHeight="1" x14ac:dyDescent="0.25">
      <c r="A451" s="61"/>
      <c r="B451" s="61"/>
      <c r="C451" s="61"/>
      <c r="D451" s="56"/>
      <c r="E451" s="56"/>
      <c r="F451" s="56"/>
      <c r="G451" s="56"/>
      <c r="H451" s="56"/>
      <c r="I451" s="56"/>
      <c r="J451" s="56"/>
      <c r="K451" s="56"/>
      <c r="L451" s="56"/>
      <c r="M451" s="56"/>
      <c r="N451" s="56"/>
      <c r="O451" s="56"/>
      <c r="P451" s="56"/>
      <c r="Q451" s="56"/>
      <c r="R451" s="56"/>
      <c r="S451" s="56"/>
      <c r="T451" s="56"/>
      <c r="U451" s="56"/>
      <c r="V451" s="56"/>
      <c r="W451" s="56"/>
      <c r="X451" s="56"/>
      <c r="Y451" s="56"/>
      <c r="Z451" s="56"/>
      <c r="AA451" s="56"/>
    </row>
    <row r="452" spans="1:27" ht="15.75" customHeight="1" x14ac:dyDescent="0.25">
      <c r="A452" s="61"/>
      <c r="B452" s="61"/>
      <c r="C452" s="61"/>
      <c r="D452" s="56"/>
      <c r="E452" s="56"/>
      <c r="F452" s="56"/>
      <c r="G452" s="56"/>
      <c r="H452" s="56"/>
      <c r="I452" s="56"/>
      <c r="J452" s="56"/>
      <c r="K452" s="56"/>
      <c r="L452" s="56"/>
      <c r="M452" s="56"/>
      <c r="N452" s="56"/>
      <c r="O452" s="56"/>
      <c r="P452" s="56"/>
      <c r="Q452" s="56"/>
      <c r="R452" s="56"/>
      <c r="S452" s="56"/>
      <c r="T452" s="56"/>
      <c r="U452" s="56"/>
      <c r="V452" s="56"/>
      <c r="W452" s="56"/>
      <c r="X452" s="56"/>
      <c r="Y452" s="56"/>
      <c r="Z452" s="56"/>
      <c r="AA452" s="56"/>
    </row>
    <row r="453" spans="1:27" ht="15.75" customHeight="1" x14ac:dyDescent="0.25">
      <c r="A453" s="61"/>
      <c r="B453" s="61"/>
      <c r="C453" s="61"/>
      <c r="D453" s="56"/>
      <c r="E453" s="56"/>
      <c r="F453" s="56"/>
      <c r="G453" s="56"/>
      <c r="H453" s="56"/>
      <c r="I453" s="56"/>
      <c r="J453" s="56"/>
      <c r="K453" s="56"/>
      <c r="L453" s="56"/>
      <c r="M453" s="56"/>
      <c r="N453" s="56"/>
      <c r="O453" s="56"/>
      <c r="P453" s="56"/>
      <c r="Q453" s="56"/>
      <c r="R453" s="56"/>
      <c r="S453" s="56"/>
      <c r="T453" s="56"/>
      <c r="U453" s="56"/>
      <c r="V453" s="56"/>
      <c r="W453" s="56"/>
      <c r="X453" s="56"/>
      <c r="Y453" s="56"/>
      <c r="Z453" s="56"/>
      <c r="AA453" s="56"/>
    </row>
    <row r="454" spans="1:27" ht="15.75" customHeight="1" x14ac:dyDescent="0.25">
      <c r="A454" s="61"/>
      <c r="B454" s="61"/>
      <c r="C454" s="61"/>
      <c r="D454" s="56"/>
      <c r="E454" s="56"/>
      <c r="F454" s="56"/>
      <c r="G454" s="56"/>
      <c r="H454" s="56"/>
      <c r="I454" s="56"/>
      <c r="J454" s="56"/>
      <c r="K454" s="56"/>
      <c r="L454" s="56"/>
      <c r="M454" s="56"/>
      <c r="N454" s="56"/>
      <c r="O454" s="56"/>
      <c r="P454" s="56"/>
      <c r="Q454" s="56"/>
      <c r="R454" s="56"/>
      <c r="S454" s="56"/>
      <c r="T454" s="56"/>
      <c r="U454" s="56"/>
      <c r="V454" s="56"/>
      <c r="W454" s="56"/>
      <c r="X454" s="56"/>
      <c r="Y454" s="56"/>
      <c r="Z454" s="56"/>
      <c r="AA454" s="56"/>
    </row>
    <row r="455" spans="1:27" ht="15.75" customHeight="1" x14ac:dyDescent="0.25">
      <c r="A455" s="61"/>
      <c r="B455" s="61"/>
      <c r="C455" s="61"/>
      <c r="D455" s="56"/>
      <c r="E455" s="56"/>
      <c r="F455" s="56"/>
      <c r="G455" s="56"/>
      <c r="H455" s="56"/>
      <c r="I455" s="56"/>
      <c r="J455" s="56"/>
      <c r="K455" s="56"/>
      <c r="L455" s="56"/>
      <c r="M455" s="56"/>
      <c r="N455" s="56"/>
      <c r="O455" s="56"/>
      <c r="P455" s="56"/>
      <c r="Q455" s="56"/>
      <c r="R455" s="56"/>
      <c r="S455" s="56"/>
      <c r="T455" s="56"/>
      <c r="U455" s="56"/>
      <c r="V455" s="56"/>
      <c r="W455" s="56"/>
      <c r="X455" s="56"/>
      <c r="Y455" s="56"/>
      <c r="Z455" s="56"/>
      <c r="AA455" s="56"/>
    </row>
    <row r="456" spans="1:27" ht="15.75" customHeight="1" x14ac:dyDescent="0.25">
      <c r="A456" s="61"/>
      <c r="B456" s="61"/>
      <c r="C456" s="61"/>
      <c r="D456" s="56"/>
      <c r="E456" s="56"/>
      <c r="F456" s="56"/>
      <c r="G456" s="56"/>
      <c r="H456" s="56"/>
      <c r="I456" s="56"/>
      <c r="J456" s="56"/>
      <c r="K456" s="56"/>
      <c r="L456" s="56"/>
      <c r="M456" s="56"/>
      <c r="N456" s="56"/>
      <c r="O456" s="56"/>
      <c r="P456" s="56"/>
      <c r="Q456" s="56"/>
      <c r="R456" s="56"/>
      <c r="S456" s="56"/>
      <c r="T456" s="56"/>
      <c r="U456" s="56"/>
      <c r="V456" s="56"/>
      <c r="W456" s="56"/>
      <c r="X456" s="56"/>
      <c r="Y456" s="56"/>
      <c r="Z456" s="56"/>
      <c r="AA456" s="56"/>
    </row>
    <row r="457" spans="1:27" ht="15.75" customHeight="1" x14ac:dyDescent="0.25">
      <c r="A457" s="61"/>
      <c r="B457" s="61"/>
      <c r="C457" s="61"/>
      <c r="D457" s="56"/>
      <c r="E457" s="56"/>
      <c r="F457" s="56"/>
      <c r="G457" s="56"/>
      <c r="H457" s="56"/>
      <c r="I457" s="56"/>
      <c r="J457" s="56"/>
      <c r="K457" s="56"/>
      <c r="L457" s="56"/>
      <c r="M457" s="56"/>
      <c r="N457" s="56"/>
      <c r="O457" s="56"/>
      <c r="P457" s="56"/>
      <c r="Q457" s="56"/>
      <c r="R457" s="56"/>
      <c r="S457" s="56"/>
      <c r="T457" s="56"/>
      <c r="U457" s="56"/>
      <c r="V457" s="56"/>
      <c r="W457" s="56"/>
      <c r="X457" s="56"/>
      <c r="Y457" s="56"/>
      <c r="Z457" s="56"/>
      <c r="AA457" s="56"/>
    </row>
    <row r="458" spans="1:27" ht="15.75" customHeight="1" x14ac:dyDescent="0.25">
      <c r="A458" s="61"/>
      <c r="B458" s="61"/>
      <c r="C458" s="61"/>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row>
    <row r="459" spans="1:27" ht="15.75" customHeight="1" x14ac:dyDescent="0.25">
      <c r="A459" s="61"/>
      <c r="B459" s="61"/>
      <c r="C459" s="61"/>
      <c r="D459" s="56"/>
      <c r="E459" s="56"/>
      <c r="F459" s="56"/>
      <c r="G459" s="56"/>
      <c r="H459" s="56"/>
      <c r="I459" s="56"/>
      <c r="J459" s="56"/>
      <c r="K459" s="56"/>
      <c r="L459" s="56"/>
      <c r="M459" s="56"/>
      <c r="N459" s="56"/>
      <c r="O459" s="56"/>
      <c r="P459" s="56"/>
      <c r="Q459" s="56"/>
      <c r="R459" s="56"/>
      <c r="S459" s="56"/>
      <c r="T459" s="56"/>
      <c r="U459" s="56"/>
      <c r="V459" s="56"/>
      <c r="W459" s="56"/>
      <c r="X459" s="56"/>
      <c r="Y459" s="56"/>
      <c r="Z459" s="56"/>
      <c r="AA459" s="56"/>
    </row>
    <row r="460" spans="1:27" ht="15.75" customHeight="1" x14ac:dyDescent="0.25">
      <c r="A460" s="61"/>
      <c r="B460" s="61"/>
      <c r="C460" s="61"/>
      <c r="D460" s="56"/>
      <c r="E460" s="56"/>
      <c r="F460" s="56"/>
      <c r="G460" s="56"/>
      <c r="H460" s="56"/>
      <c r="I460" s="56"/>
      <c r="J460" s="56"/>
      <c r="K460" s="56"/>
      <c r="L460" s="56"/>
      <c r="M460" s="56"/>
      <c r="N460" s="56"/>
      <c r="O460" s="56"/>
      <c r="P460" s="56"/>
      <c r="Q460" s="56"/>
      <c r="R460" s="56"/>
      <c r="S460" s="56"/>
      <c r="T460" s="56"/>
      <c r="U460" s="56"/>
      <c r="V460" s="56"/>
      <c r="W460" s="56"/>
      <c r="X460" s="56"/>
      <c r="Y460" s="56"/>
      <c r="Z460" s="56"/>
      <c r="AA460" s="56"/>
    </row>
    <row r="461" spans="1:27" ht="15.75" customHeight="1" x14ac:dyDescent="0.25">
      <c r="A461" s="61"/>
      <c r="B461" s="61"/>
      <c r="C461" s="61"/>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row>
    <row r="462" spans="1:27" ht="15.75" customHeight="1" x14ac:dyDescent="0.25">
      <c r="A462" s="61"/>
      <c r="B462" s="61"/>
      <c r="C462" s="61"/>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row>
    <row r="463" spans="1:27" ht="15.75" customHeight="1" x14ac:dyDescent="0.25">
      <c r="A463" s="61"/>
      <c r="B463" s="61"/>
      <c r="C463" s="61"/>
      <c r="D463" s="56"/>
      <c r="E463" s="56"/>
      <c r="F463" s="56"/>
      <c r="G463" s="56"/>
      <c r="H463" s="56"/>
      <c r="I463" s="56"/>
      <c r="J463" s="56"/>
      <c r="K463" s="56"/>
      <c r="L463" s="56"/>
      <c r="M463" s="56"/>
      <c r="N463" s="56"/>
      <c r="O463" s="56"/>
      <c r="P463" s="56"/>
      <c r="Q463" s="56"/>
      <c r="R463" s="56"/>
      <c r="S463" s="56"/>
      <c r="T463" s="56"/>
      <c r="U463" s="56"/>
      <c r="V463" s="56"/>
      <c r="W463" s="56"/>
      <c r="X463" s="56"/>
      <c r="Y463" s="56"/>
      <c r="Z463" s="56"/>
      <c r="AA463" s="56"/>
    </row>
    <row r="464" spans="1:27" ht="15.75" customHeight="1" x14ac:dyDescent="0.25">
      <c r="A464" s="61"/>
      <c r="B464" s="61"/>
      <c r="C464" s="61"/>
      <c r="D464" s="56"/>
      <c r="E464" s="56"/>
      <c r="F464" s="56"/>
      <c r="G464" s="56"/>
      <c r="H464" s="56"/>
      <c r="I464" s="56"/>
      <c r="J464" s="56"/>
      <c r="K464" s="56"/>
      <c r="L464" s="56"/>
      <c r="M464" s="56"/>
      <c r="N464" s="56"/>
      <c r="O464" s="56"/>
      <c r="P464" s="56"/>
      <c r="Q464" s="56"/>
      <c r="R464" s="56"/>
      <c r="S464" s="56"/>
      <c r="T464" s="56"/>
      <c r="U464" s="56"/>
      <c r="V464" s="56"/>
      <c r="W464" s="56"/>
      <c r="X464" s="56"/>
      <c r="Y464" s="56"/>
      <c r="Z464" s="56"/>
      <c r="AA464" s="56"/>
    </row>
    <row r="465" spans="1:27" ht="15.75" customHeight="1" x14ac:dyDescent="0.25">
      <c r="A465" s="61"/>
      <c r="B465" s="61"/>
      <c r="C465" s="61"/>
      <c r="D465" s="56"/>
      <c r="E465" s="56"/>
      <c r="F465" s="56"/>
      <c r="G465" s="56"/>
      <c r="H465" s="56"/>
      <c r="I465" s="56"/>
      <c r="J465" s="56"/>
      <c r="K465" s="56"/>
      <c r="L465" s="56"/>
      <c r="M465" s="56"/>
      <c r="N465" s="56"/>
      <c r="O465" s="56"/>
      <c r="P465" s="56"/>
      <c r="Q465" s="56"/>
      <c r="R465" s="56"/>
      <c r="S465" s="56"/>
      <c r="T465" s="56"/>
      <c r="U465" s="56"/>
      <c r="V465" s="56"/>
      <c r="W465" s="56"/>
      <c r="X465" s="56"/>
      <c r="Y465" s="56"/>
      <c r="Z465" s="56"/>
      <c r="AA465" s="56"/>
    </row>
    <row r="466" spans="1:27" ht="15.75" customHeight="1" x14ac:dyDescent="0.25">
      <c r="A466" s="61"/>
      <c r="B466" s="61"/>
      <c r="C466" s="61"/>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row>
    <row r="467" spans="1:27" ht="15.75" customHeight="1" x14ac:dyDescent="0.25">
      <c r="A467" s="61"/>
      <c r="B467" s="61"/>
      <c r="C467" s="61"/>
      <c r="D467" s="56"/>
      <c r="E467" s="56"/>
      <c r="F467" s="56"/>
      <c r="G467" s="56"/>
      <c r="H467" s="56"/>
      <c r="I467" s="56"/>
      <c r="J467" s="56"/>
      <c r="K467" s="56"/>
      <c r="L467" s="56"/>
      <c r="M467" s="56"/>
      <c r="N467" s="56"/>
      <c r="O467" s="56"/>
      <c r="P467" s="56"/>
      <c r="Q467" s="56"/>
      <c r="R467" s="56"/>
      <c r="S467" s="56"/>
      <c r="T467" s="56"/>
      <c r="U467" s="56"/>
      <c r="V467" s="56"/>
      <c r="W467" s="56"/>
      <c r="X467" s="56"/>
      <c r="Y467" s="56"/>
      <c r="Z467" s="56"/>
      <c r="AA467" s="56"/>
    </row>
    <row r="468" spans="1:27" ht="15.75" customHeight="1" x14ac:dyDescent="0.25">
      <c r="A468" s="61"/>
      <c r="B468" s="61"/>
      <c r="C468" s="61"/>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row>
    <row r="469" spans="1:27" ht="15.75" customHeight="1" x14ac:dyDescent="0.25">
      <c r="A469" s="61"/>
      <c r="B469" s="61"/>
      <c r="C469" s="61"/>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row>
    <row r="470" spans="1:27" ht="15.75" customHeight="1" x14ac:dyDescent="0.25">
      <c r="A470" s="61"/>
      <c r="B470" s="61"/>
      <c r="C470" s="61"/>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row>
    <row r="471" spans="1:27" ht="15.75" customHeight="1" x14ac:dyDescent="0.25">
      <c r="A471" s="61"/>
      <c r="B471" s="61"/>
      <c r="C471" s="61"/>
      <c r="D471" s="56"/>
      <c r="E471" s="56"/>
      <c r="F471" s="56"/>
      <c r="G471" s="56"/>
      <c r="H471" s="56"/>
      <c r="I471" s="56"/>
      <c r="J471" s="56"/>
      <c r="K471" s="56"/>
      <c r="L471" s="56"/>
      <c r="M471" s="56"/>
      <c r="N471" s="56"/>
      <c r="O471" s="56"/>
      <c r="P471" s="56"/>
      <c r="Q471" s="56"/>
      <c r="R471" s="56"/>
      <c r="S471" s="56"/>
      <c r="T471" s="56"/>
      <c r="U471" s="56"/>
      <c r="V471" s="56"/>
      <c r="W471" s="56"/>
      <c r="X471" s="56"/>
      <c r="Y471" s="56"/>
      <c r="Z471" s="56"/>
      <c r="AA471" s="56"/>
    </row>
    <row r="472" spans="1:27" ht="15.75" customHeight="1" x14ac:dyDescent="0.25">
      <c r="A472" s="61"/>
      <c r="B472" s="61"/>
      <c r="C472" s="61"/>
      <c r="D472" s="56"/>
      <c r="E472" s="56"/>
      <c r="F472" s="56"/>
      <c r="G472" s="56"/>
      <c r="H472" s="56"/>
      <c r="I472" s="56"/>
      <c r="J472" s="56"/>
      <c r="K472" s="56"/>
      <c r="L472" s="56"/>
      <c r="M472" s="56"/>
      <c r="N472" s="56"/>
      <c r="O472" s="56"/>
      <c r="P472" s="56"/>
      <c r="Q472" s="56"/>
      <c r="R472" s="56"/>
      <c r="S472" s="56"/>
      <c r="T472" s="56"/>
      <c r="U472" s="56"/>
      <c r="V472" s="56"/>
      <c r="W472" s="56"/>
      <c r="X472" s="56"/>
      <c r="Y472" s="56"/>
      <c r="Z472" s="56"/>
      <c r="AA472" s="56"/>
    </row>
    <row r="473" spans="1:27" ht="15.75" customHeight="1" x14ac:dyDescent="0.25">
      <c r="A473" s="61"/>
      <c r="B473" s="61"/>
      <c r="C473" s="61"/>
      <c r="D473" s="56"/>
      <c r="E473" s="56"/>
      <c r="F473" s="56"/>
      <c r="G473" s="56"/>
      <c r="H473" s="56"/>
      <c r="I473" s="56"/>
      <c r="J473" s="56"/>
      <c r="K473" s="56"/>
      <c r="L473" s="56"/>
      <c r="M473" s="56"/>
      <c r="N473" s="56"/>
      <c r="O473" s="56"/>
      <c r="P473" s="56"/>
      <c r="Q473" s="56"/>
      <c r="R473" s="56"/>
      <c r="S473" s="56"/>
      <c r="T473" s="56"/>
      <c r="U473" s="56"/>
      <c r="V473" s="56"/>
      <c r="W473" s="56"/>
      <c r="X473" s="56"/>
      <c r="Y473" s="56"/>
      <c r="Z473" s="56"/>
      <c r="AA473" s="56"/>
    </row>
    <row r="474" spans="1:27" ht="15.75" customHeight="1" x14ac:dyDescent="0.25">
      <c r="A474" s="61"/>
      <c r="B474" s="61"/>
      <c r="C474" s="61"/>
      <c r="D474" s="56"/>
      <c r="E474" s="56"/>
      <c r="F474" s="56"/>
      <c r="G474" s="56"/>
      <c r="H474" s="56"/>
      <c r="I474" s="56"/>
      <c r="J474" s="56"/>
      <c r="K474" s="56"/>
      <c r="L474" s="56"/>
      <c r="M474" s="56"/>
      <c r="N474" s="56"/>
      <c r="O474" s="56"/>
      <c r="P474" s="56"/>
      <c r="Q474" s="56"/>
      <c r="R474" s="56"/>
      <c r="S474" s="56"/>
      <c r="T474" s="56"/>
      <c r="U474" s="56"/>
      <c r="V474" s="56"/>
      <c r="W474" s="56"/>
      <c r="X474" s="56"/>
      <c r="Y474" s="56"/>
      <c r="Z474" s="56"/>
      <c r="AA474" s="56"/>
    </row>
    <row r="475" spans="1:27" ht="15.75" customHeight="1" x14ac:dyDescent="0.25">
      <c r="A475" s="61"/>
      <c r="B475" s="61"/>
      <c r="C475" s="61"/>
      <c r="D475" s="56"/>
      <c r="E475" s="56"/>
      <c r="F475" s="56"/>
      <c r="G475" s="56"/>
      <c r="H475" s="56"/>
      <c r="I475" s="56"/>
      <c r="J475" s="56"/>
      <c r="K475" s="56"/>
      <c r="L475" s="56"/>
      <c r="M475" s="56"/>
      <c r="N475" s="56"/>
      <c r="O475" s="56"/>
      <c r="P475" s="56"/>
      <c r="Q475" s="56"/>
      <c r="R475" s="56"/>
      <c r="S475" s="56"/>
      <c r="T475" s="56"/>
      <c r="U475" s="56"/>
      <c r="V475" s="56"/>
      <c r="W475" s="56"/>
      <c r="X475" s="56"/>
      <c r="Y475" s="56"/>
      <c r="Z475" s="56"/>
      <c r="AA475" s="56"/>
    </row>
    <row r="476" spans="1:27" ht="15.75" customHeight="1" x14ac:dyDescent="0.25">
      <c r="A476" s="61"/>
      <c r="B476" s="61"/>
      <c r="C476" s="61"/>
      <c r="D476" s="56"/>
      <c r="E476" s="56"/>
      <c r="F476" s="56"/>
      <c r="G476" s="56"/>
      <c r="H476" s="56"/>
      <c r="I476" s="56"/>
      <c r="J476" s="56"/>
      <c r="K476" s="56"/>
      <c r="L476" s="56"/>
      <c r="M476" s="56"/>
      <c r="N476" s="56"/>
      <c r="O476" s="56"/>
      <c r="P476" s="56"/>
      <c r="Q476" s="56"/>
      <c r="R476" s="56"/>
      <c r="S476" s="56"/>
      <c r="T476" s="56"/>
      <c r="U476" s="56"/>
      <c r="V476" s="56"/>
      <c r="W476" s="56"/>
      <c r="X476" s="56"/>
      <c r="Y476" s="56"/>
      <c r="Z476" s="56"/>
      <c r="AA476" s="56"/>
    </row>
    <row r="477" spans="1:27" ht="15.75" customHeight="1" x14ac:dyDescent="0.25">
      <c r="A477" s="61"/>
      <c r="B477" s="61"/>
      <c r="C477" s="61"/>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row>
    <row r="478" spans="1:27" ht="15.75" customHeight="1" x14ac:dyDescent="0.25">
      <c r="A478" s="61"/>
      <c r="B478" s="61"/>
      <c r="C478" s="61"/>
      <c r="D478" s="56"/>
      <c r="E478" s="56"/>
      <c r="F478" s="56"/>
      <c r="G478" s="56"/>
      <c r="H478" s="56"/>
      <c r="I478" s="56"/>
      <c r="J478" s="56"/>
      <c r="K478" s="56"/>
      <c r="L478" s="56"/>
      <c r="M478" s="56"/>
      <c r="N478" s="56"/>
      <c r="O478" s="56"/>
      <c r="P478" s="56"/>
      <c r="Q478" s="56"/>
      <c r="R478" s="56"/>
      <c r="S478" s="56"/>
      <c r="T478" s="56"/>
      <c r="U478" s="56"/>
      <c r="V478" s="56"/>
      <c r="W478" s="56"/>
      <c r="X478" s="56"/>
      <c r="Y478" s="56"/>
      <c r="Z478" s="56"/>
      <c r="AA478" s="56"/>
    </row>
    <row r="479" spans="1:27" ht="15.75" customHeight="1" x14ac:dyDescent="0.25">
      <c r="A479" s="61"/>
      <c r="B479" s="61"/>
      <c r="C479" s="61"/>
      <c r="D479" s="56"/>
      <c r="E479" s="56"/>
      <c r="F479" s="56"/>
      <c r="G479" s="56"/>
      <c r="H479" s="56"/>
      <c r="I479" s="56"/>
      <c r="J479" s="56"/>
      <c r="K479" s="56"/>
      <c r="L479" s="56"/>
      <c r="M479" s="56"/>
      <c r="N479" s="56"/>
      <c r="O479" s="56"/>
      <c r="P479" s="56"/>
      <c r="Q479" s="56"/>
      <c r="R479" s="56"/>
      <c r="S479" s="56"/>
      <c r="T479" s="56"/>
      <c r="U479" s="56"/>
      <c r="V479" s="56"/>
      <c r="W479" s="56"/>
      <c r="X479" s="56"/>
      <c r="Y479" s="56"/>
      <c r="Z479" s="56"/>
      <c r="AA479" s="56"/>
    </row>
    <row r="480" spans="1:27" ht="15.75" customHeight="1" x14ac:dyDescent="0.25">
      <c r="A480" s="61"/>
      <c r="B480" s="61"/>
      <c r="C480" s="61"/>
      <c r="D480" s="56"/>
      <c r="E480" s="56"/>
      <c r="F480" s="56"/>
      <c r="G480" s="56"/>
      <c r="H480" s="56"/>
      <c r="I480" s="56"/>
      <c r="J480" s="56"/>
      <c r="K480" s="56"/>
      <c r="L480" s="56"/>
      <c r="M480" s="56"/>
      <c r="N480" s="56"/>
      <c r="O480" s="56"/>
      <c r="P480" s="56"/>
      <c r="Q480" s="56"/>
      <c r="R480" s="56"/>
      <c r="S480" s="56"/>
      <c r="T480" s="56"/>
      <c r="U480" s="56"/>
      <c r="V480" s="56"/>
      <c r="W480" s="56"/>
      <c r="X480" s="56"/>
      <c r="Y480" s="56"/>
      <c r="Z480" s="56"/>
      <c r="AA480" s="56"/>
    </row>
    <row r="481" spans="1:27" ht="15.75" customHeight="1" x14ac:dyDescent="0.25">
      <c r="A481" s="61"/>
      <c r="B481" s="61"/>
      <c r="C481" s="61"/>
      <c r="D481" s="56"/>
      <c r="E481" s="56"/>
      <c r="F481" s="56"/>
      <c r="G481" s="56"/>
      <c r="H481" s="56"/>
      <c r="I481" s="56"/>
      <c r="J481" s="56"/>
      <c r="K481" s="56"/>
      <c r="L481" s="56"/>
      <c r="M481" s="56"/>
      <c r="N481" s="56"/>
      <c r="O481" s="56"/>
      <c r="P481" s="56"/>
      <c r="Q481" s="56"/>
      <c r="R481" s="56"/>
      <c r="S481" s="56"/>
      <c r="T481" s="56"/>
      <c r="U481" s="56"/>
      <c r="V481" s="56"/>
      <c r="W481" s="56"/>
      <c r="X481" s="56"/>
      <c r="Y481" s="56"/>
      <c r="Z481" s="56"/>
      <c r="AA481" s="56"/>
    </row>
    <row r="482" spans="1:27" ht="15.75" customHeight="1" x14ac:dyDescent="0.25">
      <c r="A482" s="61"/>
      <c r="B482" s="61"/>
      <c r="C482" s="61"/>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row>
    <row r="483" spans="1:27" ht="15.75" customHeight="1" x14ac:dyDescent="0.25">
      <c r="A483" s="61"/>
      <c r="B483" s="61"/>
      <c r="C483" s="61"/>
      <c r="D483" s="56"/>
      <c r="E483" s="56"/>
      <c r="F483" s="56"/>
      <c r="G483" s="56"/>
      <c r="H483" s="56"/>
      <c r="I483" s="56"/>
      <c r="J483" s="56"/>
      <c r="K483" s="56"/>
      <c r="L483" s="56"/>
      <c r="M483" s="56"/>
      <c r="N483" s="56"/>
      <c r="O483" s="56"/>
      <c r="P483" s="56"/>
      <c r="Q483" s="56"/>
      <c r="R483" s="56"/>
      <c r="S483" s="56"/>
      <c r="T483" s="56"/>
      <c r="U483" s="56"/>
      <c r="V483" s="56"/>
      <c r="W483" s="56"/>
      <c r="X483" s="56"/>
      <c r="Y483" s="56"/>
      <c r="Z483" s="56"/>
      <c r="AA483" s="56"/>
    </row>
    <row r="484" spans="1:27" ht="15.75" customHeight="1" x14ac:dyDescent="0.25">
      <c r="A484" s="61"/>
      <c r="B484" s="61"/>
      <c r="C484" s="61"/>
      <c r="D484" s="56"/>
      <c r="E484" s="56"/>
      <c r="F484" s="56"/>
      <c r="G484" s="56"/>
      <c r="H484" s="56"/>
      <c r="I484" s="56"/>
      <c r="J484" s="56"/>
      <c r="K484" s="56"/>
      <c r="L484" s="56"/>
      <c r="M484" s="56"/>
      <c r="N484" s="56"/>
      <c r="O484" s="56"/>
      <c r="P484" s="56"/>
      <c r="Q484" s="56"/>
      <c r="R484" s="56"/>
      <c r="S484" s="56"/>
      <c r="T484" s="56"/>
      <c r="U484" s="56"/>
      <c r="V484" s="56"/>
      <c r="W484" s="56"/>
      <c r="X484" s="56"/>
      <c r="Y484" s="56"/>
      <c r="Z484" s="56"/>
      <c r="AA484" s="56"/>
    </row>
    <row r="485" spans="1:27" ht="15.75" customHeight="1" x14ac:dyDescent="0.25">
      <c r="A485" s="61"/>
      <c r="B485" s="61"/>
      <c r="C485" s="61"/>
      <c r="D485" s="56"/>
      <c r="E485" s="56"/>
      <c r="F485" s="56"/>
      <c r="G485" s="56"/>
      <c r="H485" s="56"/>
      <c r="I485" s="56"/>
      <c r="J485" s="56"/>
      <c r="K485" s="56"/>
      <c r="L485" s="56"/>
      <c r="M485" s="56"/>
      <c r="N485" s="56"/>
      <c r="O485" s="56"/>
      <c r="P485" s="56"/>
      <c r="Q485" s="56"/>
      <c r="R485" s="56"/>
      <c r="S485" s="56"/>
      <c r="T485" s="56"/>
      <c r="U485" s="56"/>
      <c r="V485" s="56"/>
      <c r="W485" s="56"/>
      <c r="X485" s="56"/>
      <c r="Y485" s="56"/>
      <c r="Z485" s="56"/>
      <c r="AA485" s="56"/>
    </row>
    <row r="486" spans="1:27" ht="15.75" customHeight="1" x14ac:dyDescent="0.25">
      <c r="A486" s="61"/>
      <c r="B486" s="61"/>
      <c r="C486" s="61"/>
      <c r="D486" s="56"/>
      <c r="E486" s="56"/>
      <c r="F486" s="56"/>
      <c r="G486" s="56"/>
      <c r="H486" s="56"/>
      <c r="I486" s="56"/>
      <c r="J486" s="56"/>
      <c r="K486" s="56"/>
      <c r="L486" s="56"/>
      <c r="M486" s="56"/>
      <c r="N486" s="56"/>
      <c r="O486" s="56"/>
      <c r="P486" s="56"/>
      <c r="Q486" s="56"/>
      <c r="R486" s="56"/>
      <c r="S486" s="56"/>
      <c r="T486" s="56"/>
      <c r="U486" s="56"/>
      <c r="V486" s="56"/>
      <c r="W486" s="56"/>
      <c r="X486" s="56"/>
      <c r="Y486" s="56"/>
      <c r="Z486" s="56"/>
      <c r="AA486" s="56"/>
    </row>
    <row r="487" spans="1:27" ht="15.75" customHeight="1" x14ac:dyDescent="0.25">
      <c r="A487" s="61"/>
      <c r="B487" s="61"/>
      <c r="C487" s="61"/>
      <c r="D487" s="56"/>
      <c r="E487" s="56"/>
      <c r="F487" s="56"/>
      <c r="G487" s="56"/>
      <c r="H487" s="56"/>
      <c r="I487" s="56"/>
      <c r="J487" s="56"/>
      <c r="K487" s="56"/>
      <c r="L487" s="56"/>
      <c r="M487" s="56"/>
      <c r="N487" s="56"/>
      <c r="O487" s="56"/>
      <c r="P487" s="56"/>
      <c r="Q487" s="56"/>
      <c r="R487" s="56"/>
      <c r="S487" s="56"/>
      <c r="T487" s="56"/>
      <c r="U487" s="56"/>
      <c r="V487" s="56"/>
      <c r="W487" s="56"/>
      <c r="X487" s="56"/>
      <c r="Y487" s="56"/>
      <c r="Z487" s="56"/>
      <c r="AA487" s="56"/>
    </row>
    <row r="488" spans="1:27" ht="15.75" customHeight="1" x14ac:dyDescent="0.25">
      <c r="A488" s="61"/>
      <c r="B488" s="61"/>
      <c r="C488" s="61"/>
      <c r="D488" s="56"/>
      <c r="E488" s="56"/>
      <c r="F488" s="56"/>
      <c r="G488" s="56"/>
      <c r="H488" s="56"/>
      <c r="I488" s="56"/>
      <c r="J488" s="56"/>
      <c r="K488" s="56"/>
      <c r="L488" s="56"/>
      <c r="M488" s="56"/>
      <c r="N488" s="56"/>
      <c r="O488" s="56"/>
      <c r="P488" s="56"/>
      <c r="Q488" s="56"/>
      <c r="R488" s="56"/>
      <c r="S488" s="56"/>
      <c r="T488" s="56"/>
      <c r="U488" s="56"/>
      <c r="V488" s="56"/>
      <c r="W488" s="56"/>
      <c r="X488" s="56"/>
      <c r="Y488" s="56"/>
      <c r="Z488" s="56"/>
      <c r="AA488" s="56"/>
    </row>
    <row r="489" spans="1:27" ht="15.75" customHeight="1" x14ac:dyDescent="0.25">
      <c r="A489" s="61"/>
      <c r="B489" s="61"/>
      <c r="C489" s="61"/>
      <c r="D489" s="56"/>
      <c r="E489" s="56"/>
      <c r="F489" s="56"/>
      <c r="G489" s="56"/>
      <c r="H489" s="56"/>
      <c r="I489" s="56"/>
      <c r="J489" s="56"/>
      <c r="K489" s="56"/>
      <c r="L489" s="56"/>
      <c r="M489" s="56"/>
      <c r="N489" s="56"/>
      <c r="O489" s="56"/>
      <c r="P489" s="56"/>
      <c r="Q489" s="56"/>
      <c r="R489" s="56"/>
      <c r="S489" s="56"/>
      <c r="T489" s="56"/>
      <c r="U489" s="56"/>
      <c r="V489" s="56"/>
      <c r="W489" s="56"/>
      <c r="X489" s="56"/>
      <c r="Y489" s="56"/>
      <c r="Z489" s="56"/>
      <c r="AA489" s="56"/>
    </row>
    <row r="490" spans="1:27" ht="15.75" customHeight="1" x14ac:dyDescent="0.25">
      <c r="A490" s="61"/>
      <c r="B490" s="61"/>
      <c r="C490" s="61"/>
      <c r="D490" s="56"/>
      <c r="E490" s="56"/>
      <c r="F490" s="56"/>
      <c r="G490" s="56"/>
      <c r="H490" s="56"/>
      <c r="I490" s="56"/>
      <c r="J490" s="56"/>
      <c r="K490" s="56"/>
      <c r="L490" s="56"/>
      <c r="M490" s="56"/>
      <c r="N490" s="56"/>
      <c r="O490" s="56"/>
      <c r="P490" s="56"/>
      <c r="Q490" s="56"/>
      <c r="R490" s="56"/>
      <c r="S490" s="56"/>
      <c r="T490" s="56"/>
      <c r="U490" s="56"/>
      <c r="V490" s="56"/>
      <c r="W490" s="56"/>
      <c r="X490" s="56"/>
      <c r="Y490" s="56"/>
      <c r="Z490" s="56"/>
      <c r="AA490" s="56"/>
    </row>
    <row r="491" spans="1:27" ht="15.75" customHeight="1" x14ac:dyDescent="0.25">
      <c r="A491" s="61"/>
      <c r="B491" s="61"/>
      <c r="C491" s="61"/>
      <c r="D491" s="56"/>
      <c r="E491" s="56"/>
      <c r="F491" s="56"/>
      <c r="G491" s="56"/>
      <c r="H491" s="56"/>
      <c r="I491" s="56"/>
      <c r="J491" s="56"/>
      <c r="K491" s="56"/>
      <c r="L491" s="56"/>
      <c r="M491" s="56"/>
      <c r="N491" s="56"/>
      <c r="O491" s="56"/>
      <c r="P491" s="56"/>
      <c r="Q491" s="56"/>
      <c r="R491" s="56"/>
      <c r="S491" s="56"/>
      <c r="T491" s="56"/>
      <c r="U491" s="56"/>
      <c r="V491" s="56"/>
      <c r="W491" s="56"/>
      <c r="X491" s="56"/>
      <c r="Y491" s="56"/>
      <c r="Z491" s="56"/>
      <c r="AA491" s="56"/>
    </row>
    <row r="492" spans="1:27" ht="15.75" customHeight="1" x14ac:dyDescent="0.25">
      <c r="A492" s="61"/>
      <c r="B492" s="61"/>
      <c r="C492" s="61"/>
      <c r="D492" s="56"/>
      <c r="E492" s="56"/>
      <c r="F492" s="56"/>
      <c r="G492" s="56"/>
      <c r="H492" s="56"/>
      <c r="I492" s="56"/>
      <c r="J492" s="56"/>
      <c r="K492" s="56"/>
      <c r="L492" s="56"/>
      <c r="M492" s="56"/>
      <c r="N492" s="56"/>
      <c r="O492" s="56"/>
      <c r="P492" s="56"/>
      <c r="Q492" s="56"/>
      <c r="R492" s="56"/>
      <c r="S492" s="56"/>
      <c r="T492" s="56"/>
      <c r="U492" s="56"/>
      <c r="V492" s="56"/>
      <c r="W492" s="56"/>
      <c r="X492" s="56"/>
      <c r="Y492" s="56"/>
      <c r="Z492" s="56"/>
      <c r="AA492" s="56"/>
    </row>
    <row r="493" spans="1:27" ht="15.75" customHeight="1" x14ac:dyDescent="0.25">
      <c r="A493" s="61"/>
      <c r="B493" s="61"/>
      <c r="C493" s="61"/>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row>
    <row r="494" spans="1:27" ht="15.75" customHeight="1" x14ac:dyDescent="0.25">
      <c r="A494" s="61"/>
      <c r="B494" s="61"/>
      <c r="C494" s="61"/>
      <c r="D494" s="56"/>
      <c r="E494" s="56"/>
      <c r="F494" s="56"/>
      <c r="G494" s="56"/>
      <c r="H494" s="56"/>
      <c r="I494" s="56"/>
      <c r="J494" s="56"/>
      <c r="K494" s="56"/>
      <c r="L494" s="56"/>
      <c r="M494" s="56"/>
      <c r="N494" s="56"/>
      <c r="O494" s="56"/>
      <c r="P494" s="56"/>
      <c r="Q494" s="56"/>
      <c r="R494" s="56"/>
      <c r="S494" s="56"/>
      <c r="T494" s="56"/>
      <c r="U494" s="56"/>
      <c r="V494" s="56"/>
      <c r="W494" s="56"/>
      <c r="X494" s="56"/>
      <c r="Y494" s="56"/>
      <c r="Z494" s="56"/>
      <c r="AA494" s="56"/>
    </row>
    <row r="495" spans="1:27" ht="15.75" customHeight="1" x14ac:dyDescent="0.25">
      <c r="A495" s="61"/>
      <c r="B495" s="61"/>
      <c r="C495" s="61"/>
      <c r="D495" s="56"/>
      <c r="E495" s="56"/>
      <c r="F495" s="56"/>
      <c r="G495" s="56"/>
      <c r="H495" s="56"/>
      <c r="I495" s="56"/>
      <c r="J495" s="56"/>
      <c r="K495" s="56"/>
      <c r="L495" s="56"/>
      <c r="M495" s="56"/>
      <c r="N495" s="56"/>
      <c r="O495" s="56"/>
      <c r="P495" s="56"/>
      <c r="Q495" s="56"/>
      <c r="R495" s="56"/>
      <c r="S495" s="56"/>
      <c r="T495" s="56"/>
      <c r="U495" s="56"/>
      <c r="V495" s="56"/>
      <c r="W495" s="56"/>
      <c r="X495" s="56"/>
      <c r="Y495" s="56"/>
      <c r="Z495" s="56"/>
      <c r="AA495" s="56"/>
    </row>
    <row r="496" spans="1:27" ht="15.75" customHeight="1" x14ac:dyDescent="0.25">
      <c r="A496" s="61"/>
      <c r="B496" s="61"/>
      <c r="C496" s="61"/>
      <c r="D496" s="56"/>
      <c r="E496" s="56"/>
      <c r="F496" s="56"/>
      <c r="G496" s="56"/>
      <c r="H496" s="56"/>
      <c r="I496" s="56"/>
      <c r="J496" s="56"/>
      <c r="K496" s="56"/>
      <c r="L496" s="56"/>
      <c r="M496" s="56"/>
      <c r="N496" s="56"/>
      <c r="O496" s="56"/>
      <c r="P496" s="56"/>
      <c r="Q496" s="56"/>
      <c r="R496" s="56"/>
      <c r="S496" s="56"/>
      <c r="T496" s="56"/>
      <c r="U496" s="56"/>
      <c r="V496" s="56"/>
      <c r="W496" s="56"/>
      <c r="X496" s="56"/>
      <c r="Y496" s="56"/>
      <c r="Z496" s="56"/>
      <c r="AA496" s="56"/>
    </row>
    <row r="497" spans="1:27" ht="15.75" customHeight="1" x14ac:dyDescent="0.25">
      <c r="A497" s="61"/>
      <c r="B497" s="61"/>
      <c r="C497" s="61"/>
      <c r="D497" s="56"/>
      <c r="E497" s="56"/>
      <c r="F497" s="56"/>
      <c r="G497" s="56"/>
      <c r="H497" s="56"/>
      <c r="I497" s="56"/>
      <c r="J497" s="56"/>
      <c r="K497" s="56"/>
      <c r="L497" s="56"/>
      <c r="M497" s="56"/>
      <c r="N497" s="56"/>
      <c r="O497" s="56"/>
      <c r="P497" s="56"/>
      <c r="Q497" s="56"/>
      <c r="R497" s="56"/>
      <c r="S497" s="56"/>
      <c r="T497" s="56"/>
      <c r="U497" s="56"/>
      <c r="V497" s="56"/>
      <c r="W497" s="56"/>
      <c r="X497" s="56"/>
      <c r="Y497" s="56"/>
      <c r="Z497" s="56"/>
      <c r="AA497" s="56"/>
    </row>
    <row r="498" spans="1:27" ht="15.75" customHeight="1" x14ac:dyDescent="0.25">
      <c r="A498" s="61"/>
      <c r="B498" s="61"/>
      <c r="C498" s="61"/>
      <c r="D498" s="56"/>
      <c r="E498" s="56"/>
      <c r="F498" s="56"/>
      <c r="G498" s="56"/>
      <c r="H498" s="56"/>
      <c r="I498" s="56"/>
      <c r="J498" s="56"/>
      <c r="K498" s="56"/>
      <c r="L498" s="56"/>
      <c r="M498" s="56"/>
      <c r="N498" s="56"/>
      <c r="O498" s="56"/>
      <c r="P498" s="56"/>
      <c r="Q498" s="56"/>
      <c r="R498" s="56"/>
      <c r="S498" s="56"/>
      <c r="T498" s="56"/>
      <c r="U498" s="56"/>
      <c r="V498" s="56"/>
      <c r="W498" s="56"/>
      <c r="X498" s="56"/>
      <c r="Y498" s="56"/>
      <c r="Z498" s="56"/>
      <c r="AA498" s="56"/>
    </row>
    <row r="499" spans="1:27" ht="15.75" customHeight="1" x14ac:dyDescent="0.25">
      <c r="A499" s="61"/>
      <c r="B499" s="61"/>
      <c r="C499" s="61"/>
      <c r="D499" s="56"/>
      <c r="E499" s="56"/>
      <c r="F499" s="56"/>
      <c r="G499" s="56"/>
      <c r="H499" s="56"/>
      <c r="I499" s="56"/>
      <c r="J499" s="56"/>
      <c r="K499" s="56"/>
      <c r="L499" s="56"/>
      <c r="M499" s="56"/>
      <c r="N499" s="56"/>
      <c r="O499" s="56"/>
      <c r="P499" s="56"/>
      <c r="Q499" s="56"/>
      <c r="R499" s="56"/>
      <c r="S499" s="56"/>
      <c r="T499" s="56"/>
      <c r="U499" s="56"/>
      <c r="V499" s="56"/>
      <c r="W499" s="56"/>
      <c r="X499" s="56"/>
      <c r="Y499" s="56"/>
      <c r="Z499" s="56"/>
      <c r="AA499" s="56"/>
    </row>
    <row r="500" spans="1:27" ht="15.75" customHeight="1" x14ac:dyDescent="0.25">
      <c r="A500" s="61"/>
      <c r="B500" s="61"/>
      <c r="C500" s="61"/>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row>
    <row r="501" spans="1:27" ht="15.75" customHeight="1" x14ac:dyDescent="0.25">
      <c r="A501" s="61"/>
      <c r="B501" s="61"/>
      <c r="C501" s="61"/>
      <c r="D501" s="56"/>
      <c r="E501" s="56"/>
      <c r="F501" s="56"/>
      <c r="G501" s="56"/>
      <c r="H501" s="56"/>
      <c r="I501" s="56"/>
      <c r="J501" s="56"/>
      <c r="K501" s="56"/>
      <c r="L501" s="56"/>
      <c r="M501" s="56"/>
      <c r="N501" s="56"/>
      <c r="O501" s="56"/>
      <c r="P501" s="56"/>
      <c r="Q501" s="56"/>
      <c r="R501" s="56"/>
      <c r="S501" s="56"/>
      <c r="T501" s="56"/>
      <c r="U501" s="56"/>
      <c r="V501" s="56"/>
      <c r="W501" s="56"/>
      <c r="X501" s="56"/>
      <c r="Y501" s="56"/>
      <c r="Z501" s="56"/>
      <c r="AA501" s="56"/>
    </row>
    <row r="502" spans="1:27" ht="15.75" customHeight="1" x14ac:dyDescent="0.25">
      <c r="A502" s="61"/>
      <c r="B502" s="61"/>
      <c r="C502" s="61"/>
      <c r="D502" s="56"/>
      <c r="E502" s="56"/>
      <c r="F502" s="56"/>
      <c r="G502" s="56"/>
      <c r="H502" s="56"/>
      <c r="I502" s="56"/>
      <c r="J502" s="56"/>
      <c r="K502" s="56"/>
      <c r="L502" s="56"/>
      <c r="M502" s="56"/>
      <c r="N502" s="56"/>
      <c r="O502" s="56"/>
      <c r="P502" s="56"/>
      <c r="Q502" s="56"/>
      <c r="R502" s="56"/>
      <c r="S502" s="56"/>
      <c r="T502" s="56"/>
      <c r="U502" s="56"/>
      <c r="V502" s="56"/>
      <c r="W502" s="56"/>
      <c r="X502" s="56"/>
      <c r="Y502" s="56"/>
      <c r="Z502" s="56"/>
      <c r="AA502" s="56"/>
    </row>
    <row r="503" spans="1:27" ht="15.75" customHeight="1" x14ac:dyDescent="0.25">
      <c r="A503" s="61"/>
      <c r="B503" s="61"/>
      <c r="C503" s="61"/>
      <c r="D503" s="56"/>
      <c r="E503" s="56"/>
      <c r="F503" s="56"/>
      <c r="G503" s="56"/>
      <c r="H503" s="56"/>
      <c r="I503" s="56"/>
      <c r="J503" s="56"/>
      <c r="K503" s="56"/>
      <c r="L503" s="56"/>
      <c r="M503" s="56"/>
      <c r="N503" s="56"/>
      <c r="O503" s="56"/>
      <c r="P503" s="56"/>
      <c r="Q503" s="56"/>
      <c r="R503" s="56"/>
      <c r="S503" s="56"/>
      <c r="T503" s="56"/>
      <c r="U503" s="56"/>
      <c r="V503" s="56"/>
      <c r="W503" s="56"/>
      <c r="X503" s="56"/>
      <c r="Y503" s="56"/>
      <c r="Z503" s="56"/>
      <c r="AA503" s="56"/>
    </row>
    <row r="504" spans="1:27" ht="15.75" customHeight="1" x14ac:dyDescent="0.25">
      <c r="A504" s="61"/>
      <c r="B504" s="61"/>
      <c r="C504" s="61"/>
      <c r="D504" s="56"/>
      <c r="E504" s="56"/>
      <c r="F504" s="56"/>
      <c r="G504" s="56"/>
      <c r="H504" s="56"/>
      <c r="I504" s="56"/>
      <c r="J504" s="56"/>
      <c r="K504" s="56"/>
      <c r="L504" s="56"/>
      <c r="M504" s="56"/>
      <c r="N504" s="56"/>
      <c r="O504" s="56"/>
      <c r="P504" s="56"/>
      <c r="Q504" s="56"/>
      <c r="R504" s="56"/>
      <c r="S504" s="56"/>
      <c r="T504" s="56"/>
      <c r="U504" s="56"/>
      <c r="V504" s="56"/>
      <c r="W504" s="56"/>
      <c r="X504" s="56"/>
      <c r="Y504" s="56"/>
      <c r="Z504" s="56"/>
      <c r="AA504" s="56"/>
    </row>
    <row r="505" spans="1:27" ht="15.75" customHeight="1" x14ac:dyDescent="0.25">
      <c r="A505" s="61"/>
      <c r="B505" s="61"/>
      <c r="C505" s="61"/>
      <c r="D505" s="56"/>
      <c r="E505" s="56"/>
      <c r="F505" s="56"/>
      <c r="G505" s="56"/>
      <c r="H505" s="56"/>
      <c r="I505" s="56"/>
      <c r="J505" s="56"/>
      <c r="K505" s="56"/>
      <c r="L505" s="56"/>
      <c r="M505" s="56"/>
      <c r="N505" s="56"/>
      <c r="O505" s="56"/>
      <c r="P505" s="56"/>
      <c r="Q505" s="56"/>
      <c r="R505" s="56"/>
      <c r="S505" s="56"/>
      <c r="T505" s="56"/>
      <c r="U505" s="56"/>
      <c r="V505" s="56"/>
      <c r="W505" s="56"/>
      <c r="X505" s="56"/>
      <c r="Y505" s="56"/>
      <c r="Z505" s="56"/>
      <c r="AA505" s="56"/>
    </row>
    <row r="506" spans="1:27" ht="15.75" customHeight="1" x14ac:dyDescent="0.25">
      <c r="A506" s="61"/>
      <c r="B506" s="61"/>
      <c r="C506" s="61"/>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row>
    <row r="507" spans="1:27" ht="15.75" customHeight="1" x14ac:dyDescent="0.25">
      <c r="A507" s="61"/>
      <c r="B507" s="61"/>
      <c r="C507" s="61"/>
      <c r="D507" s="56"/>
      <c r="E507" s="56"/>
      <c r="F507" s="56"/>
      <c r="G507" s="56"/>
      <c r="H507" s="56"/>
      <c r="I507" s="56"/>
      <c r="J507" s="56"/>
      <c r="K507" s="56"/>
      <c r="L507" s="56"/>
      <c r="M507" s="56"/>
      <c r="N507" s="56"/>
      <c r="O507" s="56"/>
      <c r="P507" s="56"/>
      <c r="Q507" s="56"/>
      <c r="R507" s="56"/>
      <c r="S507" s="56"/>
      <c r="T507" s="56"/>
      <c r="U507" s="56"/>
      <c r="V507" s="56"/>
      <c r="W507" s="56"/>
      <c r="X507" s="56"/>
      <c r="Y507" s="56"/>
      <c r="Z507" s="56"/>
      <c r="AA507" s="56"/>
    </row>
    <row r="508" spans="1:27" ht="15.75" customHeight="1" x14ac:dyDescent="0.25">
      <c r="A508" s="61"/>
      <c r="B508" s="61"/>
      <c r="C508" s="61"/>
      <c r="D508" s="56"/>
      <c r="E508" s="56"/>
      <c r="F508" s="56"/>
      <c r="G508" s="56"/>
      <c r="H508" s="56"/>
      <c r="I508" s="56"/>
      <c r="J508" s="56"/>
      <c r="K508" s="56"/>
      <c r="L508" s="56"/>
      <c r="M508" s="56"/>
      <c r="N508" s="56"/>
      <c r="O508" s="56"/>
      <c r="P508" s="56"/>
      <c r="Q508" s="56"/>
      <c r="R508" s="56"/>
      <c r="S508" s="56"/>
      <c r="T508" s="56"/>
      <c r="U508" s="56"/>
      <c r="V508" s="56"/>
      <c r="W508" s="56"/>
      <c r="X508" s="56"/>
      <c r="Y508" s="56"/>
      <c r="Z508" s="56"/>
      <c r="AA508" s="56"/>
    </row>
    <row r="509" spans="1:27" ht="15.75" customHeight="1" x14ac:dyDescent="0.25">
      <c r="A509" s="61"/>
      <c r="B509" s="61"/>
      <c r="C509" s="61"/>
      <c r="D509" s="56"/>
      <c r="E509" s="56"/>
      <c r="F509" s="56"/>
      <c r="G509" s="56"/>
      <c r="H509" s="56"/>
      <c r="I509" s="56"/>
      <c r="J509" s="56"/>
      <c r="K509" s="56"/>
      <c r="L509" s="56"/>
      <c r="M509" s="56"/>
      <c r="N509" s="56"/>
      <c r="O509" s="56"/>
      <c r="P509" s="56"/>
      <c r="Q509" s="56"/>
      <c r="R509" s="56"/>
      <c r="S509" s="56"/>
      <c r="T509" s="56"/>
      <c r="U509" s="56"/>
      <c r="V509" s="56"/>
      <c r="W509" s="56"/>
      <c r="X509" s="56"/>
      <c r="Y509" s="56"/>
      <c r="Z509" s="56"/>
      <c r="AA509" s="56"/>
    </row>
    <row r="510" spans="1:27" ht="15.75" customHeight="1" x14ac:dyDescent="0.25">
      <c r="A510" s="61"/>
      <c r="B510" s="61"/>
      <c r="C510" s="61"/>
      <c r="D510" s="56"/>
      <c r="E510" s="56"/>
      <c r="F510" s="56"/>
      <c r="G510" s="56"/>
      <c r="H510" s="56"/>
      <c r="I510" s="56"/>
      <c r="J510" s="56"/>
      <c r="K510" s="56"/>
      <c r="L510" s="56"/>
      <c r="M510" s="56"/>
      <c r="N510" s="56"/>
      <c r="O510" s="56"/>
      <c r="P510" s="56"/>
      <c r="Q510" s="56"/>
      <c r="R510" s="56"/>
      <c r="S510" s="56"/>
      <c r="T510" s="56"/>
      <c r="U510" s="56"/>
      <c r="V510" s="56"/>
      <c r="W510" s="56"/>
      <c r="X510" s="56"/>
      <c r="Y510" s="56"/>
      <c r="Z510" s="56"/>
      <c r="AA510" s="56"/>
    </row>
    <row r="511" spans="1:27" ht="15.75" customHeight="1" x14ac:dyDescent="0.25">
      <c r="A511" s="61"/>
      <c r="B511" s="61"/>
      <c r="C511" s="61"/>
      <c r="D511" s="56"/>
      <c r="E511" s="56"/>
      <c r="F511" s="56"/>
      <c r="G511" s="56"/>
      <c r="H511" s="56"/>
      <c r="I511" s="56"/>
      <c r="J511" s="56"/>
      <c r="K511" s="56"/>
      <c r="L511" s="56"/>
      <c r="M511" s="56"/>
      <c r="N511" s="56"/>
      <c r="O511" s="56"/>
      <c r="P511" s="56"/>
      <c r="Q511" s="56"/>
      <c r="R511" s="56"/>
      <c r="S511" s="56"/>
      <c r="T511" s="56"/>
      <c r="U511" s="56"/>
      <c r="V511" s="56"/>
      <c r="W511" s="56"/>
      <c r="X511" s="56"/>
      <c r="Y511" s="56"/>
      <c r="Z511" s="56"/>
      <c r="AA511" s="56"/>
    </row>
    <row r="512" spans="1:27" ht="15.75" customHeight="1" x14ac:dyDescent="0.25">
      <c r="A512" s="61"/>
      <c r="B512" s="61"/>
      <c r="C512" s="61"/>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row>
    <row r="513" spans="1:27" ht="15.75" customHeight="1" x14ac:dyDescent="0.25">
      <c r="A513" s="61"/>
      <c r="B513" s="61"/>
      <c r="C513" s="61"/>
      <c r="D513" s="56"/>
      <c r="E513" s="56"/>
      <c r="F513" s="56"/>
      <c r="G513" s="56"/>
      <c r="H513" s="56"/>
      <c r="I513" s="56"/>
      <c r="J513" s="56"/>
      <c r="K513" s="56"/>
      <c r="L513" s="56"/>
      <c r="M513" s="56"/>
      <c r="N513" s="56"/>
      <c r="O513" s="56"/>
      <c r="P513" s="56"/>
      <c r="Q513" s="56"/>
      <c r="R513" s="56"/>
      <c r="S513" s="56"/>
      <c r="T513" s="56"/>
      <c r="U513" s="56"/>
      <c r="V513" s="56"/>
      <c r="W513" s="56"/>
      <c r="X513" s="56"/>
      <c r="Y513" s="56"/>
      <c r="Z513" s="56"/>
      <c r="AA513" s="56"/>
    </row>
    <row r="514" spans="1:27" ht="15.75" customHeight="1" x14ac:dyDescent="0.25">
      <c r="A514" s="61"/>
      <c r="B514" s="61"/>
      <c r="C514" s="61"/>
      <c r="D514" s="56"/>
      <c r="E514" s="56"/>
      <c r="F514" s="56"/>
      <c r="G514" s="56"/>
      <c r="H514" s="56"/>
      <c r="I514" s="56"/>
      <c r="J514" s="56"/>
      <c r="K514" s="56"/>
      <c r="L514" s="56"/>
      <c r="M514" s="56"/>
      <c r="N514" s="56"/>
      <c r="O514" s="56"/>
      <c r="P514" s="56"/>
      <c r="Q514" s="56"/>
      <c r="R514" s="56"/>
      <c r="S514" s="56"/>
      <c r="T514" s="56"/>
      <c r="U514" s="56"/>
      <c r="V514" s="56"/>
      <c r="W514" s="56"/>
      <c r="X514" s="56"/>
      <c r="Y514" s="56"/>
      <c r="Z514" s="56"/>
      <c r="AA514" s="56"/>
    </row>
    <row r="515" spans="1:27" ht="15.75" customHeight="1" x14ac:dyDescent="0.25">
      <c r="A515" s="61"/>
      <c r="B515" s="61"/>
      <c r="C515" s="61"/>
      <c r="D515" s="56"/>
      <c r="E515" s="56"/>
      <c r="F515" s="56"/>
      <c r="G515" s="56"/>
      <c r="H515" s="56"/>
      <c r="I515" s="56"/>
      <c r="J515" s="56"/>
      <c r="K515" s="56"/>
      <c r="L515" s="56"/>
      <c r="M515" s="56"/>
      <c r="N515" s="56"/>
      <c r="O515" s="56"/>
      <c r="P515" s="56"/>
      <c r="Q515" s="56"/>
      <c r="R515" s="56"/>
      <c r="S515" s="56"/>
      <c r="T515" s="56"/>
      <c r="U515" s="56"/>
      <c r="V515" s="56"/>
      <c r="W515" s="56"/>
      <c r="X515" s="56"/>
      <c r="Y515" s="56"/>
      <c r="Z515" s="56"/>
      <c r="AA515" s="56"/>
    </row>
    <row r="516" spans="1:27" ht="15.75" customHeight="1" x14ac:dyDescent="0.25">
      <c r="A516" s="61"/>
      <c r="B516" s="61"/>
      <c r="C516" s="61"/>
      <c r="D516" s="56"/>
      <c r="E516" s="56"/>
      <c r="F516" s="56"/>
      <c r="G516" s="56"/>
      <c r="H516" s="56"/>
      <c r="I516" s="56"/>
      <c r="J516" s="56"/>
      <c r="K516" s="56"/>
      <c r="L516" s="56"/>
      <c r="M516" s="56"/>
      <c r="N516" s="56"/>
      <c r="O516" s="56"/>
      <c r="P516" s="56"/>
      <c r="Q516" s="56"/>
      <c r="R516" s="56"/>
      <c r="S516" s="56"/>
      <c r="T516" s="56"/>
      <c r="U516" s="56"/>
      <c r="V516" s="56"/>
      <c r="W516" s="56"/>
      <c r="X516" s="56"/>
      <c r="Y516" s="56"/>
      <c r="Z516" s="56"/>
      <c r="AA516" s="56"/>
    </row>
    <row r="517" spans="1:27" ht="15.75" customHeight="1" x14ac:dyDescent="0.25">
      <c r="A517" s="61"/>
      <c r="B517" s="61"/>
      <c r="C517" s="61"/>
      <c r="D517" s="56"/>
      <c r="E517" s="56"/>
      <c r="F517" s="56"/>
      <c r="G517" s="56"/>
      <c r="H517" s="56"/>
      <c r="I517" s="56"/>
      <c r="J517" s="56"/>
      <c r="K517" s="56"/>
      <c r="L517" s="56"/>
      <c r="M517" s="56"/>
      <c r="N517" s="56"/>
      <c r="O517" s="56"/>
      <c r="P517" s="56"/>
      <c r="Q517" s="56"/>
      <c r="R517" s="56"/>
      <c r="S517" s="56"/>
      <c r="T517" s="56"/>
      <c r="U517" s="56"/>
      <c r="V517" s="56"/>
      <c r="W517" s="56"/>
      <c r="X517" s="56"/>
      <c r="Y517" s="56"/>
      <c r="Z517" s="56"/>
      <c r="AA517" s="56"/>
    </row>
    <row r="518" spans="1:27" ht="15.75" customHeight="1" x14ac:dyDescent="0.25">
      <c r="A518" s="61"/>
      <c r="B518" s="61"/>
      <c r="C518" s="61"/>
      <c r="D518" s="56"/>
      <c r="E518" s="56"/>
      <c r="F518" s="56"/>
      <c r="G518" s="56"/>
      <c r="H518" s="56"/>
      <c r="I518" s="56"/>
      <c r="J518" s="56"/>
      <c r="K518" s="56"/>
      <c r="L518" s="56"/>
      <c r="M518" s="56"/>
      <c r="N518" s="56"/>
      <c r="O518" s="56"/>
      <c r="P518" s="56"/>
      <c r="Q518" s="56"/>
      <c r="R518" s="56"/>
      <c r="S518" s="56"/>
      <c r="T518" s="56"/>
      <c r="U518" s="56"/>
      <c r="V518" s="56"/>
      <c r="W518" s="56"/>
      <c r="X518" s="56"/>
      <c r="Y518" s="56"/>
      <c r="Z518" s="56"/>
      <c r="AA518" s="56"/>
    </row>
    <row r="519" spans="1:27" ht="15.75" customHeight="1" x14ac:dyDescent="0.25">
      <c r="A519" s="61"/>
      <c r="B519" s="61"/>
      <c r="C519" s="61"/>
      <c r="D519" s="56"/>
      <c r="E519" s="56"/>
      <c r="F519" s="56"/>
      <c r="G519" s="56"/>
      <c r="H519" s="56"/>
      <c r="I519" s="56"/>
      <c r="J519" s="56"/>
      <c r="K519" s="56"/>
      <c r="L519" s="56"/>
      <c r="M519" s="56"/>
      <c r="N519" s="56"/>
      <c r="O519" s="56"/>
      <c r="P519" s="56"/>
      <c r="Q519" s="56"/>
      <c r="R519" s="56"/>
      <c r="S519" s="56"/>
      <c r="T519" s="56"/>
      <c r="U519" s="56"/>
      <c r="V519" s="56"/>
      <c r="W519" s="56"/>
      <c r="X519" s="56"/>
      <c r="Y519" s="56"/>
      <c r="Z519" s="56"/>
      <c r="AA519" s="56"/>
    </row>
    <row r="520" spans="1:27" ht="15.75" customHeight="1" x14ac:dyDescent="0.25">
      <c r="A520" s="61"/>
      <c r="B520" s="61"/>
      <c r="C520" s="61"/>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row>
    <row r="521" spans="1:27" ht="15.75" customHeight="1" x14ac:dyDescent="0.25">
      <c r="A521" s="61"/>
      <c r="B521" s="61"/>
      <c r="C521" s="61"/>
      <c r="D521" s="56"/>
      <c r="E521" s="56"/>
      <c r="F521" s="56"/>
      <c r="G521" s="56"/>
      <c r="H521" s="56"/>
      <c r="I521" s="56"/>
      <c r="J521" s="56"/>
      <c r="K521" s="56"/>
      <c r="L521" s="56"/>
      <c r="M521" s="56"/>
      <c r="N521" s="56"/>
      <c r="O521" s="56"/>
      <c r="P521" s="56"/>
      <c r="Q521" s="56"/>
      <c r="R521" s="56"/>
      <c r="S521" s="56"/>
      <c r="T521" s="56"/>
      <c r="U521" s="56"/>
      <c r="V521" s="56"/>
      <c r="W521" s="56"/>
      <c r="X521" s="56"/>
      <c r="Y521" s="56"/>
      <c r="Z521" s="56"/>
      <c r="AA521" s="56"/>
    </row>
    <row r="522" spans="1:27" ht="15.75" customHeight="1" x14ac:dyDescent="0.25">
      <c r="A522" s="61"/>
      <c r="B522" s="61"/>
      <c r="C522" s="61"/>
      <c r="D522" s="56"/>
      <c r="E522" s="56"/>
      <c r="F522" s="56"/>
      <c r="G522" s="56"/>
      <c r="H522" s="56"/>
      <c r="I522" s="56"/>
      <c r="J522" s="56"/>
      <c r="K522" s="56"/>
      <c r="L522" s="56"/>
      <c r="M522" s="56"/>
      <c r="N522" s="56"/>
      <c r="O522" s="56"/>
      <c r="P522" s="56"/>
      <c r="Q522" s="56"/>
      <c r="R522" s="56"/>
      <c r="S522" s="56"/>
      <c r="T522" s="56"/>
      <c r="U522" s="56"/>
      <c r="V522" s="56"/>
      <c r="W522" s="56"/>
      <c r="X522" s="56"/>
      <c r="Y522" s="56"/>
      <c r="Z522" s="56"/>
      <c r="AA522" s="56"/>
    </row>
    <row r="523" spans="1:27" ht="15.75" customHeight="1" x14ac:dyDescent="0.25">
      <c r="A523" s="61"/>
      <c r="B523" s="61"/>
      <c r="C523" s="61"/>
      <c r="D523" s="56"/>
      <c r="E523" s="56"/>
      <c r="F523" s="56"/>
      <c r="G523" s="56"/>
      <c r="H523" s="56"/>
      <c r="I523" s="56"/>
      <c r="J523" s="56"/>
      <c r="K523" s="56"/>
      <c r="L523" s="56"/>
      <c r="M523" s="56"/>
      <c r="N523" s="56"/>
      <c r="O523" s="56"/>
      <c r="P523" s="56"/>
      <c r="Q523" s="56"/>
      <c r="R523" s="56"/>
      <c r="S523" s="56"/>
      <c r="T523" s="56"/>
      <c r="U523" s="56"/>
      <c r="V523" s="56"/>
      <c r="W523" s="56"/>
      <c r="X523" s="56"/>
      <c r="Y523" s="56"/>
      <c r="Z523" s="56"/>
      <c r="AA523" s="56"/>
    </row>
    <row r="524" spans="1:27" ht="15.75" customHeight="1" x14ac:dyDescent="0.25">
      <c r="A524" s="61"/>
      <c r="B524" s="61"/>
      <c r="C524" s="61"/>
      <c r="D524" s="56"/>
      <c r="E524" s="56"/>
      <c r="F524" s="56"/>
      <c r="G524" s="56"/>
      <c r="H524" s="56"/>
      <c r="I524" s="56"/>
      <c r="J524" s="56"/>
      <c r="K524" s="56"/>
      <c r="L524" s="56"/>
      <c r="M524" s="56"/>
      <c r="N524" s="56"/>
      <c r="O524" s="56"/>
      <c r="P524" s="56"/>
      <c r="Q524" s="56"/>
      <c r="R524" s="56"/>
      <c r="S524" s="56"/>
      <c r="T524" s="56"/>
      <c r="U524" s="56"/>
      <c r="V524" s="56"/>
      <c r="W524" s="56"/>
      <c r="X524" s="56"/>
      <c r="Y524" s="56"/>
      <c r="Z524" s="56"/>
      <c r="AA524" s="56"/>
    </row>
    <row r="525" spans="1:27" ht="15.75" customHeight="1" x14ac:dyDescent="0.25">
      <c r="A525" s="61"/>
      <c r="B525" s="61"/>
      <c r="C525" s="61"/>
      <c r="D525" s="56"/>
      <c r="E525" s="56"/>
      <c r="F525" s="56"/>
      <c r="G525" s="56"/>
      <c r="H525" s="56"/>
      <c r="I525" s="56"/>
      <c r="J525" s="56"/>
      <c r="K525" s="56"/>
      <c r="L525" s="56"/>
      <c r="M525" s="56"/>
      <c r="N525" s="56"/>
      <c r="O525" s="56"/>
      <c r="P525" s="56"/>
      <c r="Q525" s="56"/>
      <c r="R525" s="56"/>
      <c r="S525" s="56"/>
      <c r="T525" s="56"/>
      <c r="U525" s="56"/>
      <c r="V525" s="56"/>
      <c r="W525" s="56"/>
      <c r="X525" s="56"/>
      <c r="Y525" s="56"/>
      <c r="Z525" s="56"/>
      <c r="AA525" s="56"/>
    </row>
    <row r="526" spans="1:27" ht="15.75" customHeight="1" x14ac:dyDescent="0.25">
      <c r="A526" s="61"/>
      <c r="B526" s="61"/>
      <c r="C526" s="61"/>
      <c r="D526" s="56"/>
      <c r="E526" s="56"/>
      <c r="F526" s="56"/>
      <c r="G526" s="56"/>
      <c r="H526" s="56"/>
      <c r="I526" s="56"/>
      <c r="J526" s="56"/>
      <c r="K526" s="56"/>
      <c r="L526" s="56"/>
      <c r="M526" s="56"/>
      <c r="N526" s="56"/>
      <c r="O526" s="56"/>
      <c r="P526" s="56"/>
      <c r="Q526" s="56"/>
      <c r="R526" s="56"/>
      <c r="S526" s="56"/>
      <c r="T526" s="56"/>
      <c r="U526" s="56"/>
      <c r="V526" s="56"/>
      <c r="W526" s="56"/>
      <c r="X526" s="56"/>
      <c r="Y526" s="56"/>
      <c r="Z526" s="56"/>
      <c r="AA526" s="56"/>
    </row>
    <row r="527" spans="1:27" ht="15.75" customHeight="1" x14ac:dyDescent="0.25">
      <c r="A527" s="61"/>
      <c r="B527" s="61"/>
      <c r="C527" s="61"/>
      <c r="D527" s="56"/>
      <c r="E527" s="56"/>
      <c r="F527" s="56"/>
      <c r="G527" s="56"/>
      <c r="H527" s="56"/>
      <c r="I527" s="56"/>
      <c r="J527" s="56"/>
      <c r="K527" s="56"/>
      <c r="L527" s="56"/>
      <c r="M527" s="56"/>
      <c r="N527" s="56"/>
      <c r="O527" s="56"/>
      <c r="P527" s="56"/>
      <c r="Q527" s="56"/>
      <c r="R527" s="56"/>
      <c r="S527" s="56"/>
      <c r="T527" s="56"/>
      <c r="U527" s="56"/>
      <c r="V527" s="56"/>
      <c r="W527" s="56"/>
      <c r="X527" s="56"/>
      <c r="Y527" s="56"/>
      <c r="Z527" s="56"/>
      <c r="AA527" s="56"/>
    </row>
    <row r="528" spans="1:27" ht="15.75" customHeight="1" x14ac:dyDescent="0.25">
      <c r="A528" s="61"/>
      <c r="B528" s="61"/>
      <c r="C528" s="61"/>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56"/>
    </row>
    <row r="529" spans="1:27" ht="15.75" customHeight="1" x14ac:dyDescent="0.25">
      <c r="A529" s="61"/>
      <c r="B529" s="61"/>
      <c r="C529" s="61"/>
      <c r="D529" s="56"/>
      <c r="E529" s="56"/>
      <c r="F529" s="56"/>
      <c r="G529" s="56"/>
      <c r="H529" s="56"/>
      <c r="I529" s="56"/>
      <c r="J529" s="56"/>
      <c r="K529" s="56"/>
      <c r="L529" s="56"/>
      <c r="M529" s="56"/>
      <c r="N529" s="56"/>
      <c r="O529" s="56"/>
      <c r="P529" s="56"/>
      <c r="Q529" s="56"/>
      <c r="R529" s="56"/>
      <c r="S529" s="56"/>
      <c r="T529" s="56"/>
      <c r="U529" s="56"/>
      <c r="V529" s="56"/>
      <c r="W529" s="56"/>
      <c r="X529" s="56"/>
      <c r="Y529" s="56"/>
      <c r="Z529" s="56"/>
      <c r="AA529" s="56"/>
    </row>
    <row r="530" spans="1:27" ht="15.75" customHeight="1" x14ac:dyDescent="0.25">
      <c r="A530" s="61"/>
      <c r="B530" s="61"/>
      <c r="C530" s="61"/>
      <c r="D530" s="56"/>
      <c r="E530" s="56"/>
      <c r="F530" s="56"/>
      <c r="G530" s="56"/>
      <c r="H530" s="56"/>
      <c r="I530" s="56"/>
      <c r="J530" s="56"/>
      <c r="K530" s="56"/>
      <c r="L530" s="56"/>
      <c r="M530" s="56"/>
      <c r="N530" s="56"/>
      <c r="O530" s="56"/>
      <c r="P530" s="56"/>
      <c r="Q530" s="56"/>
      <c r="R530" s="56"/>
      <c r="S530" s="56"/>
      <c r="T530" s="56"/>
      <c r="U530" s="56"/>
      <c r="V530" s="56"/>
      <c r="W530" s="56"/>
      <c r="X530" s="56"/>
      <c r="Y530" s="56"/>
      <c r="Z530" s="56"/>
      <c r="AA530" s="56"/>
    </row>
    <row r="531" spans="1:27" ht="15.75" customHeight="1" x14ac:dyDescent="0.25">
      <c r="A531" s="61"/>
      <c r="B531" s="61"/>
      <c r="C531" s="61"/>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row>
    <row r="532" spans="1:27" ht="15.75" customHeight="1" x14ac:dyDescent="0.25">
      <c r="A532" s="61"/>
      <c r="B532" s="61"/>
      <c r="C532" s="61"/>
      <c r="D532" s="56"/>
      <c r="E532" s="56"/>
      <c r="F532" s="56"/>
      <c r="G532" s="56"/>
      <c r="H532" s="56"/>
      <c r="I532" s="56"/>
      <c r="J532" s="56"/>
      <c r="K532" s="56"/>
      <c r="L532" s="56"/>
      <c r="M532" s="56"/>
      <c r="N532" s="56"/>
      <c r="O532" s="56"/>
      <c r="P532" s="56"/>
      <c r="Q532" s="56"/>
      <c r="R532" s="56"/>
      <c r="S532" s="56"/>
      <c r="T532" s="56"/>
      <c r="U532" s="56"/>
      <c r="V532" s="56"/>
      <c r="W532" s="56"/>
      <c r="X532" s="56"/>
      <c r="Y532" s="56"/>
      <c r="Z532" s="56"/>
      <c r="AA532" s="56"/>
    </row>
    <row r="533" spans="1:27" ht="15.75" customHeight="1" x14ac:dyDescent="0.25">
      <c r="A533" s="61"/>
      <c r="B533" s="61"/>
      <c r="C533" s="61"/>
      <c r="D533" s="56"/>
      <c r="E533" s="56"/>
      <c r="F533" s="56"/>
      <c r="G533" s="56"/>
      <c r="H533" s="56"/>
      <c r="I533" s="56"/>
      <c r="J533" s="56"/>
      <c r="K533" s="56"/>
      <c r="L533" s="56"/>
      <c r="M533" s="56"/>
      <c r="N533" s="56"/>
      <c r="O533" s="56"/>
      <c r="P533" s="56"/>
      <c r="Q533" s="56"/>
      <c r="R533" s="56"/>
      <c r="S533" s="56"/>
      <c r="T533" s="56"/>
      <c r="U533" s="56"/>
      <c r="V533" s="56"/>
      <c r="W533" s="56"/>
      <c r="X533" s="56"/>
      <c r="Y533" s="56"/>
      <c r="Z533" s="56"/>
      <c r="AA533" s="56"/>
    </row>
    <row r="534" spans="1:27" ht="15.75" customHeight="1" x14ac:dyDescent="0.25">
      <c r="A534" s="61"/>
      <c r="B534" s="61"/>
      <c r="C534" s="61"/>
      <c r="D534" s="56"/>
      <c r="E534" s="56"/>
      <c r="F534" s="56"/>
      <c r="G534" s="56"/>
      <c r="H534" s="56"/>
      <c r="I534" s="56"/>
      <c r="J534" s="56"/>
      <c r="K534" s="56"/>
      <c r="L534" s="56"/>
      <c r="M534" s="56"/>
      <c r="N534" s="56"/>
      <c r="O534" s="56"/>
      <c r="P534" s="56"/>
      <c r="Q534" s="56"/>
      <c r="R534" s="56"/>
      <c r="S534" s="56"/>
      <c r="T534" s="56"/>
      <c r="U534" s="56"/>
      <c r="V534" s="56"/>
      <c r="W534" s="56"/>
      <c r="X534" s="56"/>
      <c r="Y534" s="56"/>
      <c r="Z534" s="56"/>
      <c r="AA534" s="56"/>
    </row>
    <row r="535" spans="1:27" ht="15.75" customHeight="1" x14ac:dyDescent="0.25">
      <c r="A535" s="61"/>
      <c r="B535" s="61"/>
      <c r="C535" s="61"/>
      <c r="D535" s="56"/>
      <c r="E535" s="56"/>
      <c r="F535" s="56"/>
      <c r="G535" s="56"/>
      <c r="H535" s="56"/>
      <c r="I535" s="56"/>
      <c r="J535" s="56"/>
      <c r="K535" s="56"/>
      <c r="L535" s="56"/>
      <c r="M535" s="56"/>
      <c r="N535" s="56"/>
      <c r="O535" s="56"/>
      <c r="P535" s="56"/>
      <c r="Q535" s="56"/>
      <c r="R535" s="56"/>
      <c r="S535" s="56"/>
      <c r="T535" s="56"/>
      <c r="U535" s="56"/>
      <c r="V535" s="56"/>
      <c r="W535" s="56"/>
      <c r="X535" s="56"/>
      <c r="Y535" s="56"/>
      <c r="Z535" s="56"/>
      <c r="AA535" s="56"/>
    </row>
    <row r="536" spans="1:27" ht="15.75" customHeight="1" x14ac:dyDescent="0.25">
      <c r="A536" s="61"/>
      <c r="B536" s="61"/>
      <c r="C536" s="61"/>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row>
    <row r="537" spans="1:27" ht="15.75" customHeight="1" x14ac:dyDescent="0.25">
      <c r="A537" s="61"/>
      <c r="B537" s="61"/>
      <c r="C537" s="61"/>
      <c r="D537" s="56"/>
      <c r="E537" s="56"/>
      <c r="F537" s="56"/>
      <c r="G537" s="56"/>
      <c r="H537" s="56"/>
      <c r="I537" s="56"/>
      <c r="J537" s="56"/>
      <c r="K537" s="56"/>
      <c r="L537" s="56"/>
      <c r="M537" s="56"/>
      <c r="N537" s="56"/>
      <c r="O537" s="56"/>
      <c r="P537" s="56"/>
      <c r="Q537" s="56"/>
      <c r="R537" s="56"/>
      <c r="S537" s="56"/>
      <c r="T537" s="56"/>
      <c r="U537" s="56"/>
      <c r="V537" s="56"/>
      <c r="W537" s="56"/>
      <c r="X537" s="56"/>
      <c r="Y537" s="56"/>
      <c r="Z537" s="56"/>
      <c r="AA537" s="56"/>
    </row>
    <row r="538" spans="1:27" ht="15.75" customHeight="1" x14ac:dyDescent="0.25">
      <c r="A538" s="61"/>
      <c r="B538" s="61"/>
      <c r="C538" s="61"/>
      <c r="D538" s="56"/>
      <c r="E538" s="56"/>
      <c r="F538" s="56"/>
      <c r="G538" s="56"/>
      <c r="H538" s="56"/>
      <c r="I538" s="56"/>
      <c r="J538" s="56"/>
      <c r="K538" s="56"/>
      <c r="L538" s="56"/>
      <c r="M538" s="56"/>
      <c r="N538" s="56"/>
      <c r="O538" s="56"/>
      <c r="P538" s="56"/>
      <c r="Q538" s="56"/>
      <c r="R538" s="56"/>
      <c r="S538" s="56"/>
      <c r="T538" s="56"/>
      <c r="U538" s="56"/>
      <c r="V538" s="56"/>
      <c r="W538" s="56"/>
      <c r="X538" s="56"/>
      <c r="Y538" s="56"/>
      <c r="Z538" s="56"/>
      <c r="AA538" s="56"/>
    </row>
    <row r="539" spans="1:27" ht="15.75" customHeight="1" x14ac:dyDescent="0.25">
      <c r="A539" s="61"/>
      <c r="B539" s="61"/>
      <c r="C539" s="61"/>
      <c r="D539" s="56"/>
      <c r="E539" s="56"/>
      <c r="F539" s="56"/>
      <c r="G539" s="56"/>
      <c r="H539" s="56"/>
      <c r="I539" s="56"/>
      <c r="J539" s="56"/>
      <c r="K539" s="56"/>
      <c r="L539" s="56"/>
      <c r="M539" s="56"/>
      <c r="N539" s="56"/>
      <c r="O539" s="56"/>
      <c r="P539" s="56"/>
      <c r="Q539" s="56"/>
      <c r="R539" s="56"/>
      <c r="S539" s="56"/>
      <c r="T539" s="56"/>
      <c r="U539" s="56"/>
      <c r="V539" s="56"/>
      <c r="W539" s="56"/>
      <c r="X539" s="56"/>
      <c r="Y539" s="56"/>
      <c r="Z539" s="56"/>
      <c r="AA539" s="56"/>
    </row>
    <row r="540" spans="1:27" ht="15.75" customHeight="1" x14ac:dyDescent="0.25">
      <c r="A540" s="61"/>
      <c r="B540" s="61"/>
      <c r="C540" s="61"/>
      <c r="D540" s="56"/>
      <c r="E540" s="56"/>
      <c r="F540" s="56"/>
      <c r="G540" s="56"/>
      <c r="H540" s="56"/>
      <c r="I540" s="56"/>
      <c r="J540" s="56"/>
      <c r="K540" s="56"/>
      <c r="L540" s="56"/>
      <c r="M540" s="56"/>
      <c r="N540" s="56"/>
      <c r="O540" s="56"/>
      <c r="P540" s="56"/>
      <c r="Q540" s="56"/>
      <c r="R540" s="56"/>
      <c r="S540" s="56"/>
      <c r="T540" s="56"/>
      <c r="U540" s="56"/>
      <c r="V540" s="56"/>
      <c r="W540" s="56"/>
      <c r="X540" s="56"/>
      <c r="Y540" s="56"/>
      <c r="Z540" s="56"/>
      <c r="AA540" s="56"/>
    </row>
    <row r="541" spans="1:27" ht="15.75" customHeight="1" x14ac:dyDescent="0.25">
      <c r="A541" s="61"/>
      <c r="B541" s="61"/>
      <c r="C541" s="61"/>
      <c r="D541" s="56"/>
      <c r="E541" s="56"/>
      <c r="F541" s="56"/>
      <c r="G541" s="56"/>
      <c r="H541" s="56"/>
      <c r="I541" s="56"/>
      <c r="J541" s="56"/>
      <c r="K541" s="56"/>
      <c r="L541" s="56"/>
      <c r="M541" s="56"/>
      <c r="N541" s="56"/>
      <c r="O541" s="56"/>
      <c r="P541" s="56"/>
      <c r="Q541" s="56"/>
      <c r="R541" s="56"/>
      <c r="S541" s="56"/>
      <c r="T541" s="56"/>
      <c r="U541" s="56"/>
      <c r="V541" s="56"/>
      <c r="W541" s="56"/>
      <c r="X541" s="56"/>
      <c r="Y541" s="56"/>
      <c r="Z541" s="56"/>
      <c r="AA541" s="56"/>
    </row>
    <row r="542" spans="1:27" ht="15.75" customHeight="1" x14ac:dyDescent="0.25">
      <c r="A542" s="61"/>
      <c r="B542" s="61"/>
      <c r="C542" s="61"/>
      <c r="D542" s="56"/>
      <c r="E542" s="56"/>
      <c r="F542" s="56"/>
      <c r="G542" s="56"/>
      <c r="H542" s="56"/>
      <c r="I542" s="56"/>
      <c r="J542" s="56"/>
      <c r="K542" s="56"/>
      <c r="L542" s="56"/>
      <c r="M542" s="56"/>
      <c r="N542" s="56"/>
      <c r="O542" s="56"/>
      <c r="P542" s="56"/>
      <c r="Q542" s="56"/>
      <c r="R542" s="56"/>
      <c r="S542" s="56"/>
      <c r="T542" s="56"/>
      <c r="U542" s="56"/>
      <c r="V542" s="56"/>
      <c r="W542" s="56"/>
      <c r="X542" s="56"/>
      <c r="Y542" s="56"/>
      <c r="Z542" s="56"/>
      <c r="AA542" s="56"/>
    </row>
    <row r="543" spans="1:27" ht="15.75" customHeight="1" x14ac:dyDescent="0.25">
      <c r="A543" s="61"/>
      <c r="B543" s="61"/>
      <c r="C543" s="61"/>
      <c r="D543" s="56"/>
      <c r="E543" s="56"/>
      <c r="F543" s="56"/>
      <c r="G543" s="56"/>
      <c r="H543" s="56"/>
      <c r="I543" s="56"/>
      <c r="J543" s="56"/>
      <c r="K543" s="56"/>
      <c r="L543" s="56"/>
      <c r="M543" s="56"/>
      <c r="N543" s="56"/>
      <c r="O543" s="56"/>
      <c r="P543" s="56"/>
      <c r="Q543" s="56"/>
      <c r="R543" s="56"/>
      <c r="S543" s="56"/>
      <c r="T543" s="56"/>
      <c r="U543" s="56"/>
      <c r="V543" s="56"/>
      <c r="W543" s="56"/>
      <c r="X543" s="56"/>
      <c r="Y543" s="56"/>
      <c r="Z543" s="56"/>
      <c r="AA543" s="56"/>
    </row>
    <row r="544" spans="1:27" ht="15.75" customHeight="1" x14ac:dyDescent="0.25">
      <c r="A544" s="61"/>
      <c r="B544" s="61"/>
      <c r="C544" s="61"/>
      <c r="D544" s="56"/>
      <c r="E544" s="56"/>
      <c r="F544" s="56"/>
      <c r="G544" s="56"/>
      <c r="H544" s="56"/>
      <c r="I544" s="56"/>
      <c r="J544" s="56"/>
      <c r="K544" s="56"/>
      <c r="L544" s="56"/>
      <c r="M544" s="56"/>
      <c r="N544" s="56"/>
      <c r="O544" s="56"/>
      <c r="P544" s="56"/>
      <c r="Q544" s="56"/>
      <c r="R544" s="56"/>
      <c r="S544" s="56"/>
      <c r="T544" s="56"/>
      <c r="U544" s="56"/>
      <c r="V544" s="56"/>
      <c r="W544" s="56"/>
      <c r="X544" s="56"/>
      <c r="Y544" s="56"/>
      <c r="Z544" s="56"/>
      <c r="AA544" s="56"/>
    </row>
    <row r="545" spans="1:27" ht="15.75" customHeight="1" x14ac:dyDescent="0.25">
      <c r="A545" s="61"/>
      <c r="B545" s="61"/>
      <c r="C545" s="61"/>
      <c r="D545" s="56"/>
      <c r="E545" s="56"/>
      <c r="F545" s="56"/>
      <c r="G545" s="56"/>
      <c r="H545" s="56"/>
      <c r="I545" s="56"/>
      <c r="J545" s="56"/>
      <c r="K545" s="56"/>
      <c r="L545" s="56"/>
      <c r="M545" s="56"/>
      <c r="N545" s="56"/>
      <c r="O545" s="56"/>
      <c r="P545" s="56"/>
      <c r="Q545" s="56"/>
      <c r="R545" s="56"/>
      <c r="S545" s="56"/>
      <c r="T545" s="56"/>
      <c r="U545" s="56"/>
      <c r="V545" s="56"/>
      <c r="W545" s="56"/>
      <c r="X545" s="56"/>
      <c r="Y545" s="56"/>
      <c r="Z545" s="56"/>
      <c r="AA545" s="56"/>
    </row>
    <row r="546" spans="1:27" ht="15.75" customHeight="1" x14ac:dyDescent="0.25">
      <c r="A546" s="61"/>
      <c r="B546" s="61"/>
      <c r="C546" s="61"/>
      <c r="D546" s="56"/>
      <c r="E546" s="56"/>
      <c r="F546" s="56"/>
      <c r="G546" s="56"/>
      <c r="H546" s="56"/>
      <c r="I546" s="56"/>
      <c r="J546" s="56"/>
      <c r="K546" s="56"/>
      <c r="L546" s="56"/>
      <c r="M546" s="56"/>
      <c r="N546" s="56"/>
      <c r="O546" s="56"/>
      <c r="P546" s="56"/>
      <c r="Q546" s="56"/>
      <c r="R546" s="56"/>
      <c r="S546" s="56"/>
      <c r="T546" s="56"/>
      <c r="U546" s="56"/>
      <c r="V546" s="56"/>
      <c r="W546" s="56"/>
      <c r="X546" s="56"/>
      <c r="Y546" s="56"/>
      <c r="Z546" s="56"/>
      <c r="AA546" s="56"/>
    </row>
    <row r="547" spans="1:27" ht="15.75" customHeight="1" x14ac:dyDescent="0.25">
      <c r="A547" s="61"/>
      <c r="B547" s="61"/>
      <c r="C547" s="61"/>
      <c r="D547" s="56"/>
      <c r="E547" s="56"/>
      <c r="F547" s="56"/>
      <c r="G547" s="56"/>
      <c r="H547" s="56"/>
      <c r="I547" s="56"/>
      <c r="J547" s="56"/>
      <c r="K547" s="56"/>
      <c r="L547" s="56"/>
      <c r="M547" s="56"/>
      <c r="N547" s="56"/>
      <c r="O547" s="56"/>
      <c r="P547" s="56"/>
      <c r="Q547" s="56"/>
      <c r="R547" s="56"/>
      <c r="S547" s="56"/>
      <c r="T547" s="56"/>
      <c r="U547" s="56"/>
      <c r="V547" s="56"/>
      <c r="W547" s="56"/>
      <c r="X547" s="56"/>
      <c r="Y547" s="56"/>
      <c r="Z547" s="56"/>
      <c r="AA547" s="56"/>
    </row>
    <row r="548" spans="1:27" ht="15.75" customHeight="1" x14ac:dyDescent="0.25">
      <c r="A548" s="61"/>
      <c r="B548" s="61"/>
      <c r="C548" s="61"/>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row>
    <row r="549" spans="1:27" ht="15.75" customHeight="1" x14ac:dyDescent="0.25">
      <c r="A549" s="61"/>
      <c r="B549" s="61"/>
      <c r="C549" s="61"/>
      <c r="D549" s="56"/>
      <c r="E549" s="56"/>
      <c r="F549" s="56"/>
      <c r="G549" s="56"/>
      <c r="H549" s="56"/>
      <c r="I549" s="56"/>
      <c r="J549" s="56"/>
      <c r="K549" s="56"/>
      <c r="L549" s="56"/>
      <c r="M549" s="56"/>
      <c r="N549" s="56"/>
      <c r="O549" s="56"/>
      <c r="P549" s="56"/>
      <c r="Q549" s="56"/>
      <c r="R549" s="56"/>
      <c r="S549" s="56"/>
      <c r="T549" s="56"/>
      <c r="U549" s="56"/>
      <c r="V549" s="56"/>
      <c r="W549" s="56"/>
      <c r="X549" s="56"/>
      <c r="Y549" s="56"/>
      <c r="Z549" s="56"/>
      <c r="AA549" s="56"/>
    </row>
    <row r="550" spans="1:27" ht="15.75" customHeight="1" x14ac:dyDescent="0.25">
      <c r="A550" s="61"/>
      <c r="B550" s="61"/>
      <c r="C550" s="61"/>
      <c r="D550" s="56"/>
      <c r="E550" s="56"/>
      <c r="F550" s="56"/>
      <c r="G550" s="56"/>
      <c r="H550" s="56"/>
      <c r="I550" s="56"/>
      <c r="J550" s="56"/>
      <c r="K550" s="56"/>
      <c r="L550" s="56"/>
      <c r="M550" s="56"/>
      <c r="N550" s="56"/>
      <c r="O550" s="56"/>
      <c r="P550" s="56"/>
      <c r="Q550" s="56"/>
      <c r="R550" s="56"/>
      <c r="S550" s="56"/>
      <c r="T550" s="56"/>
      <c r="U550" s="56"/>
      <c r="V550" s="56"/>
      <c r="W550" s="56"/>
      <c r="X550" s="56"/>
      <c r="Y550" s="56"/>
      <c r="Z550" s="56"/>
      <c r="AA550" s="56"/>
    </row>
    <row r="551" spans="1:27" ht="15.75" customHeight="1" x14ac:dyDescent="0.25">
      <c r="A551" s="61"/>
      <c r="B551" s="61"/>
      <c r="C551" s="61"/>
      <c r="D551" s="56"/>
      <c r="E551" s="56"/>
      <c r="F551" s="56"/>
      <c r="G551" s="56"/>
      <c r="H551" s="56"/>
      <c r="I551" s="56"/>
      <c r="J551" s="56"/>
      <c r="K551" s="56"/>
      <c r="L551" s="56"/>
      <c r="M551" s="56"/>
      <c r="N551" s="56"/>
      <c r="O551" s="56"/>
      <c r="P551" s="56"/>
      <c r="Q551" s="56"/>
      <c r="R551" s="56"/>
      <c r="S551" s="56"/>
      <c r="T551" s="56"/>
      <c r="U551" s="56"/>
      <c r="V551" s="56"/>
      <c r="W551" s="56"/>
      <c r="X551" s="56"/>
      <c r="Y551" s="56"/>
      <c r="Z551" s="56"/>
      <c r="AA551" s="56"/>
    </row>
    <row r="552" spans="1:27" ht="15.75" customHeight="1" x14ac:dyDescent="0.25">
      <c r="A552" s="61"/>
      <c r="B552" s="61"/>
      <c r="C552" s="61"/>
      <c r="D552" s="56"/>
      <c r="E552" s="56"/>
      <c r="F552" s="56"/>
      <c r="G552" s="56"/>
      <c r="H552" s="56"/>
      <c r="I552" s="56"/>
      <c r="J552" s="56"/>
      <c r="K552" s="56"/>
      <c r="L552" s="56"/>
      <c r="M552" s="56"/>
      <c r="N552" s="56"/>
      <c r="O552" s="56"/>
      <c r="P552" s="56"/>
      <c r="Q552" s="56"/>
      <c r="R552" s="56"/>
      <c r="S552" s="56"/>
      <c r="T552" s="56"/>
      <c r="U552" s="56"/>
      <c r="V552" s="56"/>
      <c r="W552" s="56"/>
      <c r="X552" s="56"/>
      <c r="Y552" s="56"/>
      <c r="Z552" s="56"/>
      <c r="AA552" s="56"/>
    </row>
    <row r="553" spans="1:27" ht="15.75" customHeight="1" x14ac:dyDescent="0.25">
      <c r="A553" s="61"/>
      <c r="B553" s="61"/>
      <c r="C553" s="61"/>
      <c r="D553" s="56"/>
      <c r="E553" s="56"/>
      <c r="F553" s="56"/>
      <c r="G553" s="56"/>
      <c r="H553" s="56"/>
      <c r="I553" s="56"/>
      <c r="J553" s="56"/>
      <c r="K553" s="56"/>
      <c r="L553" s="56"/>
      <c r="M553" s="56"/>
      <c r="N553" s="56"/>
      <c r="O553" s="56"/>
      <c r="P553" s="56"/>
      <c r="Q553" s="56"/>
      <c r="R553" s="56"/>
      <c r="S553" s="56"/>
      <c r="T553" s="56"/>
      <c r="U553" s="56"/>
      <c r="V553" s="56"/>
      <c r="W553" s="56"/>
      <c r="X553" s="56"/>
      <c r="Y553" s="56"/>
      <c r="Z553" s="56"/>
      <c r="AA553" s="56"/>
    </row>
    <row r="554" spans="1:27" ht="15.75" customHeight="1" x14ac:dyDescent="0.25">
      <c r="A554" s="61"/>
      <c r="B554" s="61"/>
      <c r="C554" s="61"/>
      <c r="D554" s="56"/>
      <c r="E554" s="56"/>
      <c r="F554" s="56"/>
      <c r="G554" s="56"/>
      <c r="H554" s="56"/>
      <c r="I554" s="56"/>
      <c r="J554" s="56"/>
      <c r="K554" s="56"/>
      <c r="L554" s="56"/>
      <c r="M554" s="56"/>
      <c r="N554" s="56"/>
      <c r="O554" s="56"/>
      <c r="P554" s="56"/>
      <c r="Q554" s="56"/>
      <c r="R554" s="56"/>
      <c r="S554" s="56"/>
      <c r="T554" s="56"/>
      <c r="U554" s="56"/>
      <c r="V554" s="56"/>
      <c r="W554" s="56"/>
      <c r="X554" s="56"/>
      <c r="Y554" s="56"/>
      <c r="Z554" s="56"/>
      <c r="AA554" s="56"/>
    </row>
    <row r="555" spans="1:27" ht="15.75" customHeight="1" x14ac:dyDescent="0.25">
      <c r="A555" s="61"/>
      <c r="B555" s="61"/>
      <c r="C555" s="61"/>
      <c r="D555" s="56"/>
      <c r="E555" s="56"/>
      <c r="F555" s="56"/>
      <c r="G555" s="56"/>
      <c r="H555" s="56"/>
      <c r="I555" s="56"/>
      <c r="J555" s="56"/>
      <c r="K555" s="56"/>
      <c r="L555" s="56"/>
      <c r="M555" s="56"/>
      <c r="N555" s="56"/>
      <c r="O555" s="56"/>
      <c r="P555" s="56"/>
      <c r="Q555" s="56"/>
      <c r="R555" s="56"/>
      <c r="S555" s="56"/>
      <c r="T555" s="56"/>
      <c r="U555" s="56"/>
      <c r="V555" s="56"/>
      <c r="W555" s="56"/>
      <c r="X555" s="56"/>
      <c r="Y555" s="56"/>
      <c r="Z555" s="56"/>
      <c r="AA555" s="56"/>
    </row>
    <row r="556" spans="1:27" ht="15.75" customHeight="1" x14ac:dyDescent="0.25">
      <c r="A556" s="61"/>
      <c r="B556" s="61"/>
      <c r="C556" s="61"/>
      <c r="D556" s="56"/>
      <c r="E556" s="56"/>
      <c r="F556" s="56"/>
      <c r="G556" s="56"/>
      <c r="H556" s="56"/>
      <c r="I556" s="56"/>
      <c r="J556" s="56"/>
      <c r="K556" s="56"/>
      <c r="L556" s="56"/>
      <c r="M556" s="56"/>
      <c r="N556" s="56"/>
      <c r="O556" s="56"/>
      <c r="P556" s="56"/>
      <c r="Q556" s="56"/>
      <c r="R556" s="56"/>
      <c r="S556" s="56"/>
      <c r="T556" s="56"/>
      <c r="U556" s="56"/>
      <c r="V556" s="56"/>
      <c r="W556" s="56"/>
      <c r="X556" s="56"/>
      <c r="Y556" s="56"/>
      <c r="Z556" s="56"/>
      <c r="AA556" s="56"/>
    </row>
    <row r="557" spans="1:27" ht="15.75" customHeight="1" x14ac:dyDescent="0.25">
      <c r="A557" s="61"/>
      <c r="B557" s="61"/>
      <c r="C557" s="61"/>
      <c r="D557" s="56"/>
      <c r="E557" s="56"/>
      <c r="F557" s="56"/>
      <c r="G557" s="56"/>
      <c r="H557" s="56"/>
      <c r="I557" s="56"/>
      <c r="J557" s="56"/>
      <c r="K557" s="56"/>
      <c r="L557" s="56"/>
      <c r="M557" s="56"/>
      <c r="N557" s="56"/>
      <c r="O557" s="56"/>
      <c r="P557" s="56"/>
      <c r="Q557" s="56"/>
      <c r="R557" s="56"/>
      <c r="S557" s="56"/>
      <c r="T557" s="56"/>
      <c r="U557" s="56"/>
      <c r="V557" s="56"/>
      <c r="W557" s="56"/>
      <c r="X557" s="56"/>
      <c r="Y557" s="56"/>
      <c r="Z557" s="56"/>
      <c r="AA557" s="56"/>
    </row>
    <row r="558" spans="1:27" ht="15.75" customHeight="1" x14ac:dyDescent="0.25">
      <c r="A558" s="61"/>
      <c r="B558" s="61"/>
      <c r="C558" s="61"/>
      <c r="D558" s="56"/>
      <c r="E558" s="56"/>
      <c r="F558" s="56"/>
      <c r="G558" s="56"/>
      <c r="H558" s="56"/>
      <c r="I558" s="56"/>
      <c r="J558" s="56"/>
      <c r="K558" s="56"/>
      <c r="L558" s="56"/>
      <c r="M558" s="56"/>
      <c r="N558" s="56"/>
      <c r="O558" s="56"/>
      <c r="P558" s="56"/>
      <c r="Q558" s="56"/>
      <c r="R558" s="56"/>
      <c r="S558" s="56"/>
      <c r="T558" s="56"/>
      <c r="U558" s="56"/>
      <c r="V558" s="56"/>
      <c r="W558" s="56"/>
      <c r="X558" s="56"/>
      <c r="Y558" s="56"/>
      <c r="Z558" s="56"/>
      <c r="AA558" s="56"/>
    </row>
    <row r="559" spans="1:27" ht="15.75" customHeight="1" x14ac:dyDescent="0.25">
      <c r="A559" s="61"/>
      <c r="B559" s="61"/>
      <c r="C559" s="61"/>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row>
    <row r="560" spans="1:27" ht="15.75" customHeight="1" x14ac:dyDescent="0.25">
      <c r="A560" s="61"/>
      <c r="B560" s="61"/>
      <c r="C560" s="61"/>
      <c r="D560" s="56"/>
      <c r="E560" s="56"/>
      <c r="F560" s="56"/>
      <c r="G560" s="56"/>
      <c r="H560" s="56"/>
      <c r="I560" s="56"/>
      <c r="J560" s="56"/>
      <c r="K560" s="56"/>
      <c r="L560" s="56"/>
      <c r="M560" s="56"/>
      <c r="N560" s="56"/>
      <c r="O560" s="56"/>
      <c r="P560" s="56"/>
      <c r="Q560" s="56"/>
      <c r="R560" s="56"/>
      <c r="S560" s="56"/>
      <c r="T560" s="56"/>
      <c r="U560" s="56"/>
      <c r="V560" s="56"/>
      <c r="W560" s="56"/>
      <c r="X560" s="56"/>
      <c r="Y560" s="56"/>
      <c r="Z560" s="56"/>
      <c r="AA560" s="56"/>
    </row>
    <row r="561" spans="1:27" ht="15.75" customHeight="1" x14ac:dyDescent="0.25">
      <c r="A561" s="61"/>
      <c r="B561" s="61"/>
      <c r="C561" s="61"/>
      <c r="D561" s="56"/>
      <c r="E561" s="56"/>
      <c r="F561" s="56"/>
      <c r="G561" s="56"/>
      <c r="H561" s="56"/>
      <c r="I561" s="56"/>
      <c r="J561" s="56"/>
      <c r="K561" s="56"/>
      <c r="L561" s="56"/>
      <c r="M561" s="56"/>
      <c r="N561" s="56"/>
      <c r="O561" s="56"/>
      <c r="P561" s="56"/>
      <c r="Q561" s="56"/>
      <c r="R561" s="56"/>
      <c r="S561" s="56"/>
      <c r="T561" s="56"/>
      <c r="U561" s="56"/>
      <c r="V561" s="56"/>
      <c r="W561" s="56"/>
      <c r="X561" s="56"/>
      <c r="Y561" s="56"/>
      <c r="Z561" s="56"/>
      <c r="AA561" s="56"/>
    </row>
    <row r="562" spans="1:27" ht="15.75" customHeight="1" x14ac:dyDescent="0.25">
      <c r="A562" s="61"/>
      <c r="B562" s="61"/>
      <c r="C562" s="61"/>
      <c r="D562" s="56"/>
      <c r="E562" s="56"/>
      <c r="F562" s="56"/>
      <c r="G562" s="56"/>
      <c r="H562" s="56"/>
      <c r="I562" s="56"/>
      <c r="J562" s="56"/>
      <c r="K562" s="56"/>
      <c r="L562" s="56"/>
      <c r="M562" s="56"/>
      <c r="N562" s="56"/>
      <c r="O562" s="56"/>
      <c r="P562" s="56"/>
      <c r="Q562" s="56"/>
      <c r="R562" s="56"/>
      <c r="S562" s="56"/>
      <c r="T562" s="56"/>
      <c r="U562" s="56"/>
      <c r="V562" s="56"/>
      <c r="W562" s="56"/>
      <c r="X562" s="56"/>
      <c r="Y562" s="56"/>
      <c r="Z562" s="56"/>
      <c r="AA562" s="56"/>
    </row>
    <row r="563" spans="1:27" ht="15.75" customHeight="1" x14ac:dyDescent="0.25">
      <c r="A563" s="61"/>
      <c r="B563" s="61"/>
      <c r="C563" s="61"/>
      <c r="D563" s="56"/>
      <c r="E563" s="56"/>
      <c r="F563" s="56"/>
      <c r="G563" s="56"/>
      <c r="H563" s="56"/>
      <c r="I563" s="56"/>
      <c r="J563" s="56"/>
      <c r="K563" s="56"/>
      <c r="L563" s="56"/>
      <c r="M563" s="56"/>
      <c r="N563" s="56"/>
      <c r="O563" s="56"/>
      <c r="P563" s="56"/>
      <c r="Q563" s="56"/>
      <c r="R563" s="56"/>
      <c r="S563" s="56"/>
      <c r="T563" s="56"/>
      <c r="U563" s="56"/>
      <c r="V563" s="56"/>
      <c r="W563" s="56"/>
      <c r="X563" s="56"/>
      <c r="Y563" s="56"/>
      <c r="Z563" s="56"/>
      <c r="AA563" s="56"/>
    </row>
    <row r="564" spans="1:27" ht="15.75" customHeight="1" x14ac:dyDescent="0.25">
      <c r="A564" s="61"/>
      <c r="B564" s="61"/>
      <c r="C564" s="61"/>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row>
    <row r="565" spans="1:27" ht="15.75" customHeight="1" x14ac:dyDescent="0.25">
      <c r="A565" s="61"/>
      <c r="B565" s="61"/>
      <c r="C565" s="61"/>
      <c r="D565" s="56"/>
      <c r="E565" s="56"/>
      <c r="F565" s="56"/>
      <c r="G565" s="56"/>
      <c r="H565" s="56"/>
      <c r="I565" s="56"/>
      <c r="J565" s="56"/>
      <c r="K565" s="56"/>
      <c r="L565" s="56"/>
      <c r="M565" s="56"/>
      <c r="N565" s="56"/>
      <c r="O565" s="56"/>
      <c r="P565" s="56"/>
      <c r="Q565" s="56"/>
      <c r="R565" s="56"/>
      <c r="S565" s="56"/>
      <c r="T565" s="56"/>
      <c r="U565" s="56"/>
      <c r="V565" s="56"/>
      <c r="W565" s="56"/>
      <c r="X565" s="56"/>
      <c r="Y565" s="56"/>
      <c r="Z565" s="56"/>
      <c r="AA565" s="56"/>
    </row>
    <row r="566" spans="1:27" ht="15.75" customHeight="1" x14ac:dyDescent="0.25">
      <c r="A566" s="61"/>
      <c r="B566" s="61"/>
      <c r="C566" s="61"/>
      <c r="D566" s="56"/>
      <c r="E566" s="56"/>
      <c r="F566" s="56"/>
      <c r="G566" s="56"/>
      <c r="H566" s="56"/>
      <c r="I566" s="56"/>
      <c r="J566" s="56"/>
      <c r="K566" s="56"/>
      <c r="L566" s="56"/>
      <c r="M566" s="56"/>
      <c r="N566" s="56"/>
      <c r="O566" s="56"/>
      <c r="P566" s="56"/>
      <c r="Q566" s="56"/>
      <c r="R566" s="56"/>
      <c r="S566" s="56"/>
      <c r="T566" s="56"/>
      <c r="U566" s="56"/>
      <c r="V566" s="56"/>
      <c r="W566" s="56"/>
      <c r="X566" s="56"/>
      <c r="Y566" s="56"/>
      <c r="Z566" s="56"/>
      <c r="AA566" s="56"/>
    </row>
    <row r="567" spans="1:27" ht="15.75" customHeight="1" x14ac:dyDescent="0.25">
      <c r="A567" s="61"/>
      <c r="B567" s="61"/>
      <c r="C567" s="61"/>
      <c r="D567" s="56"/>
      <c r="E567" s="56"/>
      <c r="F567" s="56"/>
      <c r="G567" s="56"/>
      <c r="H567" s="56"/>
      <c r="I567" s="56"/>
      <c r="J567" s="56"/>
      <c r="K567" s="56"/>
      <c r="L567" s="56"/>
      <c r="M567" s="56"/>
      <c r="N567" s="56"/>
      <c r="O567" s="56"/>
      <c r="P567" s="56"/>
      <c r="Q567" s="56"/>
      <c r="R567" s="56"/>
      <c r="S567" s="56"/>
      <c r="T567" s="56"/>
      <c r="U567" s="56"/>
      <c r="V567" s="56"/>
      <c r="W567" s="56"/>
      <c r="X567" s="56"/>
      <c r="Y567" s="56"/>
      <c r="Z567" s="56"/>
      <c r="AA567" s="56"/>
    </row>
    <row r="568" spans="1:27" ht="15.75" customHeight="1" x14ac:dyDescent="0.25">
      <c r="A568" s="61"/>
      <c r="B568" s="61"/>
      <c r="C568" s="61"/>
      <c r="D568" s="56"/>
      <c r="E568" s="56"/>
      <c r="F568" s="56"/>
      <c r="G568" s="56"/>
      <c r="H568" s="56"/>
      <c r="I568" s="56"/>
      <c r="J568" s="56"/>
      <c r="K568" s="56"/>
      <c r="L568" s="56"/>
      <c r="M568" s="56"/>
      <c r="N568" s="56"/>
      <c r="O568" s="56"/>
      <c r="P568" s="56"/>
      <c r="Q568" s="56"/>
      <c r="R568" s="56"/>
      <c r="S568" s="56"/>
      <c r="T568" s="56"/>
      <c r="U568" s="56"/>
      <c r="V568" s="56"/>
      <c r="W568" s="56"/>
      <c r="X568" s="56"/>
      <c r="Y568" s="56"/>
      <c r="Z568" s="56"/>
      <c r="AA568" s="56"/>
    </row>
    <row r="569" spans="1:27" ht="15.75" customHeight="1" x14ac:dyDescent="0.25">
      <c r="A569" s="61"/>
      <c r="B569" s="61"/>
      <c r="C569" s="61"/>
      <c r="D569" s="56"/>
      <c r="E569" s="56"/>
      <c r="F569" s="56"/>
      <c r="G569" s="56"/>
      <c r="H569" s="56"/>
      <c r="I569" s="56"/>
      <c r="J569" s="56"/>
      <c r="K569" s="56"/>
      <c r="L569" s="56"/>
      <c r="M569" s="56"/>
      <c r="N569" s="56"/>
      <c r="O569" s="56"/>
      <c r="P569" s="56"/>
      <c r="Q569" s="56"/>
      <c r="R569" s="56"/>
      <c r="S569" s="56"/>
      <c r="T569" s="56"/>
      <c r="U569" s="56"/>
      <c r="V569" s="56"/>
      <c r="W569" s="56"/>
      <c r="X569" s="56"/>
      <c r="Y569" s="56"/>
      <c r="Z569" s="56"/>
      <c r="AA569" s="56"/>
    </row>
    <row r="570" spans="1:27" ht="15.75" customHeight="1" x14ac:dyDescent="0.25">
      <c r="A570" s="61"/>
      <c r="B570" s="61"/>
      <c r="C570" s="61"/>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row>
    <row r="571" spans="1:27" ht="15.75" customHeight="1" x14ac:dyDescent="0.25">
      <c r="A571" s="61"/>
      <c r="B571" s="61"/>
      <c r="C571" s="61"/>
      <c r="D571" s="56"/>
      <c r="E571" s="56"/>
      <c r="F571" s="56"/>
      <c r="G571" s="56"/>
      <c r="H571" s="56"/>
      <c r="I571" s="56"/>
      <c r="J571" s="56"/>
      <c r="K571" s="56"/>
      <c r="L571" s="56"/>
      <c r="M571" s="56"/>
      <c r="N571" s="56"/>
      <c r="O571" s="56"/>
      <c r="P571" s="56"/>
      <c r="Q571" s="56"/>
      <c r="R571" s="56"/>
      <c r="S571" s="56"/>
      <c r="T571" s="56"/>
      <c r="U571" s="56"/>
      <c r="V571" s="56"/>
      <c r="W571" s="56"/>
      <c r="X571" s="56"/>
      <c r="Y571" s="56"/>
      <c r="Z571" s="56"/>
      <c r="AA571" s="56"/>
    </row>
    <row r="572" spans="1:27" ht="15.75" customHeight="1" x14ac:dyDescent="0.25">
      <c r="A572" s="61"/>
      <c r="B572" s="61"/>
      <c r="C572" s="61"/>
      <c r="D572" s="56"/>
      <c r="E572" s="56"/>
      <c r="F572" s="56"/>
      <c r="G572" s="56"/>
      <c r="H572" s="56"/>
      <c r="I572" s="56"/>
      <c r="J572" s="56"/>
      <c r="K572" s="56"/>
      <c r="L572" s="56"/>
      <c r="M572" s="56"/>
      <c r="N572" s="56"/>
      <c r="O572" s="56"/>
      <c r="P572" s="56"/>
      <c r="Q572" s="56"/>
      <c r="R572" s="56"/>
      <c r="S572" s="56"/>
      <c r="T572" s="56"/>
      <c r="U572" s="56"/>
      <c r="V572" s="56"/>
      <c r="W572" s="56"/>
      <c r="X572" s="56"/>
      <c r="Y572" s="56"/>
      <c r="Z572" s="56"/>
      <c r="AA572" s="56"/>
    </row>
    <row r="573" spans="1:27" ht="15.75" customHeight="1" x14ac:dyDescent="0.25">
      <c r="A573" s="61"/>
      <c r="B573" s="61"/>
      <c r="C573" s="61"/>
      <c r="D573" s="56"/>
      <c r="E573" s="56"/>
      <c r="F573" s="56"/>
      <c r="G573" s="56"/>
      <c r="H573" s="56"/>
      <c r="I573" s="56"/>
      <c r="J573" s="56"/>
      <c r="K573" s="56"/>
      <c r="L573" s="56"/>
      <c r="M573" s="56"/>
      <c r="N573" s="56"/>
      <c r="O573" s="56"/>
      <c r="P573" s="56"/>
      <c r="Q573" s="56"/>
      <c r="R573" s="56"/>
      <c r="S573" s="56"/>
      <c r="T573" s="56"/>
      <c r="U573" s="56"/>
      <c r="V573" s="56"/>
      <c r="W573" s="56"/>
      <c r="X573" s="56"/>
      <c r="Y573" s="56"/>
      <c r="Z573" s="56"/>
      <c r="AA573" s="56"/>
    </row>
    <row r="574" spans="1:27" ht="15.75" customHeight="1" x14ac:dyDescent="0.25">
      <c r="A574" s="61"/>
      <c r="B574" s="61"/>
      <c r="C574" s="61"/>
      <c r="D574" s="56"/>
      <c r="E574" s="56"/>
      <c r="F574" s="56"/>
      <c r="G574" s="56"/>
      <c r="H574" s="56"/>
      <c r="I574" s="56"/>
      <c r="J574" s="56"/>
      <c r="K574" s="56"/>
      <c r="L574" s="56"/>
      <c r="M574" s="56"/>
      <c r="N574" s="56"/>
      <c r="O574" s="56"/>
      <c r="P574" s="56"/>
      <c r="Q574" s="56"/>
      <c r="R574" s="56"/>
      <c r="S574" s="56"/>
      <c r="T574" s="56"/>
      <c r="U574" s="56"/>
      <c r="V574" s="56"/>
      <c r="W574" s="56"/>
      <c r="X574" s="56"/>
      <c r="Y574" s="56"/>
      <c r="Z574" s="56"/>
      <c r="AA574" s="56"/>
    </row>
    <row r="575" spans="1:27" ht="15.75" customHeight="1" x14ac:dyDescent="0.25">
      <c r="A575" s="61"/>
      <c r="B575" s="61"/>
      <c r="C575" s="61"/>
      <c r="D575" s="56"/>
      <c r="E575" s="56"/>
      <c r="F575" s="56"/>
      <c r="G575" s="56"/>
      <c r="H575" s="56"/>
      <c r="I575" s="56"/>
      <c r="J575" s="56"/>
      <c r="K575" s="56"/>
      <c r="L575" s="56"/>
      <c r="M575" s="56"/>
      <c r="N575" s="56"/>
      <c r="O575" s="56"/>
      <c r="P575" s="56"/>
      <c r="Q575" s="56"/>
      <c r="R575" s="56"/>
      <c r="S575" s="56"/>
      <c r="T575" s="56"/>
      <c r="U575" s="56"/>
      <c r="V575" s="56"/>
      <c r="W575" s="56"/>
      <c r="X575" s="56"/>
      <c r="Y575" s="56"/>
      <c r="Z575" s="56"/>
      <c r="AA575" s="56"/>
    </row>
    <row r="576" spans="1:27" ht="15.75" customHeight="1" x14ac:dyDescent="0.25">
      <c r="A576" s="61"/>
      <c r="B576" s="61"/>
      <c r="C576" s="61"/>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row>
    <row r="577" spans="1:27" ht="15.75" customHeight="1" x14ac:dyDescent="0.25">
      <c r="A577" s="61"/>
      <c r="B577" s="61"/>
      <c r="C577" s="61"/>
      <c r="D577" s="56"/>
      <c r="E577" s="56"/>
      <c r="F577" s="56"/>
      <c r="G577" s="56"/>
      <c r="H577" s="56"/>
      <c r="I577" s="56"/>
      <c r="J577" s="56"/>
      <c r="K577" s="56"/>
      <c r="L577" s="56"/>
      <c r="M577" s="56"/>
      <c r="N577" s="56"/>
      <c r="O577" s="56"/>
      <c r="P577" s="56"/>
      <c r="Q577" s="56"/>
      <c r="R577" s="56"/>
      <c r="S577" s="56"/>
      <c r="T577" s="56"/>
      <c r="U577" s="56"/>
      <c r="V577" s="56"/>
      <c r="W577" s="56"/>
      <c r="X577" s="56"/>
      <c r="Y577" s="56"/>
      <c r="Z577" s="56"/>
      <c r="AA577" s="56"/>
    </row>
    <row r="578" spans="1:27" ht="15.75" customHeight="1" x14ac:dyDescent="0.25">
      <c r="A578" s="61"/>
      <c r="B578" s="61"/>
      <c r="C578" s="61"/>
      <c r="D578" s="56"/>
      <c r="E578" s="56"/>
      <c r="F578" s="56"/>
      <c r="G578" s="56"/>
      <c r="H578" s="56"/>
      <c r="I578" s="56"/>
      <c r="J578" s="56"/>
      <c r="K578" s="56"/>
      <c r="L578" s="56"/>
      <c r="M578" s="56"/>
      <c r="N578" s="56"/>
      <c r="O578" s="56"/>
      <c r="P578" s="56"/>
      <c r="Q578" s="56"/>
      <c r="R578" s="56"/>
      <c r="S578" s="56"/>
      <c r="T578" s="56"/>
      <c r="U578" s="56"/>
      <c r="V578" s="56"/>
      <c r="W578" s="56"/>
      <c r="X578" s="56"/>
      <c r="Y578" s="56"/>
      <c r="Z578" s="56"/>
      <c r="AA578" s="56"/>
    </row>
    <row r="579" spans="1:27" ht="15.75" customHeight="1" x14ac:dyDescent="0.25">
      <c r="A579" s="61"/>
      <c r="B579" s="61"/>
      <c r="C579" s="61"/>
      <c r="D579" s="56"/>
      <c r="E579" s="56"/>
      <c r="F579" s="56"/>
      <c r="G579" s="56"/>
      <c r="H579" s="56"/>
      <c r="I579" s="56"/>
      <c r="J579" s="56"/>
      <c r="K579" s="56"/>
      <c r="L579" s="56"/>
      <c r="M579" s="56"/>
      <c r="N579" s="56"/>
      <c r="O579" s="56"/>
      <c r="P579" s="56"/>
      <c r="Q579" s="56"/>
      <c r="R579" s="56"/>
      <c r="S579" s="56"/>
      <c r="T579" s="56"/>
      <c r="U579" s="56"/>
      <c r="V579" s="56"/>
      <c r="W579" s="56"/>
      <c r="X579" s="56"/>
      <c r="Y579" s="56"/>
      <c r="Z579" s="56"/>
      <c r="AA579" s="56"/>
    </row>
    <row r="580" spans="1:27" ht="15.75" customHeight="1" x14ac:dyDescent="0.25">
      <c r="A580" s="61"/>
      <c r="B580" s="61"/>
      <c r="C580" s="61"/>
      <c r="D580" s="56"/>
      <c r="E580" s="56"/>
      <c r="F580" s="56"/>
      <c r="G580" s="56"/>
      <c r="H580" s="56"/>
      <c r="I580" s="56"/>
      <c r="J580" s="56"/>
      <c r="K580" s="56"/>
      <c r="L580" s="56"/>
      <c r="M580" s="56"/>
      <c r="N580" s="56"/>
      <c r="O580" s="56"/>
      <c r="P580" s="56"/>
      <c r="Q580" s="56"/>
      <c r="R580" s="56"/>
      <c r="S580" s="56"/>
      <c r="T580" s="56"/>
      <c r="U580" s="56"/>
      <c r="V580" s="56"/>
      <c r="W580" s="56"/>
      <c r="X580" s="56"/>
      <c r="Y580" s="56"/>
      <c r="Z580" s="56"/>
      <c r="AA580" s="56"/>
    </row>
    <row r="581" spans="1:27" ht="15.75" customHeight="1" x14ac:dyDescent="0.25">
      <c r="A581" s="61"/>
      <c r="B581" s="61"/>
      <c r="C581" s="61"/>
      <c r="D581" s="56"/>
      <c r="E581" s="56"/>
      <c r="F581" s="56"/>
      <c r="G581" s="56"/>
      <c r="H581" s="56"/>
      <c r="I581" s="56"/>
      <c r="J581" s="56"/>
      <c r="K581" s="56"/>
      <c r="L581" s="56"/>
      <c r="M581" s="56"/>
      <c r="N581" s="56"/>
      <c r="O581" s="56"/>
      <c r="P581" s="56"/>
      <c r="Q581" s="56"/>
      <c r="R581" s="56"/>
      <c r="S581" s="56"/>
      <c r="T581" s="56"/>
      <c r="U581" s="56"/>
      <c r="V581" s="56"/>
      <c r="W581" s="56"/>
      <c r="X581" s="56"/>
      <c r="Y581" s="56"/>
      <c r="Z581" s="56"/>
      <c r="AA581" s="56"/>
    </row>
    <row r="582" spans="1:27" ht="15.75" customHeight="1" x14ac:dyDescent="0.25">
      <c r="A582" s="61"/>
      <c r="B582" s="61"/>
      <c r="C582" s="61"/>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row>
    <row r="583" spans="1:27" ht="15.75" customHeight="1" x14ac:dyDescent="0.25">
      <c r="A583" s="61"/>
      <c r="B583" s="61"/>
      <c r="C583" s="61"/>
      <c r="D583" s="56"/>
      <c r="E583" s="56"/>
      <c r="F583" s="56"/>
      <c r="G583" s="56"/>
      <c r="H583" s="56"/>
      <c r="I583" s="56"/>
      <c r="J583" s="56"/>
      <c r="K583" s="56"/>
      <c r="L583" s="56"/>
      <c r="M583" s="56"/>
      <c r="N583" s="56"/>
      <c r="O583" s="56"/>
      <c r="P583" s="56"/>
      <c r="Q583" s="56"/>
      <c r="R583" s="56"/>
      <c r="S583" s="56"/>
      <c r="T583" s="56"/>
      <c r="U583" s="56"/>
      <c r="V583" s="56"/>
      <c r="W583" s="56"/>
      <c r="X583" s="56"/>
      <c r="Y583" s="56"/>
      <c r="Z583" s="56"/>
      <c r="AA583" s="56"/>
    </row>
    <row r="584" spans="1:27" ht="15.75" customHeight="1" x14ac:dyDescent="0.25">
      <c r="A584" s="61"/>
      <c r="B584" s="61"/>
      <c r="C584" s="61"/>
      <c r="D584" s="56"/>
      <c r="E584" s="56"/>
      <c r="F584" s="56"/>
      <c r="G584" s="56"/>
      <c r="H584" s="56"/>
      <c r="I584" s="56"/>
      <c r="J584" s="56"/>
      <c r="K584" s="56"/>
      <c r="L584" s="56"/>
      <c r="M584" s="56"/>
      <c r="N584" s="56"/>
      <c r="O584" s="56"/>
      <c r="P584" s="56"/>
      <c r="Q584" s="56"/>
      <c r="R584" s="56"/>
      <c r="S584" s="56"/>
      <c r="T584" s="56"/>
      <c r="U584" s="56"/>
      <c r="V584" s="56"/>
      <c r="W584" s="56"/>
      <c r="X584" s="56"/>
      <c r="Y584" s="56"/>
      <c r="Z584" s="56"/>
      <c r="AA584" s="56"/>
    </row>
    <row r="585" spans="1:27" ht="15.75" customHeight="1" x14ac:dyDescent="0.25">
      <c r="A585" s="61"/>
      <c r="B585" s="61"/>
      <c r="C585" s="61"/>
      <c r="D585" s="56"/>
      <c r="E585" s="56"/>
      <c r="F585" s="56"/>
      <c r="G585" s="56"/>
      <c r="H585" s="56"/>
      <c r="I585" s="56"/>
      <c r="J585" s="56"/>
      <c r="K585" s="56"/>
      <c r="L585" s="56"/>
      <c r="M585" s="56"/>
      <c r="N585" s="56"/>
      <c r="O585" s="56"/>
      <c r="P585" s="56"/>
      <c r="Q585" s="56"/>
      <c r="R585" s="56"/>
      <c r="S585" s="56"/>
      <c r="T585" s="56"/>
      <c r="U585" s="56"/>
      <c r="V585" s="56"/>
      <c r="W585" s="56"/>
      <c r="X585" s="56"/>
      <c r="Y585" s="56"/>
      <c r="Z585" s="56"/>
      <c r="AA585" s="56"/>
    </row>
    <row r="586" spans="1:27" ht="15.75" customHeight="1" x14ac:dyDescent="0.25">
      <c r="A586" s="61"/>
      <c r="B586" s="61"/>
      <c r="C586" s="61"/>
      <c r="D586" s="56"/>
      <c r="E586" s="56"/>
      <c r="F586" s="56"/>
      <c r="G586" s="56"/>
      <c r="H586" s="56"/>
      <c r="I586" s="56"/>
      <c r="J586" s="56"/>
      <c r="K586" s="56"/>
      <c r="L586" s="56"/>
      <c r="M586" s="56"/>
      <c r="N586" s="56"/>
      <c r="O586" s="56"/>
      <c r="P586" s="56"/>
      <c r="Q586" s="56"/>
      <c r="R586" s="56"/>
      <c r="S586" s="56"/>
      <c r="T586" s="56"/>
      <c r="U586" s="56"/>
      <c r="V586" s="56"/>
      <c r="W586" s="56"/>
      <c r="X586" s="56"/>
      <c r="Y586" s="56"/>
      <c r="Z586" s="56"/>
      <c r="AA586" s="56"/>
    </row>
    <row r="587" spans="1:27" ht="15.75" customHeight="1" x14ac:dyDescent="0.25">
      <c r="A587" s="61"/>
      <c r="B587" s="61"/>
      <c r="C587" s="61"/>
      <c r="D587" s="56"/>
      <c r="E587" s="56"/>
      <c r="F587" s="56"/>
      <c r="G587" s="56"/>
      <c r="H587" s="56"/>
      <c r="I587" s="56"/>
      <c r="J587" s="56"/>
      <c r="K587" s="56"/>
      <c r="L587" s="56"/>
      <c r="M587" s="56"/>
      <c r="N587" s="56"/>
      <c r="O587" s="56"/>
      <c r="P587" s="56"/>
      <c r="Q587" s="56"/>
      <c r="R587" s="56"/>
      <c r="S587" s="56"/>
      <c r="T587" s="56"/>
      <c r="U587" s="56"/>
      <c r="V587" s="56"/>
      <c r="W587" s="56"/>
      <c r="X587" s="56"/>
      <c r="Y587" s="56"/>
      <c r="Z587" s="56"/>
      <c r="AA587" s="56"/>
    </row>
    <row r="588" spans="1:27" ht="15.75" customHeight="1" x14ac:dyDescent="0.25">
      <c r="A588" s="61"/>
      <c r="B588" s="61"/>
      <c r="C588" s="61"/>
      <c r="D588" s="56"/>
      <c r="E588" s="56"/>
      <c r="F588" s="56"/>
      <c r="G588" s="56"/>
      <c r="H588" s="56"/>
      <c r="I588" s="56"/>
      <c r="J588" s="56"/>
      <c r="K588" s="56"/>
      <c r="L588" s="56"/>
      <c r="M588" s="56"/>
      <c r="N588" s="56"/>
      <c r="O588" s="56"/>
      <c r="P588" s="56"/>
      <c r="Q588" s="56"/>
      <c r="R588" s="56"/>
      <c r="S588" s="56"/>
      <c r="T588" s="56"/>
      <c r="U588" s="56"/>
      <c r="V588" s="56"/>
      <c r="W588" s="56"/>
      <c r="X588" s="56"/>
      <c r="Y588" s="56"/>
      <c r="Z588" s="56"/>
      <c r="AA588" s="56"/>
    </row>
    <row r="589" spans="1:27" ht="15.75" customHeight="1" x14ac:dyDescent="0.25">
      <c r="A589" s="61"/>
      <c r="B589" s="61"/>
      <c r="C589" s="61"/>
      <c r="D589" s="56"/>
      <c r="E589" s="56"/>
      <c r="F589" s="56"/>
      <c r="G589" s="56"/>
      <c r="H589" s="56"/>
      <c r="I589" s="56"/>
      <c r="J589" s="56"/>
      <c r="K589" s="56"/>
      <c r="L589" s="56"/>
      <c r="M589" s="56"/>
      <c r="N589" s="56"/>
      <c r="O589" s="56"/>
      <c r="P589" s="56"/>
      <c r="Q589" s="56"/>
      <c r="R589" s="56"/>
      <c r="S589" s="56"/>
      <c r="T589" s="56"/>
      <c r="U589" s="56"/>
      <c r="V589" s="56"/>
      <c r="W589" s="56"/>
      <c r="X589" s="56"/>
      <c r="Y589" s="56"/>
      <c r="Z589" s="56"/>
      <c r="AA589" s="56"/>
    </row>
    <row r="590" spans="1:27" ht="15.75" customHeight="1" x14ac:dyDescent="0.25">
      <c r="A590" s="61"/>
      <c r="B590" s="61"/>
      <c r="C590" s="61"/>
      <c r="D590" s="56"/>
      <c r="E590" s="56"/>
      <c r="F590" s="56"/>
      <c r="G590" s="56"/>
      <c r="H590" s="56"/>
      <c r="I590" s="56"/>
      <c r="J590" s="56"/>
      <c r="K590" s="56"/>
      <c r="L590" s="56"/>
      <c r="M590" s="56"/>
      <c r="N590" s="56"/>
      <c r="O590" s="56"/>
      <c r="P590" s="56"/>
      <c r="Q590" s="56"/>
      <c r="R590" s="56"/>
      <c r="S590" s="56"/>
      <c r="T590" s="56"/>
      <c r="U590" s="56"/>
      <c r="V590" s="56"/>
      <c r="W590" s="56"/>
      <c r="X590" s="56"/>
      <c r="Y590" s="56"/>
      <c r="Z590" s="56"/>
      <c r="AA590" s="56"/>
    </row>
    <row r="591" spans="1:27" ht="15.75" customHeight="1" x14ac:dyDescent="0.25">
      <c r="A591" s="61"/>
      <c r="B591" s="61"/>
      <c r="C591" s="61"/>
      <c r="D591" s="56"/>
      <c r="E591" s="56"/>
      <c r="F591" s="56"/>
      <c r="G591" s="56"/>
      <c r="H591" s="56"/>
      <c r="I591" s="56"/>
      <c r="J591" s="56"/>
      <c r="K591" s="56"/>
      <c r="L591" s="56"/>
      <c r="M591" s="56"/>
      <c r="N591" s="56"/>
      <c r="O591" s="56"/>
      <c r="P591" s="56"/>
      <c r="Q591" s="56"/>
      <c r="R591" s="56"/>
      <c r="S591" s="56"/>
      <c r="T591" s="56"/>
      <c r="U591" s="56"/>
      <c r="V591" s="56"/>
      <c r="W591" s="56"/>
      <c r="X591" s="56"/>
      <c r="Y591" s="56"/>
      <c r="Z591" s="56"/>
      <c r="AA591" s="56"/>
    </row>
    <row r="592" spans="1:27" ht="15.75" customHeight="1" x14ac:dyDescent="0.25">
      <c r="A592" s="61"/>
      <c r="B592" s="61"/>
      <c r="C592" s="61"/>
      <c r="D592" s="56"/>
      <c r="E592" s="56"/>
      <c r="F592" s="56"/>
      <c r="G592" s="56"/>
      <c r="H592" s="56"/>
      <c r="I592" s="56"/>
      <c r="J592" s="56"/>
      <c r="K592" s="56"/>
      <c r="L592" s="56"/>
      <c r="M592" s="56"/>
      <c r="N592" s="56"/>
      <c r="O592" s="56"/>
      <c r="P592" s="56"/>
      <c r="Q592" s="56"/>
      <c r="R592" s="56"/>
      <c r="S592" s="56"/>
      <c r="T592" s="56"/>
      <c r="U592" s="56"/>
      <c r="V592" s="56"/>
      <c r="W592" s="56"/>
      <c r="X592" s="56"/>
      <c r="Y592" s="56"/>
      <c r="Z592" s="56"/>
      <c r="AA592" s="56"/>
    </row>
    <row r="593" spans="1:27" ht="15.75" customHeight="1" x14ac:dyDescent="0.25">
      <c r="A593" s="61"/>
      <c r="B593" s="61"/>
      <c r="C593" s="61"/>
      <c r="D593" s="56"/>
      <c r="E593" s="56"/>
      <c r="F593" s="56"/>
      <c r="G593" s="56"/>
      <c r="H593" s="56"/>
      <c r="I593" s="56"/>
      <c r="J593" s="56"/>
      <c r="K593" s="56"/>
      <c r="L593" s="56"/>
      <c r="M593" s="56"/>
      <c r="N593" s="56"/>
      <c r="O593" s="56"/>
      <c r="P593" s="56"/>
      <c r="Q593" s="56"/>
      <c r="R593" s="56"/>
      <c r="S593" s="56"/>
      <c r="T593" s="56"/>
      <c r="U593" s="56"/>
      <c r="V593" s="56"/>
      <c r="W593" s="56"/>
      <c r="X593" s="56"/>
      <c r="Y593" s="56"/>
      <c r="Z593" s="56"/>
      <c r="AA593" s="56"/>
    </row>
    <row r="594" spans="1:27" ht="15.75" customHeight="1" x14ac:dyDescent="0.25">
      <c r="A594" s="61"/>
      <c r="B594" s="61"/>
      <c r="C594" s="61"/>
      <c r="D594" s="56"/>
      <c r="E594" s="56"/>
      <c r="F594" s="56"/>
      <c r="G594" s="56"/>
      <c r="H594" s="56"/>
      <c r="I594" s="56"/>
      <c r="J594" s="56"/>
      <c r="K594" s="56"/>
      <c r="L594" s="56"/>
      <c r="M594" s="56"/>
      <c r="N594" s="56"/>
      <c r="O594" s="56"/>
      <c r="P594" s="56"/>
      <c r="Q594" s="56"/>
      <c r="R594" s="56"/>
      <c r="S594" s="56"/>
      <c r="T594" s="56"/>
      <c r="U594" s="56"/>
      <c r="V594" s="56"/>
      <c r="W594" s="56"/>
      <c r="X594" s="56"/>
      <c r="Y594" s="56"/>
      <c r="Z594" s="56"/>
      <c r="AA594" s="56"/>
    </row>
    <row r="595" spans="1:27" ht="15.75" customHeight="1" x14ac:dyDescent="0.25">
      <c r="A595" s="61"/>
      <c r="B595" s="61"/>
      <c r="C595" s="61"/>
      <c r="D595" s="56"/>
      <c r="E595" s="56"/>
      <c r="F595" s="56"/>
      <c r="G595" s="56"/>
      <c r="H595" s="56"/>
      <c r="I595" s="56"/>
      <c r="J595" s="56"/>
      <c r="K595" s="56"/>
      <c r="L595" s="56"/>
      <c r="M595" s="56"/>
      <c r="N595" s="56"/>
      <c r="O595" s="56"/>
      <c r="P595" s="56"/>
      <c r="Q595" s="56"/>
      <c r="R595" s="56"/>
      <c r="S595" s="56"/>
      <c r="T595" s="56"/>
      <c r="U595" s="56"/>
      <c r="V595" s="56"/>
      <c r="W595" s="56"/>
      <c r="X595" s="56"/>
      <c r="Y595" s="56"/>
      <c r="Z595" s="56"/>
      <c r="AA595" s="56"/>
    </row>
    <row r="596" spans="1:27" ht="15.75" customHeight="1" x14ac:dyDescent="0.25">
      <c r="A596" s="61"/>
      <c r="B596" s="61"/>
      <c r="C596" s="61"/>
      <c r="D596" s="56"/>
      <c r="E596" s="56"/>
      <c r="F596" s="56"/>
      <c r="G596" s="56"/>
      <c r="H596" s="56"/>
      <c r="I596" s="56"/>
      <c r="J596" s="56"/>
      <c r="K596" s="56"/>
      <c r="L596" s="56"/>
      <c r="M596" s="56"/>
      <c r="N596" s="56"/>
      <c r="O596" s="56"/>
      <c r="P596" s="56"/>
      <c r="Q596" s="56"/>
      <c r="R596" s="56"/>
      <c r="S596" s="56"/>
      <c r="T596" s="56"/>
      <c r="U596" s="56"/>
      <c r="V596" s="56"/>
      <c r="W596" s="56"/>
      <c r="X596" s="56"/>
      <c r="Y596" s="56"/>
      <c r="Z596" s="56"/>
      <c r="AA596" s="56"/>
    </row>
    <row r="597" spans="1:27" ht="15.75" customHeight="1" x14ac:dyDescent="0.25">
      <c r="A597" s="61"/>
      <c r="B597" s="61"/>
      <c r="C597" s="61"/>
      <c r="D597" s="56"/>
      <c r="E597" s="56"/>
      <c r="F597" s="56"/>
      <c r="G597" s="56"/>
      <c r="H597" s="56"/>
      <c r="I597" s="56"/>
      <c r="J597" s="56"/>
      <c r="K597" s="56"/>
      <c r="L597" s="56"/>
      <c r="M597" s="56"/>
      <c r="N597" s="56"/>
      <c r="O597" s="56"/>
      <c r="P597" s="56"/>
      <c r="Q597" s="56"/>
      <c r="R597" s="56"/>
      <c r="S597" s="56"/>
      <c r="T597" s="56"/>
      <c r="U597" s="56"/>
      <c r="V597" s="56"/>
      <c r="W597" s="56"/>
      <c r="X597" s="56"/>
      <c r="Y597" s="56"/>
      <c r="Z597" s="56"/>
      <c r="AA597" s="56"/>
    </row>
    <row r="598" spans="1:27" ht="15.75" customHeight="1" x14ac:dyDescent="0.25">
      <c r="A598" s="61"/>
      <c r="B598" s="61"/>
      <c r="C598" s="61"/>
      <c r="D598" s="56"/>
      <c r="E598" s="56"/>
      <c r="F598" s="56"/>
      <c r="G598" s="56"/>
      <c r="H598" s="56"/>
      <c r="I598" s="56"/>
      <c r="J598" s="56"/>
      <c r="K598" s="56"/>
      <c r="L598" s="56"/>
      <c r="M598" s="56"/>
      <c r="N598" s="56"/>
      <c r="O598" s="56"/>
      <c r="P598" s="56"/>
      <c r="Q598" s="56"/>
      <c r="R598" s="56"/>
      <c r="S598" s="56"/>
      <c r="T598" s="56"/>
      <c r="U598" s="56"/>
      <c r="V598" s="56"/>
      <c r="W598" s="56"/>
      <c r="X598" s="56"/>
      <c r="Y598" s="56"/>
      <c r="Z598" s="56"/>
      <c r="AA598" s="56"/>
    </row>
    <row r="599" spans="1:27" ht="15.75" customHeight="1" x14ac:dyDescent="0.25">
      <c r="A599" s="61"/>
      <c r="B599" s="61"/>
      <c r="C599" s="61"/>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row>
    <row r="600" spans="1:27" ht="15.75" customHeight="1" x14ac:dyDescent="0.25">
      <c r="A600" s="61"/>
      <c r="B600" s="61"/>
      <c r="C600" s="61"/>
      <c r="D600" s="56"/>
      <c r="E600" s="56"/>
      <c r="F600" s="56"/>
      <c r="G600" s="56"/>
      <c r="H600" s="56"/>
      <c r="I600" s="56"/>
      <c r="J600" s="56"/>
      <c r="K600" s="56"/>
      <c r="L600" s="56"/>
      <c r="M600" s="56"/>
      <c r="N600" s="56"/>
      <c r="O600" s="56"/>
      <c r="P600" s="56"/>
      <c r="Q600" s="56"/>
      <c r="R600" s="56"/>
      <c r="S600" s="56"/>
      <c r="T600" s="56"/>
      <c r="U600" s="56"/>
      <c r="V600" s="56"/>
      <c r="W600" s="56"/>
      <c r="X600" s="56"/>
      <c r="Y600" s="56"/>
      <c r="Z600" s="56"/>
      <c r="AA600" s="56"/>
    </row>
    <row r="601" spans="1:27" ht="15.75" customHeight="1" x14ac:dyDescent="0.25">
      <c r="A601" s="61"/>
      <c r="B601" s="61"/>
      <c r="C601" s="61"/>
      <c r="D601" s="56"/>
      <c r="E601" s="56"/>
      <c r="F601" s="56"/>
      <c r="G601" s="56"/>
      <c r="H601" s="56"/>
      <c r="I601" s="56"/>
      <c r="J601" s="56"/>
      <c r="K601" s="56"/>
      <c r="L601" s="56"/>
      <c r="M601" s="56"/>
      <c r="N601" s="56"/>
      <c r="O601" s="56"/>
      <c r="P601" s="56"/>
      <c r="Q601" s="56"/>
      <c r="R601" s="56"/>
      <c r="S601" s="56"/>
      <c r="T601" s="56"/>
      <c r="U601" s="56"/>
      <c r="V601" s="56"/>
      <c r="W601" s="56"/>
      <c r="X601" s="56"/>
      <c r="Y601" s="56"/>
      <c r="Z601" s="56"/>
      <c r="AA601" s="56"/>
    </row>
    <row r="602" spans="1:27" ht="15.75" customHeight="1" x14ac:dyDescent="0.25">
      <c r="A602" s="61"/>
      <c r="B602" s="61"/>
      <c r="C602" s="61"/>
      <c r="D602" s="56"/>
      <c r="E602" s="56"/>
      <c r="F602" s="56"/>
      <c r="G602" s="56"/>
      <c r="H602" s="56"/>
      <c r="I602" s="56"/>
      <c r="J602" s="56"/>
      <c r="K602" s="56"/>
      <c r="L602" s="56"/>
      <c r="M602" s="56"/>
      <c r="N602" s="56"/>
      <c r="O602" s="56"/>
      <c r="P602" s="56"/>
      <c r="Q602" s="56"/>
      <c r="R602" s="56"/>
      <c r="S602" s="56"/>
      <c r="T602" s="56"/>
      <c r="U602" s="56"/>
      <c r="V602" s="56"/>
      <c r="W602" s="56"/>
      <c r="X602" s="56"/>
      <c r="Y602" s="56"/>
      <c r="Z602" s="56"/>
      <c r="AA602" s="56"/>
    </row>
    <row r="603" spans="1:27" ht="15.75" customHeight="1" x14ac:dyDescent="0.25">
      <c r="A603" s="61"/>
      <c r="B603" s="61"/>
      <c r="C603" s="61"/>
      <c r="D603" s="56"/>
      <c r="E603" s="56"/>
      <c r="F603" s="56"/>
      <c r="G603" s="56"/>
      <c r="H603" s="56"/>
      <c r="I603" s="56"/>
      <c r="J603" s="56"/>
      <c r="K603" s="56"/>
      <c r="L603" s="56"/>
      <c r="M603" s="56"/>
      <c r="N603" s="56"/>
      <c r="O603" s="56"/>
      <c r="P603" s="56"/>
      <c r="Q603" s="56"/>
      <c r="R603" s="56"/>
      <c r="S603" s="56"/>
      <c r="T603" s="56"/>
      <c r="U603" s="56"/>
      <c r="V603" s="56"/>
      <c r="W603" s="56"/>
      <c r="X603" s="56"/>
      <c r="Y603" s="56"/>
      <c r="Z603" s="56"/>
      <c r="AA603" s="56"/>
    </row>
    <row r="604" spans="1:27" ht="15.75" customHeight="1" x14ac:dyDescent="0.25">
      <c r="A604" s="61"/>
      <c r="B604" s="61"/>
      <c r="C604" s="61"/>
      <c r="D604" s="56"/>
      <c r="E604" s="56"/>
      <c r="F604" s="56"/>
      <c r="G604" s="56"/>
      <c r="H604" s="56"/>
      <c r="I604" s="56"/>
      <c r="J604" s="56"/>
      <c r="K604" s="56"/>
      <c r="L604" s="56"/>
      <c r="M604" s="56"/>
      <c r="N604" s="56"/>
      <c r="O604" s="56"/>
      <c r="P604" s="56"/>
      <c r="Q604" s="56"/>
      <c r="R604" s="56"/>
      <c r="S604" s="56"/>
      <c r="T604" s="56"/>
      <c r="U604" s="56"/>
      <c r="V604" s="56"/>
      <c r="W604" s="56"/>
      <c r="X604" s="56"/>
      <c r="Y604" s="56"/>
      <c r="Z604" s="56"/>
      <c r="AA604" s="56"/>
    </row>
    <row r="605" spans="1:27" ht="15.75" customHeight="1" x14ac:dyDescent="0.25">
      <c r="A605" s="61"/>
      <c r="B605" s="61"/>
      <c r="C605" s="61"/>
      <c r="D605" s="56"/>
      <c r="E605" s="56"/>
      <c r="F605" s="56"/>
      <c r="G605" s="56"/>
      <c r="H605" s="56"/>
      <c r="I605" s="56"/>
      <c r="J605" s="56"/>
      <c r="K605" s="56"/>
      <c r="L605" s="56"/>
      <c r="M605" s="56"/>
      <c r="N605" s="56"/>
      <c r="O605" s="56"/>
      <c r="P605" s="56"/>
      <c r="Q605" s="56"/>
      <c r="R605" s="56"/>
      <c r="S605" s="56"/>
      <c r="T605" s="56"/>
      <c r="U605" s="56"/>
      <c r="V605" s="56"/>
      <c r="W605" s="56"/>
      <c r="X605" s="56"/>
      <c r="Y605" s="56"/>
      <c r="Z605" s="56"/>
      <c r="AA605" s="56"/>
    </row>
    <row r="606" spans="1:27" ht="15.75" customHeight="1" x14ac:dyDescent="0.25">
      <c r="A606" s="61"/>
      <c r="B606" s="61"/>
      <c r="C606" s="61"/>
      <c r="D606" s="56"/>
      <c r="E606" s="56"/>
      <c r="F606" s="56"/>
      <c r="G606" s="56"/>
      <c r="H606" s="56"/>
      <c r="I606" s="56"/>
      <c r="J606" s="56"/>
      <c r="K606" s="56"/>
      <c r="L606" s="56"/>
      <c r="M606" s="56"/>
      <c r="N606" s="56"/>
      <c r="O606" s="56"/>
      <c r="P606" s="56"/>
      <c r="Q606" s="56"/>
      <c r="R606" s="56"/>
      <c r="S606" s="56"/>
      <c r="T606" s="56"/>
      <c r="U606" s="56"/>
      <c r="V606" s="56"/>
      <c r="W606" s="56"/>
      <c r="X606" s="56"/>
      <c r="Y606" s="56"/>
      <c r="Z606" s="56"/>
      <c r="AA606" s="56"/>
    </row>
    <row r="607" spans="1:27" ht="15.75" customHeight="1" x14ac:dyDescent="0.25">
      <c r="A607" s="61"/>
      <c r="B607" s="61"/>
      <c r="C607" s="61"/>
      <c r="D607" s="56"/>
      <c r="E607" s="56"/>
      <c r="F607" s="56"/>
      <c r="G607" s="56"/>
      <c r="H607" s="56"/>
      <c r="I607" s="56"/>
      <c r="J607" s="56"/>
      <c r="K607" s="56"/>
      <c r="L607" s="56"/>
      <c r="M607" s="56"/>
      <c r="N607" s="56"/>
      <c r="O607" s="56"/>
      <c r="P607" s="56"/>
      <c r="Q607" s="56"/>
      <c r="R607" s="56"/>
      <c r="S607" s="56"/>
      <c r="T607" s="56"/>
      <c r="U607" s="56"/>
      <c r="V607" s="56"/>
      <c r="W607" s="56"/>
      <c r="X607" s="56"/>
      <c r="Y607" s="56"/>
      <c r="Z607" s="56"/>
      <c r="AA607" s="56"/>
    </row>
    <row r="608" spans="1:27" ht="15.75" customHeight="1" x14ac:dyDescent="0.25">
      <c r="A608" s="61"/>
      <c r="B608" s="61"/>
      <c r="C608" s="61"/>
      <c r="D608" s="56"/>
      <c r="E608" s="56"/>
      <c r="F608" s="56"/>
      <c r="G608" s="56"/>
      <c r="H608" s="56"/>
      <c r="I608" s="56"/>
      <c r="J608" s="56"/>
      <c r="K608" s="56"/>
      <c r="L608" s="56"/>
      <c r="M608" s="56"/>
      <c r="N608" s="56"/>
      <c r="O608" s="56"/>
      <c r="P608" s="56"/>
      <c r="Q608" s="56"/>
      <c r="R608" s="56"/>
      <c r="S608" s="56"/>
      <c r="T608" s="56"/>
      <c r="U608" s="56"/>
      <c r="V608" s="56"/>
      <c r="W608" s="56"/>
      <c r="X608" s="56"/>
      <c r="Y608" s="56"/>
      <c r="Z608" s="56"/>
      <c r="AA608" s="56"/>
    </row>
    <row r="609" spans="1:27" ht="15.75" customHeight="1" x14ac:dyDescent="0.25">
      <c r="A609" s="61"/>
      <c r="B609" s="61"/>
      <c r="C609" s="61"/>
      <c r="D609" s="56"/>
      <c r="E609" s="56"/>
      <c r="F609" s="56"/>
      <c r="G609" s="56"/>
      <c r="H609" s="56"/>
      <c r="I609" s="56"/>
      <c r="J609" s="56"/>
      <c r="K609" s="56"/>
      <c r="L609" s="56"/>
      <c r="M609" s="56"/>
      <c r="N609" s="56"/>
      <c r="O609" s="56"/>
      <c r="P609" s="56"/>
      <c r="Q609" s="56"/>
      <c r="R609" s="56"/>
      <c r="S609" s="56"/>
      <c r="T609" s="56"/>
      <c r="U609" s="56"/>
      <c r="V609" s="56"/>
      <c r="W609" s="56"/>
      <c r="X609" s="56"/>
      <c r="Y609" s="56"/>
      <c r="Z609" s="56"/>
      <c r="AA609" s="56"/>
    </row>
    <row r="610" spans="1:27" ht="15.75" customHeight="1" x14ac:dyDescent="0.25">
      <c r="A610" s="61"/>
      <c r="B610" s="61"/>
      <c r="C610" s="61"/>
      <c r="D610" s="56"/>
      <c r="E610" s="56"/>
      <c r="F610" s="56"/>
      <c r="G610" s="56"/>
      <c r="H610" s="56"/>
      <c r="I610" s="56"/>
      <c r="J610" s="56"/>
      <c r="K610" s="56"/>
      <c r="L610" s="56"/>
      <c r="M610" s="56"/>
      <c r="N610" s="56"/>
      <c r="O610" s="56"/>
      <c r="P610" s="56"/>
      <c r="Q610" s="56"/>
      <c r="R610" s="56"/>
      <c r="S610" s="56"/>
      <c r="T610" s="56"/>
      <c r="U610" s="56"/>
      <c r="V610" s="56"/>
      <c r="W610" s="56"/>
      <c r="X610" s="56"/>
      <c r="Y610" s="56"/>
      <c r="Z610" s="56"/>
      <c r="AA610" s="56"/>
    </row>
    <row r="611" spans="1:27" ht="15.75" customHeight="1" x14ac:dyDescent="0.25">
      <c r="A611" s="61"/>
      <c r="B611" s="61"/>
      <c r="C611" s="61"/>
      <c r="D611" s="56"/>
      <c r="E611" s="56"/>
      <c r="F611" s="56"/>
      <c r="G611" s="56"/>
      <c r="H611" s="56"/>
      <c r="I611" s="56"/>
      <c r="J611" s="56"/>
      <c r="K611" s="56"/>
      <c r="L611" s="56"/>
      <c r="M611" s="56"/>
      <c r="N611" s="56"/>
      <c r="O611" s="56"/>
      <c r="P611" s="56"/>
      <c r="Q611" s="56"/>
      <c r="R611" s="56"/>
      <c r="S611" s="56"/>
      <c r="T611" s="56"/>
      <c r="U611" s="56"/>
      <c r="V611" s="56"/>
      <c r="W611" s="56"/>
      <c r="X611" s="56"/>
      <c r="Y611" s="56"/>
      <c r="Z611" s="56"/>
      <c r="AA611" s="56"/>
    </row>
    <row r="612" spans="1:27" ht="15.75" customHeight="1" x14ac:dyDescent="0.25">
      <c r="A612" s="61"/>
      <c r="B612" s="61"/>
      <c r="C612" s="61"/>
      <c r="D612" s="56"/>
      <c r="E612" s="56"/>
      <c r="F612" s="56"/>
      <c r="G612" s="56"/>
      <c r="H612" s="56"/>
      <c r="I612" s="56"/>
      <c r="J612" s="56"/>
      <c r="K612" s="56"/>
      <c r="L612" s="56"/>
      <c r="M612" s="56"/>
      <c r="N612" s="56"/>
      <c r="O612" s="56"/>
      <c r="P612" s="56"/>
      <c r="Q612" s="56"/>
      <c r="R612" s="56"/>
      <c r="S612" s="56"/>
      <c r="T612" s="56"/>
      <c r="U612" s="56"/>
      <c r="V612" s="56"/>
      <c r="W612" s="56"/>
      <c r="X612" s="56"/>
      <c r="Y612" s="56"/>
      <c r="Z612" s="56"/>
      <c r="AA612" s="56"/>
    </row>
    <row r="613" spans="1:27" ht="15.75" customHeight="1" x14ac:dyDescent="0.25">
      <c r="A613" s="61"/>
      <c r="B613" s="61"/>
      <c r="C613" s="61"/>
      <c r="D613" s="56"/>
      <c r="E613" s="56"/>
      <c r="F613" s="56"/>
      <c r="G613" s="56"/>
      <c r="H613" s="56"/>
      <c r="I613" s="56"/>
      <c r="J613" s="56"/>
      <c r="K613" s="56"/>
      <c r="L613" s="56"/>
      <c r="M613" s="56"/>
      <c r="N613" s="56"/>
      <c r="O613" s="56"/>
      <c r="P613" s="56"/>
      <c r="Q613" s="56"/>
      <c r="R613" s="56"/>
      <c r="S613" s="56"/>
      <c r="T613" s="56"/>
      <c r="U613" s="56"/>
      <c r="V613" s="56"/>
      <c r="W613" s="56"/>
      <c r="X613" s="56"/>
      <c r="Y613" s="56"/>
      <c r="Z613" s="56"/>
      <c r="AA613" s="56"/>
    </row>
    <row r="614" spans="1:27" ht="15.75" customHeight="1" x14ac:dyDescent="0.25">
      <c r="A614" s="61"/>
      <c r="B614" s="61"/>
      <c r="C614" s="61"/>
      <c r="D614" s="56"/>
      <c r="E614" s="56"/>
      <c r="F614" s="56"/>
      <c r="G614" s="56"/>
      <c r="H614" s="56"/>
      <c r="I614" s="56"/>
      <c r="J614" s="56"/>
      <c r="K614" s="56"/>
      <c r="L614" s="56"/>
      <c r="M614" s="56"/>
      <c r="N614" s="56"/>
      <c r="O614" s="56"/>
      <c r="P614" s="56"/>
      <c r="Q614" s="56"/>
      <c r="R614" s="56"/>
      <c r="S614" s="56"/>
      <c r="T614" s="56"/>
      <c r="U614" s="56"/>
      <c r="V614" s="56"/>
      <c r="W614" s="56"/>
      <c r="X614" s="56"/>
      <c r="Y614" s="56"/>
      <c r="Z614" s="56"/>
      <c r="AA614" s="56"/>
    </row>
    <row r="615" spans="1:27" ht="15.75" customHeight="1" x14ac:dyDescent="0.25">
      <c r="A615" s="61"/>
      <c r="B615" s="61"/>
      <c r="C615" s="61"/>
      <c r="D615" s="56"/>
      <c r="E615" s="56"/>
      <c r="F615" s="56"/>
      <c r="G615" s="56"/>
      <c r="H615" s="56"/>
      <c r="I615" s="56"/>
      <c r="J615" s="56"/>
      <c r="K615" s="56"/>
      <c r="L615" s="56"/>
      <c r="M615" s="56"/>
      <c r="N615" s="56"/>
      <c r="O615" s="56"/>
      <c r="P615" s="56"/>
      <c r="Q615" s="56"/>
      <c r="R615" s="56"/>
      <c r="S615" s="56"/>
      <c r="T615" s="56"/>
      <c r="U615" s="56"/>
      <c r="V615" s="56"/>
      <c r="W615" s="56"/>
      <c r="X615" s="56"/>
      <c r="Y615" s="56"/>
      <c r="Z615" s="56"/>
      <c r="AA615" s="56"/>
    </row>
    <row r="616" spans="1:27" ht="15.75" customHeight="1" x14ac:dyDescent="0.25">
      <c r="A616" s="61"/>
      <c r="B616" s="61"/>
      <c r="C616" s="61"/>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row>
    <row r="617" spans="1:27" ht="15.75" customHeight="1" x14ac:dyDescent="0.25">
      <c r="A617" s="61"/>
      <c r="B617" s="61"/>
      <c r="C617" s="61"/>
      <c r="D617" s="56"/>
      <c r="E617" s="56"/>
      <c r="F617" s="56"/>
      <c r="G617" s="56"/>
      <c r="H617" s="56"/>
      <c r="I617" s="56"/>
      <c r="J617" s="56"/>
      <c r="K617" s="56"/>
      <c r="L617" s="56"/>
      <c r="M617" s="56"/>
      <c r="N617" s="56"/>
      <c r="O617" s="56"/>
      <c r="P617" s="56"/>
      <c r="Q617" s="56"/>
      <c r="R617" s="56"/>
      <c r="S617" s="56"/>
      <c r="T617" s="56"/>
      <c r="U617" s="56"/>
      <c r="V617" s="56"/>
      <c r="W617" s="56"/>
      <c r="X617" s="56"/>
      <c r="Y617" s="56"/>
      <c r="Z617" s="56"/>
      <c r="AA617" s="56"/>
    </row>
    <row r="618" spans="1:27" ht="15.75" customHeight="1" x14ac:dyDescent="0.25">
      <c r="A618" s="61"/>
      <c r="B618" s="61"/>
      <c r="C618" s="61"/>
      <c r="D618" s="56"/>
      <c r="E618" s="56"/>
      <c r="F618" s="56"/>
      <c r="G618" s="56"/>
      <c r="H618" s="56"/>
      <c r="I618" s="56"/>
      <c r="J618" s="56"/>
      <c r="K618" s="56"/>
      <c r="L618" s="56"/>
      <c r="M618" s="56"/>
      <c r="N618" s="56"/>
      <c r="O618" s="56"/>
      <c r="P618" s="56"/>
      <c r="Q618" s="56"/>
      <c r="R618" s="56"/>
      <c r="S618" s="56"/>
      <c r="T618" s="56"/>
      <c r="U618" s="56"/>
      <c r="V618" s="56"/>
      <c r="W618" s="56"/>
      <c r="X618" s="56"/>
      <c r="Y618" s="56"/>
      <c r="Z618" s="56"/>
      <c r="AA618" s="56"/>
    </row>
    <row r="619" spans="1:27" ht="15.75" customHeight="1" x14ac:dyDescent="0.25">
      <c r="A619" s="61"/>
      <c r="B619" s="61"/>
      <c r="C619" s="61"/>
      <c r="D619" s="56"/>
      <c r="E619" s="56"/>
      <c r="F619" s="56"/>
      <c r="G619" s="56"/>
      <c r="H619" s="56"/>
      <c r="I619" s="56"/>
      <c r="J619" s="56"/>
      <c r="K619" s="56"/>
      <c r="L619" s="56"/>
      <c r="M619" s="56"/>
      <c r="N619" s="56"/>
      <c r="O619" s="56"/>
      <c r="P619" s="56"/>
      <c r="Q619" s="56"/>
      <c r="R619" s="56"/>
      <c r="S619" s="56"/>
      <c r="T619" s="56"/>
      <c r="U619" s="56"/>
      <c r="V619" s="56"/>
      <c r="W619" s="56"/>
      <c r="X619" s="56"/>
      <c r="Y619" s="56"/>
      <c r="Z619" s="56"/>
      <c r="AA619" s="56"/>
    </row>
    <row r="620" spans="1:27" ht="15.75" customHeight="1" x14ac:dyDescent="0.25">
      <c r="A620" s="61"/>
      <c r="B620" s="61"/>
      <c r="C620" s="61"/>
      <c r="D620" s="56"/>
      <c r="E620" s="56"/>
      <c r="F620" s="56"/>
      <c r="G620" s="56"/>
      <c r="H620" s="56"/>
      <c r="I620" s="56"/>
      <c r="J620" s="56"/>
      <c r="K620" s="56"/>
      <c r="L620" s="56"/>
      <c r="M620" s="56"/>
      <c r="N620" s="56"/>
      <c r="O620" s="56"/>
      <c r="P620" s="56"/>
      <c r="Q620" s="56"/>
      <c r="R620" s="56"/>
      <c r="S620" s="56"/>
      <c r="T620" s="56"/>
      <c r="U620" s="56"/>
      <c r="V620" s="56"/>
      <c r="W620" s="56"/>
      <c r="X620" s="56"/>
      <c r="Y620" s="56"/>
      <c r="Z620" s="56"/>
      <c r="AA620" s="56"/>
    </row>
    <row r="621" spans="1:27" ht="15.75" customHeight="1" x14ac:dyDescent="0.25">
      <c r="A621" s="61"/>
      <c r="B621" s="61"/>
      <c r="C621" s="61"/>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row>
    <row r="622" spans="1:27" ht="15.75" customHeight="1" x14ac:dyDescent="0.25">
      <c r="A622" s="61"/>
      <c r="B622" s="61"/>
      <c r="C622" s="61"/>
      <c r="D622" s="56"/>
      <c r="E622" s="56"/>
      <c r="F622" s="56"/>
      <c r="G622" s="56"/>
      <c r="H622" s="56"/>
      <c r="I622" s="56"/>
      <c r="J622" s="56"/>
      <c r="K622" s="56"/>
      <c r="L622" s="56"/>
      <c r="M622" s="56"/>
      <c r="N622" s="56"/>
      <c r="O622" s="56"/>
      <c r="P622" s="56"/>
      <c r="Q622" s="56"/>
      <c r="R622" s="56"/>
      <c r="S622" s="56"/>
      <c r="T622" s="56"/>
      <c r="U622" s="56"/>
      <c r="V622" s="56"/>
      <c r="W622" s="56"/>
      <c r="X622" s="56"/>
      <c r="Y622" s="56"/>
      <c r="Z622" s="56"/>
      <c r="AA622" s="56"/>
    </row>
    <row r="623" spans="1:27" ht="15.75" customHeight="1" x14ac:dyDescent="0.25">
      <c r="A623" s="61"/>
      <c r="B623" s="61"/>
      <c r="C623" s="61"/>
      <c r="D623" s="56"/>
      <c r="E623" s="56"/>
      <c r="F623" s="56"/>
      <c r="G623" s="56"/>
      <c r="H623" s="56"/>
      <c r="I623" s="56"/>
      <c r="J623" s="56"/>
      <c r="K623" s="56"/>
      <c r="L623" s="56"/>
      <c r="M623" s="56"/>
      <c r="N623" s="56"/>
      <c r="O623" s="56"/>
      <c r="P623" s="56"/>
      <c r="Q623" s="56"/>
      <c r="R623" s="56"/>
      <c r="S623" s="56"/>
      <c r="T623" s="56"/>
      <c r="U623" s="56"/>
      <c r="V623" s="56"/>
      <c r="W623" s="56"/>
      <c r="X623" s="56"/>
      <c r="Y623" s="56"/>
      <c r="Z623" s="56"/>
      <c r="AA623" s="56"/>
    </row>
    <row r="624" spans="1:27" ht="15.75" customHeight="1" x14ac:dyDescent="0.25">
      <c r="A624" s="61"/>
      <c r="B624" s="61"/>
      <c r="C624" s="61"/>
      <c r="D624" s="56"/>
      <c r="E624" s="56"/>
      <c r="F624" s="56"/>
      <c r="G624" s="56"/>
      <c r="H624" s="56"/>
      <c r="I624" s="56"/>
      <c r="J624" s="56"/>
      <c r="K624" s="56"/>
      <c r="L624" s="56"/>
      <c r="M624" s="56"/>
      <c r="N624" s="56"/>
      <c r="O624" s="56"/>
      <c r="P624" s="56"/>
      <c r="Q624" s="56"/>
      <c r="R624" s="56"/>
      <c r="S624" s="56"/>
      <c r="T624" s="56"/>
      <c r="U624" s="56"/>
      <c r="V624" s="56"/>
      <c r="W624" s="56"/>
      <c r="X624" s="56"/>
      <c r="Y624" s="56"/>
      <c r="Z624" s="56"/>
      <c r="AA624" s="56"/>
    </row>
    <row r="625" spans="1:27" ht="15.75" customHeight="1" x14ac:dyDescent="0.25">
      <c r="A625" s="61"/>
      <c r="B625" s="61"/>
      <c r="C625" s="61"/>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row>
    <row r="626" spans="1:27" ht="15.75" customHeight="1" x14ac:dyDescent="0.25">
      <c r="A626" s="61"/>
      <c r="B626" s="61"/>
      <c r="C626" s="61"/>
      <c r="D626" s="56"/>
      <c r="E626" s="56"/>
      <c r="F626" s="56"/>
      <c r="G626" s="56"/>
      <c r="H626" s="56"/>
      <c r="I626" s="56"/>
      <c r="J626" s="56"/>
      <c r="K626" s="56"/>
      <c r="L626" s="56"/>
      <c r="M626" s="56"/>
      <c r="N626" s="56"/>
      <c r="O626" s="56"/>
      <c r="P626" s="56"/>
      <c r="Q626" s="56"/>
      <c r="R626" s="56"/>
      <c r="S626" s="56"/>
      <c r="T626" s="56"/>
      <c r="U626" s="56"/>
      <c r="V626" s="56"/>
      <c r="W626" s="56"/>
      <c r="X626" s="56"/>
      <c r="Y626" s="56"/>
      <c r="Z626" s="56"/>
      <c r="AA626" s="56"/>
    </row>
    <row r="627" spans="1:27" ht="15.75" customHeight="1" x14ac:dyDescent="0.25">
      <c r="A627" s="61"/>
      <c r="B627" s="61"/>
      <c r="C627" s="61"/>
      <c r="D627" s="56"/>
      <c r="E627" s="56"/>
      <c r="F627" s="56"/>
      <c r="G627" s="56"/>
      <c r="H627" s="56"/>
      <c r="I627" s="56"/>
      <c r="J627" s="56"/>
      <c r="K627" s="56"/>
      <c r="L627" s="56"/>
      <c r="M627" s="56"/>
      <c r="N627" s="56"/>
      <c r="O627" s="56"/>
      <c r="P627" s="56"/>
      <c r="Q627" s="56"/>
      <c r="R627" s="56"/>
      <c r="S627" s="56"/>
      <c r="T627" s="56"/>
      <c r="U627" s="56"/>
      <c r="V627" s="56"/>
      <c r="W627" s="56"/>
      <c r="X627" s="56"/>
      <c r="Y627" s="56"/>
      <c r="Z627" s="56"/>
      <c r="AA627" s="56"/>
    </row>
    <row r="628" spans="1:27" ht="15.75" customHeight="1" x14ac:dyDescent="0.25">
      <c r="A628" s="61"/>
      <c r="B628" s="61"/>
      <c r="C628" s="61"/>
      <c r="D628" s="56"/>
      <c r="E628" s="56"/>
      <c r="F628" s="56"/>
      <c r="G628" s="56"/>
      <c r="H628" s="56"/>
      <c r="I628" s="56"/>
      <c r="J628" s="56"/>
      <c r="K628" s="56"/>
      <c r="L628" s="56"/>
      <c r="M628" s="56"/>
      <c r="N628" s="56"/>
      <c r="O628" s="56"/>
      <c r="P628" s="56"/>
      <c r="Q628" s="56"/>
      <c r="R628" s="56"/>
      <c r="S628" s="56"/>
      <c r="T628" s="56"/>
      <c r="U628" s="56"/>
      <c r="V628" s="56"/>
      <c r="W628" s="56"/>
      <c r="X628" s="56"/>
      <c r="Y628" s="56"/>
      <c r="Z628" s="56"/>
      <c r="AA628" s="56"/>
    </row>
    <row r="629" spans="1:27" ht="15.75" customHeight="1" x14ac:dyDescent="0.25">
      <c r="A629" s="61"/>
      <c r="B629" s="61"/>
      <c r="C629" s="61"/>
      <c r="D629" s="56"/>
      <c r="E629" s="56"/>
      <c r="F629" s="56"/>
      <c r="G629" s="56"/>
      <c r="H629" s="56"/>
      <c r="I629" s="56"/>
      <c r="J629" s="56"/>
      <c r="K629" s="56"/>
      <c r="L629" s="56"/>
      <c r="M629" s="56"/>
      <c r="N629" s="56"/>
      <c r="O629" s="56"/>
      <c r="P629" s="56"/>
      <c r="Q629" s="56"/>
      <c r="R629" s="56"/>
      <c r="S629" s="56"/>
      <c r="T629" s="56"/>
      <c r="U629" s="56"/>
      <c r="V629" s="56"/>
      <c r="W629" s="56"/>
      <c r="X629" s="56"/>
      <c r="Y629" s="56"/>
      <c r="Z629" s="56"/>
      <c r="AA629" s="56"/>
    </row>
    <row r="630" spans="1:27" ht="15.75" customHeight="1" x14ac:dyDescent="0.25">
      <c r="A630" s="61"/>
      <c r="B630" s="61"/>
      <c r="C630" s="61"/>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row>
    <row r="631" spans="1:27" ht="15.75" customHeight="1" x14ac:dyDescent="0.25">
      <c r="A631" s="61"/>
      <c r="B631" s="61"/>
      <c r="C631" s="61"/>
      <c r="D631" s="56"/>
      <c r="E631" s="56"/>
      <c r="F631" s="56"/>
      <c r="G631" s="56"/>
      <c r="H631" s="56"/>
      <c r="I631" s="56"/>
      <c r="J631" s="56"/>
      <c r="K631" s="56"/>
      <c r="L631" s="56"/>
      <c r="M631" s="56"/>
      <c r="N631" s="56"/>
      <c r="O631" s="56"/>
      <c r="P631" s="56"/>
      <c r="Q631" s="56"/>
      <c r="R631" s="56"/>
      <c r="S631" s="56"/>
      <c r="T631" s="56"/>
      <c r="U631" s="56"/>
      <c r="V631" s="56"/>
      <c r="W631" s="56"/>
      <c r="X631" s="56"/>
      <c r="Y631" s="56"/>
      <c r="Z631" s="56"/>
      <c r="AA631" s="56"/>
    </row>
    <row r="632" spans="1:27" ht="15.75" customHeight="1" x14ac:dyDescent="0.25">
      <c r="A632" s="61"/>
      <c r="B632" s="61"/>
      <c r="C632" s="61"/>
      <c r="D632" s="56"/>
      <c r="E632" s="56"/>
      <c r="F632" s="56"/>
      <c r="G632" s="56"/>
      <c r="H632" s="56"/>
      <c r="I632" s="56"/>
      <c r="J632" s="56"/>
      <c r="K632" s="56"/>
      <c r="L632" s="56"/>
      <c r="M632" s="56"/>
      <c r="N632" s="56"/>
      <c r="O632" s="56"/>
      <c r="P632" s="56"/>
      <c r="Q632" s="56"/>
      <c r="R632" s="56"/>
      <c r="S632" s="56"/>
      <c r="T632" s="56"/>
      <c r="U632" s="56"/>
      <c r="V632" s="56"/>
      <c r="W632" s="56"/>
      <c r="X632" s="56"/>
      <c r="Y632" s="56"/>
      <c r="Z632" s="56"/>
      <c r="AA632" s="56"/>
    </row>
    <row r="633" spans="1:27" ht="15.75" customHeight="1" x14ac:dyDescent="0.25">
      <c r="A633" s="61"/>
      <c r="B633" s="61"/>
      <c r="C633" s="61"/>
      <c r="D633" s="56"/>
      <c r="E633" s="56"/>
      <c r="F633" s="56"/>
      <c r="G633" s="56"/>
      <c r="H633" s="56"/>
      <c r="I633" s="56"/>
      <c r="J633" s="56"/>
      <c r="K633" s="56"/>
      <c r="L633" s="56"/>
      <c r="M633" s="56"/>
      <c r="N633" s="56"/>
      <c r="O633" s="56"/>
      <c r="P633" s="56"/>
      <c r="Q633" s="56"/>
      <c r="R633" s="56"/>
      <c r="S633" s="56"/>
      <c r="T633" s="56"/>
      <c r="U633" s="56"/>
      <c r="V633" s="56"/>
      <c r="W633" s="56"/>
      <c r="X633" s="56"/>
      <c r="Y633" s="56"/>
      <c r="Z633" s="56"/>
      <c r="AA633" s="56"/>
    </row>
    <row r="634" spans="1:27" ht="15.75" customHeight="1" x14ac:dyDescent="0.25">
      <c r="A634" s="61"/>
      <c r="B634" s="61"/>
      <c r="C634" s="61"/>
      <c r="D634" s="56"/>
      <c r="E634" s="56"/>
      <c r="F634" s="56"/>
      <c r="G634" s="56"/>
      <c r="H634" s="56"/>
      <c r="I634" s="56"/>
      <c r="J634" s="56"/>
      <c r="K634" s="56"/>
      <c r="L634" s="56"/>
      <c r="M634" s="56"/>
      <c r="N634" s="56"/>
      <c r="O634" s="56"/>
      <c r="P634" s="56"/>
      <c r="Q634" s="56"/>
      <c r="R634" s="56"/>
      <c r="S634" s="56"/>
      <c r="T634" s="56"/>
      <c r="U634" s="56"/>
      <c r="V634" s="56"/>
      <c r="W634" s="56"/>
      <c r="X634" s="56"/>
      <c r="Y634" s="56"/>
      <c r="Z634" s="56"/>
      <c r="AA634" s="56"/>
    </row>
    <row r="635" spans="1:27" ht="15.75" customHeight="1" x14ac:dyDescent="0.25">
      <c r="A635" s="61"/>
      <c r="B635" s="61"/>
      <c r="C635" s="61"/>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row>
    <row r="636" spans="1:27" ht="15.75" customHeight="1" x14ac:dyDescent="0.25">
      <c r="A636" s="61"/>
      <c r="B636" s="61"/>
      <c r="C636" s="61"/>
      <c r="D636" s="56"/>
      <c r="E636" s="56"/>
      <c r="F636" s="56"/>
      <c r="G636" s="56"/>
      <c r="H636" s="56"/>
      <c r="I636" s="56"/>
      <c r="J636" s="56"/>
      <c r="K636" s="56"/>
      <c r="L636" s="56"/>
      <c r="M636" s="56"/>
      <c r="N636" s="56"/>
      <c r="O636" s="56"/>
      <c r="P636" s="56"/>
      <c r="Q636" s="56"/>
      <c r="R636" s="56"/>
      <c r="S636" s="56"/>
      <c r="T636" s="56"/>
      <c r="U636" s="56"/>
      <c r="V636" s="56"/>
      <c r="W636" s="56"/>
      <c r="X636" s="56"/>
      <c r="Y636" s="56"/>
      <c r="Z636" s="56"/>
      <c r="AA636" s="56"/>
    </row>
    <row r="637" spans="1:27" ht="15.75" customHeight="1" x14ac:dyDescent="0.25">
      <c r="A637" s="61"/>
      <c r="B637" s="61"/>
      <c r="C637" s="61"/>
      <c r="D637" s="56"/>
      <c r="E637" s="56"/>
      <c r="F637" s="56"/>
      <c r="G637" s="56"/>
      <c r="H637" s="56"/>
      <c r="I637" s="56"/>
      <c r="J637" s="56"/>
      <c r="K637" s="56"/>
      <c r="L637" s="56"/>
      <c r="M637" s="56"/>
      <c r="N637" s="56"/>
      <c r="O637" s="56"/>
      <c r="P637" s="56"/>
      <c r="Q637" s="56"/>
      <c r="R637" s="56"/>
      <c r="S637" s="56"/>
      <c r="T637" s="56"/>
      <c r="U637" s="56"/>
      <c r="V637" s="56"/>
      <c r="W637" s="56"/>
      <c r="X637" s="56"/>
      <c r="Y637" s="56"/>
      <c r="Z637" s="56"/>
      <c r="AA637" s="56"/>
    </row>
    <row r="638" spans="1:27" ht="15.75" customHeight="1" x14ac:dyDescent="0.25">
      <c r="A638" s="61"/>
      <c r="B638" s="61"/>
      <c r="C638" s="61"/>
      <c r="D638" s="56"/>
      <c r="E638" s="56"/>
      <c r="F638" s="56"/>
      <c r="G638" s="56"/>
      <c r="H638" s="56"/>
      <c r="I638" s="56"/>
      <c r="J638" s="56"/>
      <c r="K638" s="56"/>
      <c r="L638" s="56"/>
      <c r="M638" s="56"/>
      <c r="N638" s="56"/>
      <c r="O638" s="56"/>
      <c r="P638" s="56"/>
      <c r="Q638" s="56"/>
      <c r="R638" s="56"/>
      <c r="S638" s="56"/>
      <c r="T638" s="56"/>
      <c r="U638" s="56"/>
      <c r="V638" s="56"/>
      <c r="W638" s="56"/>
      <c r="X638" s="56"/>
      <c r="Y638" s="56"/>
      <c r="Z638" s="56"/>
      <c r="AA638" s="56"/>
    </row>
    <row r="639" spans="1:27" ht="15.75" customHeight="1" x14ac:dyDescent="0.25">
      <c r="A639" s="61"/>
      <c r="B639" s="61"/>
      <c r="C639" s="61"/>
      <c r="D639" s="56"/>
      <c r="E639" s="56"/>
      <c r="F639" s="56"/>
      <c r="G639" s="56"/>
      <c r="H639" s="56"/>
      <c r="I639" s="56"/>
      <c r="J639" s="56"/>
      <c r="K639" s="56"/>
      <c r="L639" s="56"/>
      <c r="M639" s="56"/>
      <c r="N639" s="56"/>
      <c r="O639" s="56"/>
      <c r="P639" s="56"/>
      <c r="Q639" s="56"/>
      <c r="R639" s="56"/>
      <c r="S639" s="56"/>
      <c r="T639" s="56"/>
      <c r="U639" s="56"/>
      <c r="V639" s="56"/>
      <c r="W639" s="56"/>
      <c r="X639" s="56"/>
      <c r="Y639" s="56"/>
      <c r="Z639" s="56"/>
      <c r="AA639" s="56"/>
    </row>
    <row r="640" spans="1:27" ht="15.75" customHeight="1" x14ac:dyDescent="0.25">
      <c r="A640" s="61"/>
      <c r="B640" s="61"/>
      <c r="C640" s="61"/>
      <c r="D640" s="56"/>
      <c r="E640" s="56"/>
      <c r="F640" s="56"/>
      <c r="G640" s="56"/>
      <c r="H640" s="56"/>
      <c r="I640" s="56"/>
      <c r="J640" s="56"/>
      <c r="K640" s="56"/>
      <c r="L640" s="56"/>
      <c r="M640" s="56"/>
      <c r="N640" s="56"/>
      <c r="O640" s="56"/>
      <c r="P640" s="56"/>
      <c r="Q640" s="56"/>
      <c r="R640" s="56"/>
      <c r="S640" s="56"/>
      <c r="T640" s="56"/>
      <c r="U640" s="56"/>
      <c r="V640" s="56"/>
      <c r="W640" s="56"/>
      <c r="X640" s="56"/>
      <c r="Y640" s="56"/>
      <c r="Z640" s="56"/>
      <c r="AA640" s="56"/>
    </row>
    <row r="641" spans="1:27" ht="15.75" customHeight="1" x14ac:dyDescent="0.25">
      <c r="A641" s="61"/>
      <c r="B641" s="61"/>
      <c r="C641" s="61"/>
      <c r="D641" s="56"/>
      <c r="E641" s="56"/>
      <c r="F641" s="56"/>
      <c r="G641" s="56"/>
      <c r="H641" s="56"/>
      <c r="I641" s="56"/>
      <c r="J641" s="56"/>
      <c r="K641" s="56"/>
      <c r="L641" s="56"/>
      <c r="M641" s="56"/>
      <c r="N641" s="56"/>
      <c r="O641" s="56"/>
      <c r="P641" s="56"/>
      <c r="Q641" s="56"/>
      <c r="R641" s="56"/>
      <c r="S641" s="56"/>
      <c r="T641" s="56"/>
      <c r="U641" s="56"/>
      <c r="V641" s="56"/>
      <c r="W641" s="56"/>
      <c r="X641" s="56"/>
      <c r="Y641" s="56"/>
      <c r="Z641" s="56"/>
      <c r="AA641" s="56"/>
    </row>
    <row r="642" spans="1:27" ht="15.75" customHeight="1" x14ac:dyDescent="0.25">
      <c r="A642" s="61"/>
      <c r="B642" s="61"/>
      <c r="C642" s="61"/>
      <c r="D642" s="56"/>
      <c r="E642" s="56"/>
      <c r="F642" s="56"/>
      <c r="G642" s="56"/>
      <c r="H642" s="56"/>
      <c r="I642" s="56"/>
      <c r="J642" s="56"/>
      <c r="K642" s="56"/>
      <c r="L642" s="56"/>
      <c r="M642" s="56"/>
      <c r="N642" s="56"/>
      <c r="O642" s="56"/>
      <c r="P642" s="56"/>
      <c r="Q642" s="56"/>
      <c r="R642" s="56"/>
      <c r="S642" s="56"/>
      <c r="T642" s="56"/>
      <c r="U642" s="56"/>
      <c r="V642" s="56"/>
      <c r="W642" s="56"/>
      <c r="X642" s="56"/>
      <c r="Y642" s="56"/>
      <c r="Z642" s="56"/>
      <c r="AA642" s="56"/>
    </row>
    <row r="643" spans="1:27" ht="15.75" customHeight="1" x14ac:dyDescent="0.25">
      <c r="A643" s="61"/>
      <c r="B643" s="61"/>
      <c r="C643" s="61"/>
      <c r="D643" s="56"/>
      <c r="E643" s="56"/>
      <c r="F643" s="56"/>
      <c r="G643" s="56"/>
      <c r="H643" s="56"/>
      <c r="I643" s="56"/>
      <c r="J643" s="56"/>
      <c r="K643" s="56"/>
      <c r="L643" s="56"/>
      <c r="M643" s="56"/>
      <c r="N643" s="56"/>
      <c r="O643" s="56"/>
      <c r="P643" s="56"/>
      <c r="Q643" s="56"/>
      <c r="R643" s="56"/>
      <c r="S643" s="56"/>
      <c r="T643" s="56"/>
      <c r="U643" s="56"/>
      <c r="V643" s="56"/>
      <c r="W643" s="56"/>
      <c r="X643" s="56"/>
      <c r="Y643" s="56"/>
      <c r="Z643" s="56"/>
      <c r="AA643" s="56"/>
    </row>
    <row r="644" spans="1:27" ht="15.75" customHeight="1" x14ac:dyDescent="0.25">
      <c r="A644" s="61"/>
      <c r="B644" s="61"/>
      <c r="C644" s="61"/>
      <c r="D644" s="56"/>
      <c r="E644" s="56"/>
      <c r="F644" s="56"/>
      <c r="G644" s="56"/>
      <c r="H644" s="56"/>
      <c r="I644" s="56"/>
      <c r="J644" s="56"/>
      <c r="K644" s="56"/>
      <c r="L644" s="56"/>
      <c r="M644" s="56"/>
      <c r="N644" s="56"/>
      <c r="O644" s="56"/>
      <c r="P644" s="56"/>
      <c r="Q644" s="56"/>
      <c r="R644" s="56"/>
      <c r="S644" s="56"/>
      <c r="T644" s="56"/>
      <c r="U644" s="56"/>
      <c r="V644" s="56"/>
      <c r="W644" s="56"/>
      <c r="X644" s="56"/>
      <c r="Y644" s="56"/>
      <c r="Z644" s="56"/>
      <c r="AA644" s="56"/>
    </row>
    <row r="645" spans="1:27" ht="15.75" customHeight="1" x14ac:dyDescent="0.25">
      <c r="A645" s="61"/>
      <c r="B645" s="61"/>
      <c r="C645" s="61"/>
      <c r="D645" s="56"/>
      <c r="E645" s="56"/>
      <c r="F645" s="56"/>
      <c r="G645" s="56"/>
      <c r="H645" s="56"/>
      <c r="I645" s="56"/>
      <c r="J645" s="56"/>
      <c r="K645" s="56"/>
      <c r="L645" s="56"/>
      <c r="M645" s="56"/>
      <c r="N645" s="56"/>
      <c r="O645" s="56"/>
      <c r="P645" s="56"/>
      <c r="Q645" s="56"/>
      <c r="R645" s="56"/>
      <c r="S645" s="56"/>
      <c r="T645" s="56"/>
      <c r="U645" s="56"/>
      <c r="V645" s="56"/>
      <c r="W645" s="56"/>
      <c r="X645" s="56"/>
      <c r="Y645" s="56"/>
      <c r="Z645" s="56"/>
      <c r="AA645" s="56"/>
    </row>
    <row r="646" spans="1:27" ht="15.75" customHeight="1" x14ac:dyDescent="0.25">
      <c r="A646" s="61"/>
      <c r="B646" s="61"/>
      <c r="C646" s="61"/>
      <c r="D646" s="56"/>
      <c r="E646" s="56"/>
      <c r="F646" s="56"/>
      <c r="G646" s="56"/>
      <c r="H646" s="56"/>
      <c r="I646" s="56"/>
      <c r="J646" s="56"/>
      <c r="K646" s="56"/>
      <c r="L646" s="56"/>
      <c r="M646" s="56"/>
      <c r="N646" s="56"/>
      <c r="O646" s="56"/>
      <c r="P646" s="56"/>
      <c r="Q646" s="56"/>
      <c r="R646" s="56"/>
      <c r="S646" s="56"/>
      <c r="T646" s="56"/>
      <c r="U646" s="56"/>
      <c r="V646" s="56"/>
      <c r="W646" s="56"/>
      <c r="X646" s="56"/>
      <c r="Y646" s="56"/>
      <c r="Z646" s="56"/>
      <c r="AA646" s="56"/>
    </row>
    <row r="647" spans="1:27" ht="15.75" customHeight="1" x14ac:dyDescent="0.25">
      <c r="A647" s="61"/>
      <c r="B647" s="61"/>
      <c r="C647" s="61"/>
      <c r="D647" s="56"/>
      <c r="E647" s="56"/>
      <c r="F647" s="56"/>
      <c r="G647" s="56"/>
      <c r="H647" s="56"/>
      <c r="I647" s="56"/>
      <c r="J647" s="56"/>
      <c r="K647" s="56"/>
      <c r="L647" s="56"/>
      <c r="M647" s="56"/>
      <c r="N647" s="56"/>
      <c r="O647" s="56"/>
      <c r="P647" s="56"/>
      <c r="Q647" s="56"/>
      <c r="R647" s="56"/>
      <c r="S647" s="56"/>
      <c r="T647" s="56"/>
      <c r="U647" s="56"/>
      <c r="V647" s="56"/>
      <c r="W647" s="56"/>
      <c r="X647" s="56"/>
      <c r="Y647" s="56"/>
      <c r="Z647" s="56"/>
      <c r="AA647" s="56"/>
    </row>
    <row r="648" spans="1:27" ht="15.75" customHeight="1" x14ac:dyDescent="0.25">
      <c r="A648" s="61"/>
      <c r="B648" s="61"/>
      <c r="C648" s="61"/>
      <c r="D648" s="56"/>
      <c r="E648" s="56"/>
      <c r="F648" s="56"/>
      <c r="G648" s="56"/>
      <c r="H648" s="56"/>
      <c r="I648" s="56"/>
      <c r="J648" s="56"/>
      <c r="K648" s="56"/>
      <c r="L648" s="56"/>
      <c r="M648" s="56"/>
      <c r="N648" s="56"/>
      <c r="O648" s="56"/>
      <c r="P648" s="56"/>
      <c r="Q648" s="56"/>
      <c r="R648" s="56"/>
      <c r="S648" s="56"/>
      <c r="T648" s="56"/>
      <c r="U648" s="56"/>
      <c r="V648" s="56"/>
      <c r="W648" s="56"/>
      <c r="X648" s="56"/>
      <c r="Y648" s="56"/>
      <c r="Z648" s="56"/>
      <c r="AA648" s="56"/>
    </row>
    <row r="649" spans="1:27" ht="15.75" customHeight="1" x14ac:dyDescent="0.25">
      <c r="A649" s="61"/>
      <c r="B649" s="61"/>
      <c r="C649" s="61"/>
      <c r="D649" s="56"/>
      <c r="E649" s="56"/>
      <c r="F649" s="56"/>
      <c r="G649" s="56"/>
      <c r="H649" s="56"/>
      <c r="I649" s="56"/>
      <c r="J649" s="56"/>
      <c r="K649" s="56"/>
      <c r="L649" s="56"/>
      <c r="M649" s="56"/>
      <c r="N649" s="56"/>
      <c r="O649" s="56"/>
      <c r="P649" s="56"/>
      <c r="Q649" s="56"/>
      <c r="R649" s="56"/>
      <c r="S649" s="56"/>
      <c r="T649" s="56"/>
      <c r="U649" s="56"/>
      <c r="V649" s="56"/>
      <c r="W649" s="56"/>
      <c r="X649" s="56"/>
      <c r="Y649" s="56"/>
      <c r="Z649" s="56"/>
      <c r="AA649" s="56"/>
    </row>
    <row r="650" spans="1:27" ht="15.75" customHeight="1" x14ac:dyDescent="0.25">
      <c r="A650" s="61"/>
      <c r="B650" s="61"/>
      <c r="C650" s="61"/>
      <c r="D650" s="56"/>
      <c r="E650" s="56"/>
      <c r="F650" s="56"/>
      <c r="G650" s="56"/>
      <c r="H650" s="56"/>
      <c r="I650" s="56"/>
      <c r="J650" s="56"/>
      <c r="K650" s="56"/>
      <c r="L650" s="56"/>
      <c r="M650" s="56"/>
      <c r="N650" s="56"/>
      <c r="O650" s="56"/>
      <c r="P650" s="56"/>
      <c r="Q650" s="56"/>
      <c r="R650" s="56"/>
      <c r="S650" s="56"/>
      <c r="T650" s="56"/>
      <c r="U650" s="56"/>
      <c r="V650" s="56"/>
      <c r="W650" s="56"/>
      <c r="X650" s="56"/>
      <c r="Y650" s="56"/>
      <c r="Z650" s="56"/>
      <c r="AA650" s="56"/>
    </row>
    <row r="651" spans="1:27" ht="15.75" customHeight="1" x14ac:dyDescent="0.25">
      <c r="A651" s="61"/>
      <c r="B651" s="61"/>
      <c r="C651" s="61"/>
      <c r="D651" s="56"/>
      <c r="E651" s="56"/>
      <c r="F651" s="56"/>
      <c r="G651" s="56"/>
      <c r="H651" s="56"/>
      <c r="I651" s="56"/>
      <c r="J651" s="56"/>
      <c r="K651" s="56"/>
      <c r="L651" s="56"/>
      <c r="M651" s="56"/>
      <c r="N651" s="56"/>
      <c r="O651" s="56"/>
      <c r="P651" s="56"/>
      <c r="Q651" s="56"/>
      <c r="R651" s="56"/>
      <c r="S651" s="56"/>
      <c r="T651" s="56"/>
      <c r="U651" s="56"/>
      <c r="V651" s="56"/>
      <c r="W651" s="56"/>
      <c r="X651" s="56"/>
      <c r="Y651" s="56"/>
      <c r="Z651" s="56"/>
      <c r="AA651" s="56"/>
    </row>
    <row r="652" spans="1:27" ht="15.75" customHeight="1" x14ac:dyDescent="0.25">
      <c r="A652" s="61"/>
      <c r="B652" s="61"/>
      <c r="C652" s="61"/>
      <c r="D652" s="56"/>
      <c r="E652" s="56"/>
      <c r="F652" s="56"/>
      <c r="G652" s="56"/>
      <c r="H652" s="56"/>
      <c r="I652" s="56"/>
      <c r="J652" s="56"/>
      <c r="K652" s="56"/>
      <c r="L652" s="56"/>
      <c r="M652" s="56"/>
      <c r="N652" s="56"/>
      <c r="O652" s="56"/>
      <c r="P652" s="56"/>
      <c r="Q652" s="56"/>
      <c r="R652" s="56"/>
      <c r="S652" s="56"/>
      <c r="T652" s="56"/>
      <c r="U652" s="56"/>
      <c r="V652" s="56"/>
      <c r="W652" s="56"/>
      <c r="X652" s="56"/>
      <c r="Y652" s="56"/>
      <c r="Z652" s="56"/>
      <c r="AA652" s="56"/>
    </row>
    <row r="653" spans="1:27" ht="15.75" customHeight="1" x14ac:dyDescent="0.25">
      <c r="A653" s="61"/>
      <c r="B653" s="61"/>
      <c r="C653" s="61"/>
      <c r="D653" s="56"/>
      <c r="E653" s="56"/>
      <c r="F653" s="56"/>
      <c r="G653" s="56"/>
      <c r="H653" s="56"/>
      <c r="I653" s="56"/>
      <c r="J653" s="56"/>
      <c r="K653" s="56"/>
      <c r="L653" s="56"/>
      <c r="M653" s="56"/>
      <c r="N653" s="56"/>
      <c r="O653" s="56"/>
      <c r="P653" s="56"/>
      <c r="Q653" s="56"/>
      <c r="R653" s="56"/>
      <c r="S653" s="56"/>
      <c r="T653" s="56"/>
      <c r="U653" s="56"/>
      <c r="V653" s="56"/>
      <c r="W653" s="56"/>
      <c r="X653" s="56"/>
      <c r="Y653" s="56"/>
      <c r="Z653" s="56"/>
      <c r="AA653" s="56"/>
    </row>
    <row r="654" spans="1:27" ht="15.75" customHeight="1" x14ac:dyDescent="0.25">
      <c r="A654" s="61"/>
      <c r="B654" s="61"/>
      <c r="C654" s="61"/>
      <c r="D654" s="56"/>
      <c r="E654" s="56"/>
      <c r="F654" s="56"/>
      <c r="G654" s="56"/>
      <c r="H654" s="56"/>
      <c r="I654" s="56"/>
      <c r="J654" s="56"/>
      <c r="K654" s="56"/>
      <c r="L654" s="56"/>
      <c r="M654" s="56"/>
      <c r="N654" s="56"/>
      <c r="O654" s="56"/>
      <c r="P654" s="56"/>
      <c r="Q654" s="56"/>
      <c r="R654" s="56"/>
      <c r="S654" s="56"/>
      <c r="T654" s="56"/>
      <c r="U654" s="56"/>
      <c r="V654" s="56"/>
      <c r="W654" s="56"/>
      <c r="X654" s="56"/>
      <c r="Y654" s="56"/>
      <c r="Z654" s="56"/>
      <c r="AA654" s="56"/>
    </row>
    <row r="655" spans="1:27" ht="15.75" customHeight="1" x14ac:dyDescent="0.25">
      <c r="A655" s="61"/>
      <c r="B655" s="61"/>
      <c r="C655" s="61"/>
      <c r="D655" s="56"/>
      <c r="E655" s="56"/>
      <c r="F655" s="56"/>
      <c r="G655" s="56"/>
      <c r="H655" s="56"/>
      <c r="I655" s="56"/>
      <c r="J655" s="56"/>
      <c r="K655" s="56"/>
      <c r="L655" s="56"/>
      <c r="M655" s="56"/>
      <c r="N655" s="56"/>
      <c r="O655" s="56"/>
      <c r="P655" s="56"/>
      <c r="Q655" s="56"/>
      <c r="R655" s="56"/>
      <c r="S655" s="56"/>
      <c r="T655" s="56"/>
      <c r="U655" s="56"/>
      <c r="V655" s="56"/>
      <c r="W655" s="56"/>
      <c r="X655" s="56"/>
      <c r="Y655" s="56"/>
      <c r="Z655" s="56"/>
      <c r="AA655" s="56"/>
    </row>
    <row r="656" spans="1:27" ht="15.75" customHeight="1" x14ac:dyDescent="0.25">
      <c r="A656" s="61"/>
      <c r="B656" s="61"/>
      <c r="C656" s="61"/>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row>
    <row r="657" spans="1:27" ht="15.75" customHeight="1" x14ac:dyDescent="0.25">
      <c r="A657" s="61"/>
      <c r="B657" s="61"/>
      <c r="C657" s="61"/>
      <c r="D657" s="56"/>
      <c r="E657" s="56"/>
      <c r="F657" s="56"/>
      <c r="G657" s="56"/>
      <c r="H657" s="56"/>
      <c r="I657" s="56"/>
      <c r="J657" s="56"/>
      <c r="K657" s="56"/>
      <c r="L657" s="56"/>
      <c r="M657" s="56"/>
      <c r="N657" s="56"/>
      <c r="O657" s="56"/>
      <c r="P657" s="56"/>
      <c r="Q657" s="56"/>
      <c r="R657" s="56"/>
      <c r="S657" s="56"/>
      <c r="T657" s="56"/>
      <c r="U657" s="56"/>
      <c r="V657" s="56"/>
      <c r="W657" s="56"/>
      <c r="X657" s="56"/>
      <c r="Y657" s="56"/>
      <c r="Z657" s="56"/>
      <c r="AA657" s="56"/>
    </row>
    <row r="658" spans="1:27" ht="15.75" customHeight="1" x14ac:dyDescent="0.25">
      <c r="A658" s="61"/>
      <c r="B658" s="61"/>
      <c r="C658" s="61"/>
      <c r="D658" s="56"/>
      <c r="E658" s="56"/>
      <c r="F658" s="56"/>
      <c r="G658" s="56"/>
      <c r="H658" s="56"/>
      <c r="I658" s="56"/>
      <c r="J658" s="56"/>
      <c r="K658" s="56"/>
      <c r="L658" s="56"/>
      <c r="M658" s="56"/>
      <c r="N658" s="56"/>
      <c r="O658" s="56"/>
      <c r="P658" s="56"/>
      <c r="Q658" s="56"/>
      <c r="R658" s="56"/>
      <c r="S658" s="56"/>
      <c r="T658" s="56"/>
      <c r="U658" s="56"/>
      <c r="V658" s="56"/>
      <c r="W658" s="56"/>
      <c r="X658" s="56"/>
      <c r="Y658" s="56"/>
      <c r="Z658" s="56"/>
      <c r="AA658" s="56"/>
    </row>
    <row r="659" spans="1:27" ht="15.75" customHeight="1" x14ac:dyDescent="0.25">
      <c r="A659" s="61"/>
      <c r="B659" s="61"/>
      <c r="C659" s="61"/>
      <c r="D659" s="56"/>
      <c r="E659" s="56"/>
      <c r="F659" s="56"/>
      <c r="G659" s="56"/>
      <c r="H659" s="56"/>
      <c r="I659" s="56"/>
      <c r="J659" s="56"/>
      <c r="K659" s="56"/>
      <c r="L659" s="56"/>
      <c r="M659" s="56"/>
      <c r="N659" s="56"/>
      <c r="O659" s="56"/>
      <c r="P659" s="56"/>
      <c r="Q659" s="56"/>
      <c r="R659" s="56"/>
      <c r="S659" s="56"/>
      <c r="T659" s="56"/>
      <c r="U659" s="56"/>
      <c r="V659" s="56"/>
      <c r="W659" s="56"/>
      <c r="X659" s="56"/>
      <c r="Y659" s="56"/>
      <c r="Z659" s="56"/>
      <c r="AA659" s="56"/>
    </row>
    <row r="660" spans="1:27" ht="15.75" customHeight="1" x14ac:dyDescent="0.25">
      <c r="A660" s="61"/>
      <c r="B660" s="61"/>
      <c r="C660" s="61"/>
      <c r="D660" s="56"/>
      <c r="E660" s="56"/>
      <c r="F660" s="56"/>
      <c r="G660" s="56"/>
      <c r="H660" s="56"/>
      <c r="I660" s="56"/>
      <c r="J660" s="56"/>
      <c r="K660" s="56"/>
      <c r="L660" s="56"/>
      <c r="M660" s="56"/>
      <c r="N660" s="56"/>
      <c r="O660" s="56"/>
      <c r="P660" s="56"/>
      <c r="Q660" s="56"/>
      <c r="R660" s="56"/>
      <c r="S660" s="56"/>
      <c r="T660" s="56"/>
      <c r="U660" s="56"/>
      <c r="V660" s="56"/>
      <c r="W660" s="56"/>
      <c r="X660" s="56"/>
      <c r="Y660" s="56"/>
      <c r="Z660" s="56"/>
      <c r="AA660" s="56"/>
    </row>
    <row r="661" spans="1:27" ht="15.75" customHeight="1" x14ac:dyDescent="0.25">
      <c r="A661" s="61"/>
      <c r="B661" s="61"/>
      <c r="C661" s="61"/>
      <c r="D661" s="56"/>
      <c r="E661" s="56"/>
      <c r="F661" s="56"/>
      <c r="G661" s="56"/>
      <c r="H661" s="56"/>
      <c r="I661" s="56"/>
      <c r="J661" s="56"/>
      <c r="K661" s="56"/>
      <c r="L661" s="56"/>
      <c r="M661" s="56"/>
      <c r="N661" s="56"/>
      <c r="O661" s="56"/>
      <c r="P661" s="56"/>
      <c r="Q661" s="56"/>
      <c r="R661" s="56"/>
      <c r="S661" s="56"/>
      <c r="T661" s="56"/>
      <c r="U661" s="56"/>
      <c r="V661" s="56"/>
      <c r="W661" s="56"/>
      <c r="X661" s="56"/>
      <c r="Y661" s="56"/>
      <c r="Z661" s="56"/>
      <c r="AA661" s="56"/>
    </row>
    <row r="662" spans="1:27" ht="15.75" customHeight="1" x14ac:dyDescent="0.25">
      <c r="A662" s="61"/>
      <c r="B662" s="61"/>
      <c r="C662" s="61"/>
      <c r="D662" s="56"/>
      <c r="E662" s="56"/>
      <c r="F662" s="56"/>
      <c r="G662" s="56"/>
      <c r="H662" s="56"/>
      <c r="I662" s="56"/>
      <c r="J662" s="56"/>
      <c r="K662" s="56"/>
      <c r="L662" s="56"/>
      <c r="M662" s="56"/>
      <c r="N662" s="56"/>
      <c r="O662" s="56"/>
      <c r="P662" s="56"/>
      <c r="Q662" s="56"/>
      <c r="R662" s="56"/>
      <c r="S662" s="56"/>
      <c r="T662" s="56"/>
      <c r="U662" s="56"/>
      <c r="V662" s="56"/>
      <c r="W662" s="56"/>
      <c r="X662" s="56"/>
      <c r="Y662" s="56"/>
      <c r="Z662" s="56"/>
      <c r="AA662" s="56"/>
    </row>
    <row r="663" spans="1:27" ht="15.75" customHeight="1" x14ac:dyDescent="0.25">
      <c r="A663" s="61"/>
      <c r="B663" s="61"/>
      <c r="C663" s="61"/>
      <c r="D663" s="56"/>
      <c r="E663" s="56"/>
      <c r="F663" s="56"/>
      <c r="G663" s="56"/>
      <c r="H663" s="56"/>
      <c r="I663" s="56"/>
      <c r="J663" s="56"/>
      <c r="K663" s="56"/>
      <c r="L663" s="56"/>
      <c r="M663" s="56"/>
      <c r="N663" s="56"/>
      <c r="O663" s="56"/>
      <c r="P663" s="56"/>
      <c r="Q663" s="56"/>
      <c r="R663" s="56"/>
      <c r="S663" s="56"/>
      <c r="T663" s="56"/>
      <c r="U663" s="56"/>
      <c r="V663" s="56"/>
      <c r="W663" s="56"/>
      <c r="X663" s="56"/>
      <c r="Y663" s="56"/>
      <c r="Z663" s="56"/>
      <c r="AA663" s="56"/>
    </row>
    <row r="664" spans="1:27" ht="15.75" customHeight="1" x14ac:dyDescent="0.25">
      <c r="A664" s="61"/>
      <c r="B664" s="61"/>
      <c r="C664" s="61"/>
      <c r="D664" s="56"/>
      <c r="E664" s="56"/>
      <c r="F664" s="56"/>
      <c r="G664" s="56"/>
      <c r="H664" s="56"/>
      <c r="I664" s="56"/>
      <c r="J664" s="56"/>
      <c r="K664" s="56"/>
      <c r="L664" s="56"/>
      <c r="M664" s="56"/>
      <c r="N664" s="56"/>
      <c r="O664" s="56"/>
      <c r="P664" s="56"/>
      <c r="Q664" s="56"/>
      <c r="R664" s="56"/>
      <c r="S664" s="56"/>
      <c r="T664" s="56"/>
      <c r="U664" s="56"/>
      <c r="V664" s="56"/>
      <c r="W664" s="56"/>
      <c r="X664" s="56"/>
      <c r="Y664" s="56"/>
      <c r="Z664" s="56"/>
      <c r="AA664" s="56"/>
    </row>
    <row r="665" spans="1:27" ht="15.75" customHeight="1" x14ac:dyDescent="0.25">
      <c r="A665" s="61"/>
      <c r="B665" s="61"/>
      <c r="C665" s="61"/>
      <c r="D665" s="56"/>
      <c r="E665" s="56"/>
      <c r="F665" s="56"/>
      <c r="G665" s="56"/>
      <c r="H665" s="56"/>
      <c r="I665" s="56"/>
      <c r="J665" s="56"/>
      <c r="K665" s="56"/>
      <c r="L665" s="56"/>
      <c r="M665" s="56"/>
      <c r="N665" s="56"/>
      <c r="O665" s="56"/>
      <c r="P665" s="56"/>
      <c r="Q665" s="56"/>
      <c r="R665" s="56"/>
      <c r="S665" s="56"/>
      <c r="T665" s="56"/>
      <c r="U665" s="56"/>
      <c r="V665" s="56"/>
      <c r="W665" s="56"/>
      <c r="X665" s="56"/>
      <c r="Y665" s="56"/>
      <c r="Z665" s="56"/>
      <c r="AA665" s="56"/>
    </row>
    <row r="666" spans="1:27" ht="15.75" customHeight="1" x14ac:dyDescent="0.25">
      <c r="A666" s="61"/>
      <c r="B666" s="61"/>
      <c r="C666" s="61"/>
      <c r="D666" s="56"/>
      <c r="E666" s="56"/>
      <c r="F666" s="56"/>
      <c r="G666" s="56"/>
      <c r="H666" s="56"/>
      <c r="I666" s="56"/>
      <c r="J666" s="56"/>
      <c r="K666" s="56"/>
      <c r="L666" s="56"/>
      <c r="M666" s="56"/>
      <c r="N666" s="56"/>
      <c r="O666" s="56"/>
      <c r="P666" s="56"/>
      <c r="Q666" s="56"/>
      <c r="R666" s="56"/>
      <c r="S666" s="56"/>
      <c r="T666" s="56"/>
      <c r="U666" s="56"/>
      <c r="V666" s="56"/>
      <c r="W666" s="56"/>
      <c r="X666" s="56"/>
      <c r="Y666" s="56"/>
      <c r="Z666" s="56"/>
      <c r="AA666" s="56"/>
    </row>
    <row r="667" spans="1:27" ht="15.75" customHeight="1" x14ac:dyDescent="0.25">
      <c r="A667" s="61"/>
      <c r="B667" s="61"/>
      <c r="C667" s="61"/>
      <c r="D667" s="56"/>
      <c r="E667" s="56"/>
      <c r="F667" s="56"/>
      <c r="G667" s="56"/>
      <c r="H667" s="56"/>
      <c r="I667" s="56"/>
      <c r="J667" s="56"/>
      <c r="K667" s="56"/>
      <c r="L667" s="56"/>
      <c r="M667" s="56"/>
      <c r="N667" s="56"/>
      <c r="O667" s="56"/>
      <c r="P667" s="56"/>
      <c r="Q667" s="56"/>
      <c r="R667" s="56"/>
      <c r="S667" s="56"/>
      <c r="T667" s="56"/>
      <c r="U667" s="56"/>
      <c r="V667" s="56"/>
      <c r="W667" s="56"/>
      <c r="X667" s="56"/>
      <c r="Y667" s="56"/>
      <c r="Z667" s="56"/>
      <c r="AA667" s="56"/>
    </row>
    <row r="668" spans="1:27" ht="15.75" customHeight="1" x14ac:dyDescent="0.25">
      <c r="A668" s="61"/>
      <c r="B668" s="61"/>
      <c r="C668" s="61"/>
      <c r="D668" s="56"/>
      <c r="E668" s="56"/>
      <c r="F668" s="56"/>
      <c r="G668" s="56"/>
      <c r="H668" s="56"/>
      <c r="I668" s="56"/>
      <c r="J668" s="56"/>
      <c r="K668" s="56"/>
      <c r="L668" s="56"/>
      <c r="M668" s="56"/>
      <c r="N668" s="56"/>
      <c r="O668" s="56"/>
      <c r="P668" s="56"/>
      <c r="Q668" s="56"/>
      <c r="R668" s="56"/>
      <c r="S668" s="56"/>
      <c r="T668" s="56"/>
      <c r="U668" s="56"/>
      <c r="V668" s="56"/>
      <c r="W668" s="56"/>
      <c r="X668" s="56"/>
      <c r="Y668" s="56"/>
      <c r="Z668" s="56"/>
      <c r="AA668" s="56"/>
    </row>
    <row r="669" spans="1:27" ht="15.75" customHeight="1" x14ac:dyDescent="0.25">
      <c r="A669" s="61"/>
      <c r="B669" s="61"/>
      <c r="C669" s="61"/>
      <c r="D669" s="56"/>
      <c r="E669" s="56"/>
      <c r="F669" s="56"/>
      <c r="G669" s="56"/>
      <c r="H669" s="56"/>
      <c r="I669" s="56"/>
      <c r="J669" s="56"/>
      <c r="K669" s="56"/>
      <c r="L669" s="56"/>
      <c r="M669" s="56"/>
      <c r="N669" s="56"/>
      <c r="O669" s="56"/>
      <c r="P669" s="56"/>
      <c r="Q669" s="56"/>
      <c r="R669" s="56"/>
      <c r="S669" s="56"/>
      <c r="T669" s="56"/>
      <c r="U669" s="56"/>
      <c r="V669" s="56"/>
      <c r="W669" s="56"/>
      <c r="X669" s="56"/>
      <c r="Y669" s="56"/>
      <c r="Z669" s="56"/>
      <c r="AA669" s="56"/>
    </row>
    <row r="670" spans="1:27" ht="15.75" customHeight="1" x14ac:dyDescent="0.25">
      <c r="A670" s="61"/>
      <c r="B670" s="61"/>
      <c r="C670" s="61"/>
      <c r="D670" s="56"/>
      <c r="E670" s="56"/>
      <c r="F670" s="56"/>
      <c r="G670" s="56"/>
      <c r="H670" s="56"/>
      <c r="I670" s="56"/>
      <c r="J670" s="56"/>
      <c r="K670" s="56"/>
      <c r="L670" s="56"/>
      <c r="M670" s="56"/>
      <c r="N670" s="56"/>
      <c r="O670" s="56"/>
      <c r="P670" s="56"/>
      <c r="Q670" s="56"/>
      <c r="R670" s="56"/>
      <c r="S670" s="56"/>
      <c r="T670" s="56"/>
      <c r="U670" s="56"/>
      <c r="V670" s="56"/>
      <c r="W670" s="56"/>
      <c r="X670" s="56"/>
      <c r="Y670" s="56"/>
      <c r="Z670" s="56"/>
      <c r="AA670" s="56"/>
    </row>
    <row r="671" spans="1:27" ht="15.75" customHeight="1" x14ac:dyDescent="0.25">
      <c r="A671" s="61"/>
      <c r="B671" s="61"/>
      <c r="C671" s="61"/>
      <c r="D671" s="56"/>
      <c r="E671" s="56"/>
      <c r="F671" s="56"/>
      <c r="G671" s="56"/>
      <c r="H671" s="56"/>
      <c r="I671" s="56"/>
      <c r="J671" s="56"/>
      <c r="K671" s="56"/>
      <c r="L671" s="56"/>
      <c r="M671" s="56"/>
      <c r="N671" s="56"/>
      <c r="O671" s="56"/>
      <c r="P671" s="56"/>
      <c r="Q671" s="56"/>
      <c r="R671" s="56"/>
      <c r="S671" s="56"/>
      <c r="T671" s="56"/>
      <c r="U671" s="56"/>
      <c r="V671" s="56"/>
      <c r="W671" s="56"/>
      <c r="X671" s="56"/>
      <c r="Y671" s="56"/>
      <c r="Z671" s="56"/>
      <c r="AA671" s="56"/>
    </row>
    <row r="672" spans="1:27" ht="15.75" customHeight="1" x14ac:dyDescent="0.25">
      <c r="A672" s="61"/>
      <c r="B672" s="61"/>
      <c r="C672" s="61"/>
      <c r="D672" s="56"/>
      <c r="E672" s="56"/>
      <c r="F672" s="56"/>
      <c r="G672" s="56"/>
      <c r="H672" s="56"/>
      <c r="I672" s="56"/>
      <c r="J672" s="56"/>
      <c r="K672" s="56"/>
      <c r="L672" s="56"/>
      <c r="M672" s="56"/>
      <c r="N672" s="56"/>
      <c r="O672" s="56"/>
      <c r="P672" s="56"/>
      <c r="Q672" s="56"/>
      <c r="R672" s="56"/>
      <c r="S672" s="56"/>
      <c r="T672" s="56"/>
      <c r="U672" s="56"/>
      <c r="V672" s="56"/>
      <c r="W672" s="56"/>
      <c r="X672" s="56"/>
      <c r="Y672" s="56"/>
      <c r="Z672" s="56"/>
      <c r="AA672" s="56"/>
    </row>
    <row r="673" spans="1:27" ht="15.75" customHeight="1" x14ac:dyDescent="0.25">
      <c r="A673" s="61"/>
      <c r="B673" s="61"/>
      <c r="C673" s="61"/>
      <c r="D673" s="56"/>
      <c r="E673" s="56"/>
      <c r="F673" s="56"/>
      <c r="G673" s="56"/>
      <c r="H673" s="56"/>
      <c r="I673" s="56"/>
      <c r="J673" s="56"/>
      <c r="K673" s="56"/>
      <c r="L673" s="56"/>
      <c r="M673" s="56"/>
      <c r="N673" s="56"/>
      <c r="O673" s="56"/>
      <c r="P673" s="56"/>
      <c r="Q673" s="56"/>
      <c r="R673" s="56"/>
      <c r="S673" s="56"/>
      <c r="T673" s="56"/>
      <c r="U673" s="56"/>
      <c r="V673" s="56"/>
      <c r="W673" s="56"/>
      <c r="X673" s="56"/>
      <c r="Y673" s="56"/>
      <c r="Z673" s="56"/>
      <c r="AA673" s="56"/>
    </row>
    <row r="674" spans="1:27" ht="15.75" customHeight="1" x14ac:dyDescent="0.25">
      <c r="A674" s="61"/>
      <c r="B674" s="61"/>
      <c r="C674" s="61"/>
      <c r="D674" s="56"/>
      <c r="E674" s="56"/>
      <c r="F674" s="56"/>
      <c r="G674" s="56"/>
      <c r="H674" s="56"/>
      <c r="I674" s="56"/>
      <c r="J674" s="56"/>
      <c r="K674" s="56"/>
      <c r="L674" s="56"/>
      <c r="M674" s="56"/>
      <c r="N674" s="56"/>
      <c r="O674" s="56"/>
      <c r="P674" s="56"/>
      <c r="Q674" s="56"/>
      <c r="R674" s="56"/>
      <c r="S674" s="56"/>
      <c r="T674" s="56"/>
      <c r="U674" s="56"/>
      <c r="V674" s="56"/>
      <c r="W674" s="56"/>
      <c r="X674" s="56"/>
      <c r="Y674" s="56"/>
      <c r="Z674" s="56"/>
      <c r="AA674" s="56"/>
    </row>
    <row r="675" spans="1:27" ht="15.75" customHeight="1" x14ac:dyDescent="0.25">
      <c r="A675" s="61"/>
      <c r="B675" s="61"/>
      <c r="C675" s="61"/>
      <c r="D675" s="56"/>
      <c r="E675" s="56"/>
      <c r="F675" s="56"/>
      <c r="G675" s="56"/>
      <c r="H675" s="56"/>
      <c r="I675" s="56"/>
      <c r="J675" s="56"/>
      <c r="K675" s="56"/>
      <c r="L675" s="56"/>
      <c r="M675" s="56"/>
      <c r="N675" s="56"/>
      <c r="O675" s="56"/>
      <c r="P675" s="56"/>
      <c r="Q675" s="56"/>
      <c r="R675" s="56"/>
      <c r="S675" s="56"/>
      <c r="T675" s="56"/>
      <c r="U675" s="56"/>
      <c r="V675" s="56"/>
      <c r="W675" s="56"/>
      <c r="X675" s="56"/>
      <c r="Y675" s="56"/>
      <c r="Z675" s="56"/>
      <c r="AA675" s="56"/>
    </row>
    <row r="676" spans="1:27" ht="15.75" customHeight="1" x14ac:dyDescent="0.25">
      <c r="A676" s="61"/>
      <c r="B676" s="61"/>
      <c r="C676" s="61"/>
      <c r="D676" s="56"/>
      <c r="E676" s="56"/>
      <c r="F676" s="56"/>
      <c r="G676" s="56"/>
      <c r="H676" s="56"/>
      <c r="I676" s="56"/>
      <c r="J676" s="56"/>
      <c r="K676" s="56"/>
      <c r="L676" s="56"/>
      <c r="M676" s="56"/>
      <c r="N676" s="56"/>
      <c r="O676" s="56"/>
      <c r="P676" s="56"/>
      <c r="Q676" s="56"/>
      <c r="R676" s="56"/>
      <c r="S676" s="56"/>
      <c r="T676" s="56"/>
      <c r="U676" s="56"/>
      <c r="V676" s="56"/>
      <c r="W676" s="56"/>
      <c r="X676" s="56"/>
      <c r="Y676" s="56"/>
      <c r="Z676" s="56"/>
      <c r="AA676" s="56"/>
    </row>
    <row r="677" spans="1:27" ht="15.75" customHeight="1" x14ac:dyDescent="0.25">
      <c r="A677" s="61"/>
      <c r="B677" s="61"/>
      <c r="C677" s="61"/>
      <c r="D677" s="56"/>
      <c r="E677" s="56"/>
      <c r="F677" s="56"/>
      <c r="G677" s="56"/>
      <c r="H677" s="56"/>
      <c r="I677" s="56"/>
      <c r="J677" s="56"/>
      <c r="K677" s="56"/>
      <c r="L677" s="56"/>
      <c r="M677" s="56"/>
      <c r="N677" s="56"/>
      <c r="O677" s="56"/>
      <c r="P677" s="56"/>
      <c r="Q677" s="56"/>
      <c r="R677" s="56"/>
      <c r="S677" s="56"/>
      <c r="T677" s="56"/>
      <c r="U677" s="56"/>
      <c r="V677" s="56"/>
      <c r="W677" s="56"/>
      <c r="X677" s="56"/>
      <c r="Y677" s="56"/>
      <c r="Z677" s="56"/>
      <c r="AA677" s="56"/>
    </row>
    <row r="678" spans="1:27" ht="15.75" customHeight="1" x14ac:dyDescent="0.25">
      <c r="A678" s="61"/>
      <c r="B678" s="61"/>
      <c r="C678" s="61"/>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row>
    <row r="679" spans="1:27" ht="15.75" customHeight="1" x14ac:dyDescent="0.25">
      <c r="A679" s="61"/>
      <c r="B679" s="61"/>
      <c r="C679" s="61"/>
      <c r="D679" s="56"/>
      <c r="E679" s="56"/>
      <c r="F679" s="56"/>
      <c r="G679" s="56"/>
      <c r="H679" s="56"/>
      <c r="I679" s="56"/>
      <c r="J679" s="56"/>
      <c r="K679" s="56"/>
      <c r="L679" s="56"/>
      <c r="M679" s="56"/>
      <c r="N679" s="56"/>
      <c r="O679" s="56"/>
      <c r="P679" s="56"/>
      <c r="Q679" s="56"/>
      <c r="R679" s="56"/>
      <c r="S679" s="56"/>
      <c r="T679" s="56"/>
      <c r="U679" s="56"/>
      <c r="V679" s="56"/>
      <c r="W679" s="56"/>
      <c r="X679" s="56"/>
      <c r="Y679" s="56"/>
      <c r="Z679" s="56"/>
      <c r="AA679" s="56"/>
    </row>
    <row r="680" spans="1:27" ht="15.75" customHeight="1" x14ac:dyDescent="0.25">
      <c r="A680" s="61"/>
      <c r="B680" s="61"/>
      <c r="C680" s="61"/>
      <c r="D680" s="56"/>
      <c r="E680" s="56"/>
      <c r="F680" s="56"/>
      <c r="G680" s="56"/>
      <c r="H680" s="56"/>
      <c r="I680" s="56"/>
      <c r="J680" s="56"/>
      <c r="K680" s="56"/>
      <c r="L680" s="56"/>
      <c r="M680" s="56"/>
      <c r="N680" s="56"/>
      <c r="O680" s="56"/>
      <c r="P680" s="56"/>
      <c r="Q680" s="56"/>
      <c r="R680" s="56"/>
      <c r="S680" s="56"/>
      <c r="T680" s="56"/>
      <c r="U680" s="56"/>
      <c r="V680" s="56"/>
      <c r="W680" s="56"/>
      <c r="X680" s="56"/>
      <c r="Y680" s="56"/>
      <c r="Z680" s="56"/>
      <c r="AA680" s="56"/>
    </row>
    <row r="681" spans="1:27" ht="15.75" customHeight="1" x14ac:dyDescent="0.25">
      <c r="A681" s="61"/>
      <c r="B681" s="61"/>
      <c r="C681" s="61"/>
      <c r="D681" s="56"/>
      <c r="E681" s="56"/>
      <c r="F681" s="56"/>
      <c r="G681" s="56"/>
      <c r="H681" s="56"/>
      <c r="I681" s="56"/>
      <c r="J681" s="56"/>
      <c r="K681" s="56"/>
      <c r="L681" s="56"/>
      <c r="M681" s="56"/>
      <c r="N681" s="56"/>
      <c r="O681" s="56"/>
      <c r="P681" s="56"/>
      <c r="Q681" s="56"/>
      <c r="R681" s="56"/>
      <c r="S681" s="56"/>
      <c r="T681" s="56"/>
      <c r="U681" s="56"/>
      <c r="V681" s="56"/>
      <c r="W681" s="56"/>
      <c r="X681" s="56"/>
      <c r="Y681" s="56"/>
      <c r="Z681" s="56"/>
      <c r="AA681" s="56"/>
    </row>
    <row r="682" spans="1:27" ht="15.75" customHeight="1" x14ac:dyDescent="0.25">
      <c r="A682" s="61"/>
      <c r="B682" s="61"/>
      <c r="C682" s="61"/>
      <c r="D682" s="56"/>
      <c r="E682" s="56"/>
      <c r="F682" s="56"/>
      <c r="G682" s="56"/>
      <c r="H682" s="56"/>
      <c r="I682" s="56"/>
      <c r="J682" s="56"/>
      <c r="K682" s="56"/>
      <c r="L682" s="56"/>
      <c r="M682" s="56"/>
      <c r="N682" s="56"/>
      <c r="O682" s="56"/>
      <c r="P682" s="56"/>
      <c r="Q682" s="56"/>
      <c r="R682" s="56"/>
      <c r="S682" s="56"/>
      <c r="T682" s="56"/>
      <c r="U682" s="56"/>
      <c r="V682" s="56"/>
      <c r="W682" s="56"/>
      <c r="X682" s="56"/>
      <c r="Y682" s="56"/>
      <c r="Z682" s="56"/>
      <c r="AA682" s="56"/>
    </row>
    <row r="683" spans="1:27" ht="15.75" customHeight="1" x14ac:dyDescent="0.25">
      <c r="A683" s="61"/>
      <c r="B683" s="61"/>
      <c r="C683" s="61"/>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row>
    <row r="684" spans="1:27" ht="15.75" customHeight="1" x14ac:dyDescent="0.25">
      <c r="A684" s="61"/>
      <c r="B684" s="61"/>
      <c r="C684" s="61"/>
      <c r="D684" s="56"/>
      <c r="E684" s="56"/>
      <c r="F684" s="56"/>
      <c r="G684" s="56"/>
      <c r="H684" s="56"/>
      <c r="I684" s="56"/>
      <c r="J684" s="56"/>
      <c r="K684" s="56"/>
      <c r="L684" s="56"/>
      <c r="M684" s="56"/>
      <c r="N684" s="56"/>
      <c r="O684" s="56"/>
      <c r="P684" s="56"/>
      <c r="Q684" s="56"/>
      <c r="R684" s="56"/>
      <c r="S684" s="56"/>
      <c r="T684" s="56"/>
      <c r="U684" s="56"/>
      <c r="V684" s="56"/>
      <c r="W684" s="56"/>
      <c r="X684" s="56"/>
      <c r="Y684" s="56"/>
      <c r="Z684" s="56"/>
      <c r="AA684" s="56"/>
    </row>
    <row r="685" spans="1:27" ht="15.75" customHeight="1" x14ac:dyDescent="0.25">
      <c r="A685" s="61"/>
      <c r="B685" s="61"/>
      <c r="C685" s="61"/>
      <c r="D685" s="56"/>
      <c r="E685" s="56"/>
      <c r="F685" s="56"/>
      <c r="G685" s="56"/>
      <c r="H685" s="56"/>
      <c r="I685" s="56"/>
      <c r="J685" s="56"/>
      <c r="K685" s="56"/>
      <c r="L685" s="56"/>
      <c r="M685" s="56"/>
      <c r="N685" s="56"/>
      <c r="O685" s="56"/>
      <c r="P685" s="56"/>
      <c r="Q685" s="56"/>
      <c r="R685" s="56"/>
      <c r="S685" s="56"/>
      <c r="T685" s="56"/>
      <c r="U685" s="56"/>
      <c r="V685" s="56"/>
      <c r="W685" s="56"/>
      <c r="X685" s="56"/>
      <c r="Y685" s="56"/>
      <c r="Z685" s="56"/>
      <c r="AA685" s="56"/>
    </row>
    <row r="686" spans="1:27" ht="15.75" customHeight="1" x14ac:dyDescent="0.25">
      <c r="A686" s="61"/>
      <c r="B686" s="61"/>
      <c r="C686" s="61"/>
      <c r="D686" s="56"/>
      <c r="E686" s="56"/>
      <c r="F686" s="56"/>
      <c r="G686" s="56"/>
      <c r="H686" s="56"/>
      <c r="I686" s="56"/>
      <c r="J686" s="56"/>
      <c r="K686" s="56"/>
      <c r="L686" s="56"/>
      <c r="M686" s="56"/>
      <c r="N686" s="56"/>
      <c r="O686" s="56"/>
      <c r="P686" s="56"/>
      <c r="Q686" s="56"/>
      <c r="R686" s="56"/>
      <c r="S686" s="56"/>
      <c r="T686" s="56"/>
      <c r="U686" s="56"/>
      <c r="V686" s="56"/>
      <c r="W686" s="56"/>
      <c r="X686" s="56"/>
      <c r="Y686" s="56"/>
      <c r="Z686" s="56"/>
      <c r="AA686" s="56"/>
    </row>
    <row r="687" spans="1:27" ht="15.75" customHeight="1" x14ac:dyDescent="0.25">
      <c r="A687" s="61"/>
      <c r="B687" s="61"/>
      <c r="C687" s="61"/>
      <c r="D687" s="56"/>
      <c r="E687" s="56"/>
      <c r="F687" s="56"/>
      <c r="G687" s="56"/>
      <c r="H687" s="56"/>
      <c r="I687" s="56"/>
      <c r="J687" s="56"/>
      <c r="K687" s="56"/>
      <c r="L687" s="56"/>
      <c r="M687" s="56"/>
      <c r="N687" s="56"/>
      <c r="O687" s="56"/>
      <c r="P687" s="56"/>
      <c r="Q687" s="56"/>
      <c r="R687" s="56"/>
      <c r="S687" s="56"/>
      <c r="T687" s="56"/>
      <c r="U687" s="56"/>
      <c r="V687" s="56"/>
      <c r="W687" s="56"/>
      <c r="X687" s="56"/>
      <c r="Y687" s="56"/>
      <c r="Z687" s="56"/>
      <c r="AA687" s="56"/>
    </row>
    <row r="688" spans="1:27" ht="15.75" customHeight="1" x14ac:dyDescent="0.25">
      <c r="A688" s="61"/>
      <c r="B688" s="61"/>
      <c r="C688" s="61"/>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row>
    <row r="689" spans="1:27" ht="15.75" customHeight="1" x14ac:dyDescent="0.25">
      <c r="A689" s="61"/>
      <c r="B689" s="61"/>
      <c r="C689" s="61"/>
      <c r="D689" s="56"/>
      <c r="E689" s="56"/>
      <c r="F689" s="56"/>
      <c r="G689" s="56"/>
      <c r="H689" s="56"/>
      <c r="I689" s="56"/>
      <c r="J689" s="56"/>
      <c r="K689" s="56"/>
      <c r="L689" s="56"/>
      <c r="M689" s="56"/>
      <c r="N689" s="56"/>
      <c r="O689" s="56"/>
      <c r="P689" s="56"/>
      <c r="Q689" s="56"/>
      <c r="R689" s="56"/>
      <c r="S689" s="56"/>
      <c r="T689" s="56"/>
      <c r="U689" s="56"/>
      <c r="V689" s="56"/>
      <c r="W689" s="56"/>
      <c r="X689" s="56"/>
      <c r="Y689" s="56"/>
      <c r="Z689" s="56"/>
      <c r="AA689" s="56"/>
    </row>
    <row r="690" spans="1:27" ht="15.75" customHeight="1" x14ac:dyDescent="0.25">
      <c r="A690" s="61"/>
      <c r="B690" s="61"/>
      <c r="C690" s="61"/>
      <c r="D690" s="56"/>
      <c r="E690" s="56"/>
      <c r="F690" s="56"/>
      <c r="G690" s="56"/>
      <c r="H690" s="56"/>
      <c r="I690" s="56"/>
      <c r="J690" s="56"/>
      <c r="K690" s="56"/>
      <c r="L690" s="56"/>
      <c r="M690" s="56"/>
      <c r="N690" s="56"/>
      <c r="O690" s="56"/>
      <c r="P690" s="56"/>
      <c r="Q690" s="56"/>
      <c r="R690" s="56"/>
      <c r="S690" s="56"/>
      <c r="T690" s="56"/>
      <c r="U690" s="56"/>
      <c r="V690" s="56"/>
      <c r="W690" s="56"/>
      <c r="X690" s="56"/>
      <c r="Y690" s="56"/>
      <c r="Z690" s="56"/>
      <c r="AA690" s="56"/>
    </row>
    <row r="691" spans="1:27" ht="15.75" customHeight="1" x14ac:dyDescent="0.25">
      <c r="A691" s="61"/>
      <c r="B691" s="61"/>
      <c r="C691" s="61"/>
      <c r="D691" s="56"/>
      <c r="E691" s="56"/>
      <c r="F691" s="56"/>
      <c r="G691" s="56"/>
      <c r="H691" s="56"/>
      <c r="I691" s="56"/>
      <c r="J691" s="56"/>
      <c r="K691" s="56"/>
      <c r="L691" s="56"/>
      <c r="M691" s="56"/>
      <c r="N691" s="56"/>
      <c r="O691" s="56"/>
      <c r="P691" s="56"/>
      <c r="Q691" s="56"/>
      <c r="R691" s="56"/>
      <c r="S691" s="56"/>
      <c r="T691" s="56"/>
      <c r="U691" s="56"/>
      <c r="V691" s="56"/>
      <c r="W691" s="56"/>
      <c r="X691" s="56"/>
      <c r="Y691" s="56"/>
      <c r="Z691" s="56"/>
      <c r="AA691" s="56"/>
    </row>
    <row r="692" spans="1:27" ht="15.75" customHeight="1" x14ac:dyDescent="0.25">
      <c r="A692" s="61"/>
      <c r="B692" s="61"/>
      <c r="C692" s="61"/>
      <c r="D692" s="56"/>
      <c r="E692" s="56"/>
      <c r="F692" s="56"/>
      <c r="G692" s="56"/>
      <c r="H692" s="56"/>
      <c r="I692" s="56"/>
      <c r="J692" s="56"/>
      <c r="K692" s="56"/>
      <c r="L692" s="56"/>
      <c r="M692" s="56"/>
      <c r="N692" s="56"/>
      <c r="O692" s="56"/>
      <c r="P692" s="56"/>
      <c r="Q692" s="56"/>
      <c r="R692" s="56"/>
      <c r="S692" s="56"/>
      <c r="T692" s="56"/>
      <c r="U692" s="56"/>
      <c r="V692" s="56"/>
      <c r="W692" s="56"/>
      <c r="X692" s="56"/>
      <c r="Y692" s="56"/>
      <c r="Z692" s="56"/>
      <c r="AA692" s="56"/>
    </row>
    <row r="693" spans="1:27" ht="15.75" customHeight="1" x14ac:dyDescent="0.25">
      <c r="A693" s="61"/>
      <c r="B693" s="61"/>
      <c r="C693" s="61"/>
      <c r="D693" s="56"/>
      <c r="E693" s="56"/>
      <c r="F693" s="56"/>
      <c r="G693" s="56"/>
      <c r="H693" s="56"/>
      <c r="I693" s="56"/>
      <c r="J693" s="56"/>
      <c r="K693" s="56"/>
      <c r="L693" s="56"/>
      <c r="M693" s="56"/>
      <c r="N693" s="56"/>
      <c r="O693" s="56"/>
      <c r="P693" s="56"/>
      <c r="Q693" s="56"/>
      <c r="R693" s="56"/>
      <c r="S693" s="56"/>
      <c r="T693" s="56"/>
      <c r="U693" s="56"/>
      <c r="V693" s="56"/>
      <c r="W693" s="56"/>
      <c r="X693" s="56"/>
      <c r="Y693" s="56"/>
      <c r="Z693" s="56"/>
      <c r="AA693" s="56"/>
    </row>
    <row r="694" spans="1:27" ht="15.75" customHeight="1" x14ac:dyDescent="0.25">
      <c r="A694" s="61"/>
      <c r="B694" s="61"/>
      <c r="C694" s="61"/>
      <c r="D694" s="56"/>
      <c r="E694" s="56"/>
      <c r="F694" s="56"/>
      <c r="G694" s="56"/>
      <c r="H694" s="56"/>
      <c r="I694" s="56"/>
      <c r="J694" s="56"/>
      <c r="K694" s="56"/>
      <c r="L694" s="56"/>
      <c r="M694" s="56"/>
      <c r="N694" s="56"/>
      <c r="O694" s="56"/>
      <c r="P694" s="56"/>
      <c r="Q694" s="56"/>
      <c r="R694" s="56"/>
      <c r="S694" s="56"/>
      <c r="T694" s="56"/>
      <c r="U694" s="56"/>
      <c r="V694" s="56"/>
      <c r="W694" s="56"/>
      <c r="X694" s="56"/>
      <c r="Y694" s="56"/>
      <c r="Z694" s="56"/>
      <c r="AA694" s="56"/>
    </row>
    <row r="695" spans="1:27" ht="15.75" customHeight="1" x14ac:dyDescent="0.25">
      <c r="A695" s="61"/>
      <c r="B695" s="61"/>
      <c r="C695" s="61"/>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row>
    <row r="696" spans="1:27" ht="15.75" customHeight="1" x14ac:dyDescent="0.25">
      <c r="A696" s="61"/>
      <c r="B696" s="61"/>
      <c r="C696" s="61"/>
      <c r="D696" s="56"/>
      <c r="E696" s="56"/>
      <c r="F696" s="56"/>
      <c r="G696" s="56"/>
      <c r="H696" s="56"/>
      <c r="I696" s="56"/>
      <c r="J696" s="56"/>
      <c r="K696" s="56"/>
      <c r="L696" s="56"/>
      <c r="M696" s="56"/>
      <c r="N696" s="56"/>
      <c r="O696" s="56"/>
      <c r="P696" s="56"/>
      <c r="Q696" s="56"/>
      <c r="R696" s="56"/>
      <c r="S696" s="56"/>
      <c r="T696" s="56"/>
      <c r="U696" s="56"/>
      <c r="V696" s="56"/>
      <c r="W696" s="56"/>
      <c r="X696" s="56"/>
      <c r="Y696" s="56"/>
      <c r="Z696" s="56"/>
      <c r="AA696" s="56"/>
    </row>
    <row r="697" spans="1:27" ht="15.75" customHeight="1" x14ac:dyDescent="0.25">
      <c r="A697" s="61"/>
      <c r="B697" s="61"/>
      <c r="C697" s="61"/>
      <c r="D697" s="56"/>
      <c r="E697" s="56"/>
      <c r="F697" s="56"/>
      <c r="G697" s="56"/>
      <c r="H697" s="56"/>
      <c r="I697" s="56"/>
      <c r="J697" s="56"/>
      <c r="K697" s="56"/>
      <c r="L697" s="56"/>
      <c r="M697" s="56"/>
      <c r="N697" s="56"/>
      <c r="O697" s="56"/>
      <c r="P697" s="56"/>
      <c r="Q697" s="56"/>
      <c r="R697" s="56"/>
      <c r="S697" s="56"/>
      <c r="T697" s="56"/>
      <c r="U697" s="56"/>
      <c r="V697" s="56"/>
      <c r="W697" s="56"/>
      <c r="X697" s="56"/>
      <c r="Y697" s="56"/>
      <c r="Z697" s="56"/>
      <c r="AA697" s="56"/>
    </row>
    <row r="698" spans="1:27" ht="15.75" customHeight="1" x14ac:dyDescent="0.25">
      <c r="A698" s="61"/>
      <c r="B698" s="61"/>
      <c r="C698" s="61"/>
      <c r="D698" s="56"/>
      <c r="E698" s="56"/>
      <c r="F698" s="56"/>
      <c r="G698" s="56"/>
      <c r="H698" s="56"/>
      <c r="I698" s="56"/>
      <c r="J698" s="56"/>
      <c r="K698" s="56"/>
      <c r="L698" s="56"/>
      <c r="M698" s="56"/>
      <c r="N698" s="56"/>
      <c r="O698" s="56"/>
      <c r="P698" s="56"/>
      <c r="Q698" s="56"/>
      <c r="R698" s="56"/>
      <c r="S698" s="56"/>
      <c r="T698" s="56"/>
      <c r="U698" s="56"/>
      <c r="V698" s="56"/>
      <c r="W698" s="56"/>
      <c r="X698" s="56"/>
      <c r="Y698" s="56"/>
      <c r="Z698" s="56"/>
      <c r="AA698" s="56"/>
    </row>
    <row r="699" spans="1:27" ht="15.75" customHeight="1" x14ac:dyDescent="0.25">
      <c r="A699" s="61"/>
      <c r="B699" s="61"/>
      <c r="C699" s="61"/>
      <c r="D699" s="56"/>
      <c r="E699" s="56"/>
      <c r="F699" s="56"/>
      <c r="G699" s="56"/>
      <c r="H699" s="56"/>
      <c r="I699" s="56"/>
      <c r="J699" s="56"/>
      <c r="K699" s="56"/>
      <c r="L699" s="56"/>
      <c r="M699" s="56"/>
      <c r="N699" s="56"/>
      <c r="O699" s="56"/>
      <c r="P699" s="56"/>
      <c r="Q699" s="56"/>
      <c r="R699" s="56"/>
      <c r="S699" s="56"/>
      <c r="T699" s="56"/>
      <c r="U699" s="56"/>
      <c r="V699" s="56"/>
      <c r="W699" s="56"/>
      <c r="X699" s="56"/>
      <c r="Y699" s="56"/>
      <c r="Z699" s="56"/>
      <c r="AA699" s="56"/>
    </row>
    <row r="700" spans="1:27" ht="15.75" customHeight="1" x14ac:dyDescent="0.25">
      <c r="A700" s="61"/>
      <c r="B700" s="61"/>
      <c r="C700" s="61"/>
      <c r="D700" s="56"/>
      <c r="E700" s="56"/>
      <c r="F700" s="56"/>
      <c r="G700" s="56"/>
      <c r="H700" s="56"/>
      <c r="I700" s="56"/>
      <c r="J700" s="56"/>
      <c r="K700" s="56"/>
      <c r="L700" s="56"/>
      <c r="M700" s="56"/>
      <c r="N700" s="56"/>
      <c r="O700" s="56"/>
      <c r="P700" s="56"/>
      <c r="Q700" s="56"/>
      <c r="R700" s="56"/>
      <c r="S700" s="56"/>
      <c r="T700" s="56"/>
      <c r="U700" s="56"/>
      <c r="V700" s="56"/>
      <c r="W700" s="56"/>
      <c r="X700" s="56"/>
      <c r="Y700" s="56"/>
      <c r="Z700" s="56"/>
      <c r="AA700" s="56"/>
    </row>
    <row r="701" spans="1:27" ht="15.75" customHeight="1" x14ac:dyDescent="0.25">
      <c r="A701" s="61"/>
      <c r="B701" s="61"/>
      <c r="C701" s="61"/>
      <c r="D701" s="56"/>
      <c r="E701" s="56"/>
      <c r="F701" s="56"/>
      <c r="G701" s="56"/>
      <c r="H701" s="56"/>
      <c r="I701" s="56"/>
      <c r="J701" s="56"/>
      <c r="K701" s="56"/>
      <c r="L701" s="56"/>
      <c r="M701" s="56"/>
      <c r="N701" s="56"/>
      <c r="O701" s="56"/>
      <c r="P701" s="56"/>
      <c r="Q701" s="56"/>
      <c r="R701" s="56"/>
      <c r="S701" s="56"/>
      <c r="T701" s="56"/>
      <c r="U701" s="56"/>
      <c r="V701" s="56"/>
      <c r="W701" s="56"/>
      <c r="X701" s="56"/>
      <c r="Y701" s="56"/>
      <c r="Z701" s="56"/>
      <c r="AA701" s="56"/>
    </row>
    <row r="702" spans="1:27" ht="15.75" customHeight="1" x14ac:dyDescent="0.25">
      <c r="A702" s="61"/>
      <c r="B702" s="61"/>
      <c r="C702" s="61"/>
      <c r="D702" s="56"/>
      <c r="E702" s="56"/>
      <c r="F702" s="56"/>
      <c r="G702" s="56"/>
      <c r="H702" s="56"/>
      <c r="I702" s="56"/>
      <c r="J702" s="56"/>
      <c r="K702" s="56"/>
      <c r="L702" s="56"/>
      <c r="M702" s="56"/>
      <c r="N702" s="56"/>
      <c r="O702" s="56"/>
      <c r="P702" s="56"/>
      <c r="Q702" s="56"/>
      <c r="R702" s="56"/>
      <c r="S702" s="56"/>
      <c r="T702" s="56"/>
      <c r="U702" s="56"/>
      <c r="V702" s="56"/>
      <c r="W702" s="56"/>
      <c r="X702" s="56"/>
      <c r="Y702" s="56"/>
      <c r="Z702" s="56"/>
      <c r="AA702" s="56"/>
    </row>
    <row r="703" spans="1:27" ht="15.75" customHeight="1" x14ac:dyDescent="0.25">
      <c r="A703" s="61"/>
      <c r="B703" s="61"/>
      <c r="C703" s="61"/>
      <c r="D703" s="56"/>
      <c r="E703" s="56"/>
      <c r="F703" s="56"/>
      <c r="G703" s="56"/>
      <c r="H703" s="56"/>
      <c r="I703" s="56"/>
      <c r="J703" s="56"/>
      <c r="K703" s="56"/>
      <c r="L703" s="56"/>
      <c r="M703" s="56"/>
      <c r="N703" s="56"/>
      <c r="O703" s="56"/>
      <c r="P703" s="56"/>
      <c r="Q703" s="56"/>
      <c r="R703" s="56"/>
      <c r="S703" s="56"/>
      <c r="T703" s="56"/>
      <c r="U703" s="56"/>
      <c r="V703" s="56"/>
      <c r="W703" s="56"/>
      <c r="X703" s="56"/>
      <c r="Y703" s="56"/>
      <c r="Z703" s="56"/>
      <c r="AA703" s="56"/>
    </row>
    <row r="704" spans="1:27" ht="15.75" customHeight="1" x14ac:dyDescent="0.25">
      <c r="A704" s="61"/>
      <c r="B704" s="61"/>
      <c r="C704" s="61"/>
      <c r="D704" s="56"/>
      <c r="E704" s="56"/>
      <c r="F704" s="56"/>
      <c r="G704" s="56"/>
      <c r="H704" s="56"/>
      <c r="I704" s="56"/>
      <c r="J704" s="56"/>
      <c r="K704" s="56"/>
      <c r="L704" s="56"/>
      <c r="M704" s="56"/>
      <c r="N704" s="56"/>
      <c r="O704" s="56"/>
      <c r="P704" s="56"/>
      <c r="Q704" s="56"/>
      <c r="R704" s="56"/>
      <c r="S704" s="56"/>
      <c r="T704" s="56"/>
      <c r="U704" s="56"/>
      <c r="V704" s="56"/>
      <c r="W704" s="56"/>
      <c r="X704" s="56"/>
      <c r="Y704" s="56"/>
      <c r="Z704" s="56"/>
      <c r="AA704" s="56"/>
    </row>
    <row r="705" spans="1:27" ht="15.75" customHeight="1" x14ac:dyDescent="0.25">
      <c r="A705" s="61"/>
      <c r="B705" s="61"/>
      <c r="C705" s="61"/>
      <c r="D705" s="56"/>
      <c r="E705" s="56"/>
      <c r="F705" s="56"/>
      <c r="G705" s="56"/>
      <c r="H705" s="56"/>
      <c r="I705" s="56"/>
      <c r="J705" s="56"/>
      <c r="K705" s="56"/>
      <c r="L705" s="56"/>
      <c r="M705" s="56"/>
      <c r="N705" s="56"/>
      <c r="O705" s="56"/>
      <c r="P705" s="56"/>
      <c r="Q705" s="56"/>
      <c r="R705" s="56"/>
      <c r="S705" s="56"/>
      <c r="T705" s="56"/>
      <c r="U705" s="56"/>
      <c r="V705" s="56"/>
      <c r="W705" s="56"/>
      <c r="X705" s="56"/>
      <c r="Y705" s="56"/>
      <c r="Z705" s="56"/>
      <c r="AA705" s="56"/>
    </row>
    <row r="706" spans="1:27" ht="15.75" customHeight="1" x14ac:dyDescent="0.25">
      <c r="A706" s="61"/>
      <c r="B706" s="61"/>
      <c r="C706" s="61"/>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row>
    <row r="707" spans="1:27" ht="15.75" customHeight="1" x14ac:dyDescent="0.25">
      <c r="A707" s="61"/>
      <c r="B707" s="61"/>
      <c r="C707" s="61"/>
      <c r="D707" s="56"/>
      <c r="E707" s="56"/>
      <c r="F707" s="56"/>
      <c r="G707" s="56"/>
      <c r="H707" s="56"/>
      <c r="I707" s="56"/>
      <c r="J707" s="56"/>
      <c r="K707" s="56"/>
      <c r="L707" s="56"/>
      <c r="M707" s="56"/>
      <c r="N707" s="56"/>
      <c r="O707" s="56"/>
      <c r="P707" s="56"/>
      <c r="Q707" s="56"/>
      <c r="R707" s="56"/>
      <c r="S707" s="56"/>
      <c r="T707" s="56"/>
      <c r="U707" s="56"/>
      <c r="V707" s="56"/>
      <c r="W707" s="56"/>
      <c r="X707" s="56"/>
      <c r="Y707" s="56"/>
      <c r="Z707" s="56"/>
      <c r="AA707" s="56"/>
    </row>
    <row r="708" spans="1:27" ht="15.75" customHeight="1" x14ac:dyDescent="0.25">
      <c r="A708" s="61"/>
      <c r="B708" s="61"/>
      <c r="C708" s="61"/>
      <c r="D708" s="56"/>
      <c r="E708" s="56"/>
      <c r="F708" s="56"/>
      <c r="G708" s="56"/>
      <c r="H708" s="56"/>
      <c r="I708" s="56"/>
      <c r="J708" s="56"/>
      <c r="K708" s="56"/>
      <c r="L708" s="56"/>
      <c r="M708" s="56"/>
      <c r="N708" s="56"/>
      <c r="O708" s="56"/>
      <c r="P708" s="56"/>
      <c r="Q708" s="56"/>
      <c r="R708" s="56"/>
      <c r="S708" s="56"/>
      <c r="T708" s="56"/>
      <c r="U708" s="56"/>
      <c r="V708" s="56"/>
      <c r="W708" s="56"/>
      <c r="X708" s="56"/>
      <c r="Y708" s="56"/>
      <c r="Z708" s="56"/>
      <c r="AA708" s="56"/>
    </row>
    <row r="709" spans="1:27" ht="15.75" customHeight="1" x14ac:dyDescent="0.25">
      <c r="A709" s="61"/>
      <c r="B709" s="61"/>
      <c r="C709" s="61"/>
      <c r="D709" s="56"/>
      <c r="E709" s="56"/>
      <c r="F709" s="56"/>
      <c r="G709" s="56"/>
      <c r="H709" s="56"/>
      <c r="I709" s="56"/>
      <c r="J709" s="56"/>
      <c r="K709" s="56"/>
      <c r="L709" s="56"/>
      <c r="M709" s="56"/>
      <c r="N709" s="56"/>
      <c r="O709" s="56"/>
      <c r="P709" s="56"/>
      <c r="Q709" s="56"/>
      <c r="R709" s="56"/>
      <c r="S709" s="56"/>
      <c r="T709" s="56"/>
      <c r="U709" s="56"/>
      <c r="V709" s="56"/>
      <c r="W709" s="56"/>
      <c r="X709" s="56"/>
      <c r="Y709" s="56"/>
      <c r="Z709" s="56"/>
      <c r="AA709" s="56"/>
    </row>
    <row r="710" spans="1:27" ht="15.75" customHeight="1" x14ac:dyDescent="0.25">
      <c r="A710" s="61"/>
      <c r="B710" s="61"/>
      <c r="C710" s="61"/>
      <c r="D710" s="56"/>
      <c r="E710" s="56"/>
      <c r="F710" s="56"/>
      <c r="G710" s="56"/>
      <c r="H710" s="56"/>
      <c r="I710" s="56"/>
      <c r="J710" s="56"/>
      <c r="K710" s="56"/>
      <c r="L710" s="56"/>
      <c r="M710" s="56"/>
      <c r="N710" s="56"/>
      <c r="O710" s="56"/>
      <c r="P710" s="56"/>
      <c r="Q710" s="56"/>
      <c r="R710" s="56"/>
      <c r="S710" s="56"/>
      <c r="T710" s="56"/>
      <c r="U710" s="56"/>
      <c r="V710" s="56"/>
      <c r="W710" s="56"/>
      <c r="X710" s="56"/>
      <c r="Y710" s="56"/>
      <c r="Z710" s="56"/>
      <c r="AA710" s="56"/>
    </row>
    <row r="711" spans="1:27" ht="15.75" customHeight="1" x14ac:dyDescent="0.25">
      <c r="A711" s="61"/>
      <c r="B711" s="61"/>
      <c r="C711" s="61"/>
      <c r="D711" s="56"/>
      <c r="E711" s="56"/>
      <c r="F711" s="56"/>
      <c r="G711" s="56"/>
      <c r="H711" s="56"/>
      <c r="I711" s="56"/>
      <c r="J711" s="56"/>
      <c r="K711" s="56"/>
      <c r="L711" s="56"/>
      <c r="M711" s="56"/>
      <c r="N711" s="56"/>
      <c r="O711" s="56"/>
      <c r="P711" s="56"/>
      <c r="Q711" s="56"/>
      <c r="R711" s="56"/>
      <c r="S711" s="56"/>
      <c r="T711" s="56"/>
      <c r="U711" s="56"/>
      <c r="V711" s="56"/>
      <c r="W711" s="56"/>
      <c r="X711" s="56"/>
      <c r="Y711" s="56"/>
      <c r="Z711" s="56"/>
      <c r="AA711" s="56"/>
    </row>
    <row r="712" spans="1:27" ht="15.75" customHeight="1" x14ac:dyDescent="0.25">
      <c r="A712" s="61"/>
      <c r="B712" s="61"/>
      <c r="C712" s="61"/>
      <c r="D712" s="56"/>
      <c r="E712" s="56"/>
      <c r="F712" s="56"/>
      <c r="G712" s="56"/>
      <c r="H712" s="56"/>
      <c r="I712" s="56"/>
      <c r="J712" s="56"/>
      <c r="K712" s="56"/>
      <c r="L712" s="56"/>
      <c r="M712" s="56"/>
      <c r="N712" s="56"/>
      <c r="O712" s="56"/>
      <c r="P712" s="56"/>
      <c r="Q712" s="56"/>
      <c r="R712" s="56"/>
      <c r="S712" s="56"/>
      <c r="T712" s="56"/>
      <c r="U712" s="56"/>
      <c r="V712" s="56"/>
      <c r="W712" s="56"/>
      <c r="X712" s="56"/>
      <c r="Y712" s="56"/>
      <c r="Z712" s="56"/>
      <c r="AA712" s="56"/>
    </row>
    <row r="713" spans="1:27" ht="15.75" customHeight="1" x14ac:dyDescent="0.25">
      <c r="A713" s="61"/>
      <c r="B713" s="61"/>
      <c r="C713" s="61"/>
      <c r="D713" s="56"/>
      <c r="E713" s="56"/>
      <c r="F713" s="56"/>
      <c r="G713" s="56"/>
      <c r="H713" s="56"/>
      <c r="I713" s="56"/>
      <c r="J713" s="56"/>
      <c r="K713" s="56"/>
      <c r="L713" s="56"/>
      <c r="M713" s="56"/>
      <c r="N713" s="56"/>
      <c r="O713" s="56"/>
      <c r="P713" s="56"/>
      <c r="Q713" s="56"/>
      <c r="R713" s="56"/>
      <c r="S713" s="56"/>
      <c r="T713" s="56"/>
      <c r="U713" s="56"/>
      <c r="V713" s="56"/>
      <c r="W713" s="56"/>
      <c r="X713" s="56"/>
      <c r="Y713" s="56"/>
      <c r="Z713" s="56"/>
      <c r="AA713" s="56"/>
    </row>
    <row r="714" spans="1:27" ht="15.75" customHeight="1" x14ac:dyDescent="0.25">
      <c r="A714" s="61"/>
      <c r="B714" s="61"/>
      <c r="C714" s="61"/>
      <c r="D714" s="56"/>
      <c r="E714" s="56"/>
      <c r="F714" s="56"/>
      <c r="G714" s="56"/>
      <c r="H714" s="56"/>
      <c r="I714" s="56"/>
      <c r="J714" s="56"/>
      <c r="K714" s="56"/>
      <c r="L714" s="56"/>
      <c r="M714" s="56"/>
      <c r="N714" s="56"/>
      <c r="O714" s="56"/>
      <c r="P714" s="56"/>
      <c r="Q714" s="56"/>
      <c r="R714" s="56"/>
      <c r="S714" s="56"/>
      <c r="T714" s="56"/>
      <c r="U714" s="56"/>
      <c r="V714" s="56"/>
      <c r="W714" s="56"/>
      <c r="X714" s="56"/>
      <c r="Y714" s="56"/>
      <c r="Z714" s="56"/>
      <c r="AA714" s="56"/>
    </row>
    <row r="715" spans="1:27" ht="15.75" customHeight="1" x14ac:dyDescent="0.25">
      <c r="A715" s="61"/>
      <c r="B715" s="61"/>
      <c r="C715" s="61"/>
      <c r="D715" s="56"/>
      <c r="E715" s="56"/>
      <c r="F715" s="56"/>
      <c r="G715" s="56"/>
      <c r="H715" s="56"/>
      <c r="I715" s="56"/>
      <c r="J715" s="56"/>
      <c r="K715" s="56"/>
      <c r="L715" s="56"/>
      <c r="M715" s="56"/>
      <c r="N715" s="56"/>
      <c r="O715" s="56"/>
      <c r="P715" s="56"/>
      <c r="Q715" s="56"/>
      <c r="R715" s="56"/>
      <c r="S715" s="56"/>
      <c r="T715" s="56"/>
      <c r="U715" s="56"/>
      <c r="V715" s="56"/>
      <c r="W715" s="56"/>
      <c r="X715" s="56"/>
      <c r="Y715" s="56"/>
      <c r="Z715" s="56"/>
      <c r="AA715" s="56"/>
    </row>
    <row r="716" spans="1:27" ht="15.75" customHeight="1" x14ac:dyDescent="0.25">
      <c r="A716" s="61"/>
      <c r="B716" s="61"/>
      <c r="C716" s="61"/>
      <c r="D716" s="56"/>
      <c r="E716" s="56"/>
      <c r="F716" s="56"/>
      <c r="G716" s="56"/>
      <c r="H716" s="56"/>
      <c r="I716" s="56"/>
      <c r="J716" s="56"/>
      <c r="K716" s="56"/>
      <c r="L716" s="56"/>
      <c r="M716" s="56"/>
      <c r="N716" s="56"/>
      <c r="O716" s="56"/>
      <c r="P716" s="56"/>
      <c r="Q716" s="56"/>
      <c r="R716" s="56"/>
      <c r="S716" s="56"/>
      <c r="T716" s="56"/>
      <c r="U716" s="56"/>
      <c r="V716" s="56"/>
      <c r="W716" s="56"/>
      <c r="X716" s="56"/>
      <c r="Y716" s="56"/>
      <c r="Z716" s="56"/>
      <c r="AA716" s="56"/>
    </row>
    <row r="717" spans="1:27" ht="15.75" customHeight="1" x14ac:dyDescent="0.25">
      <c r="A717" s="61"/>
      <c r="B717" s="61"/>
      <c r="C717" s="61"/>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row>
    <row r="718" spans="1:27" ht="15.75" customHeight="1" x14ac:dyDescent="0.25">
      <c r="A718" s="61"/>
      <c r="B718" s="61"/>
      <c r="C718" s="61"/>
      <c r="D718" s="56"/>
      <c r="E718" s="56"/>
      <c r="F718" s="56"/>
      <c r="G718" s="56"/>
      <c r="H718" s="56"/>
      <c r="I718" s="56"/>
      <c r="J718" s="56"/>
      <c r="K718" s="56"/>
      <c r="L718" s="56"/>
      <c r="M718" s="56"/>
      <c r="N718" s="56"/>
      <c r="O718" s="56"/>
      <c r="P718" s="56"/>
      <c r="Q718" s="56"/>
      <c r="R718" s="56"/>
      <c r="S718" s="56"/>
      <c r="T718" s="56"/>
      <c r="U718" s="56"/>
      <c r="V718" s="56"/>
      <c r="W718" s="56"/>
      <c r="X718" s="56"/>
      <c r="Y718" s="56"/>
      <c r="Z718" s="56"/>
      <c r="AA718" s="56"/>
    </row>
    <row r="719" spans="1:27" ht="15.75" customHeight="1" x14ac:dyDescent="0.25">
      <c r="A719" s="61"/>
      <c r="B719" s="61"/>
      <c r="C719" s="61"/>
      <c r="D719" s="56"/>
      <c r="E719" s="56"/>
      <c r="F719" s="56"/>
      <c r="G719" s="56"/>
      <c r="H719" s="56"/>
      <c r="I719" s="56"/>
      <c r="J719" s="56"/>
      <c r="K719" s="56"/>
      <c r="L719" s="56"/>
      <c r="M719" s="56"/>
      <c r="N719" s="56"/>
      <c r="O719" s="56"/>
      <c r="P719" s="56"/>
      <c r="Q719" s="56"/>
      <c r="R719" s="56"/>
      <c r="S719" s="56"/>
      <c r="T719" s="56"/>
      <c r="U719" s="56"/>
      <c r="V719" s="56"/>
      <c r="W719" s="56"/>
      <c r="X719" s="56"/>
      <c r="Y719" s="56"/>
      <c r="Z719" s="56"/>
      <c r="AA719" s="56"/>
    </row>
    <row r="720" spans="1:27" ht="15.75" customHeight="1" x14ac:dyDescent="0.25">
      <c r="A720" s="61"/>
      <c r="B720" s="61"/>
      <c r="C720" s="61"/>
      <c r="D720" s="56"/>
      <c r="E720" s="56"/>
      <c r="F720" s="56"/>
      <c r="G720" s="56"/>
      <c r="H720" s="56"/>
      <c r="I720" s="56"/>
      <c r="J720" s="56"/>
      <c r="K720" s="56"/>
      <c r="L720" s="56"/>
      <c r="M720" s="56"/>
      <c r="N720" s="56"/>
      <c r="O720" s="56"/>
      <c r="P720" s="56"/>
      <c r="Q720" s="56"/>
      <c r="R720" s="56"/>
      <c r="S720" s="56"/>
      <c r="T720" s="56"/>
      <c r="U720" s="56"/>
      <c r="V720" s="56"/>
      <c r="W720" s="56"/>
      <c r="X720" s="56"/>
      <c r="Y720" s="56"/>
      <c r="Z720" s="56"/>
      <c r="AA720" s="56"/>
    </row>
    <row r="721" spans="1:27" ht="15.75" customHeight="1" x14ac:dyDescent="0.25">
      <c r="A721" s="61"/>
      <c r="B721" s="61"/>
      <c r="C721" s="61"/>
      <c r="D721" s="56"/>
      <c r="E721" s="56"/>
      <c r="F721" s="56"/>
      <c r="G721" s="56"/>
      <c r="H721" s="56"/>
      <c r="I721" s="56"/>
      <c r="J721" s="56"/>
      <c r="K721" s="56"/>
      <c r="L721" s="56"/>
      <c r="M721" s="56"/>
      <c r="N721" s="56"/>
      <c r="O721" s="56"/>
      <c r="P721" s="56"/>
      <c r="Q721" s="56"/>
      <c r="R721" s="56"/>
      <c r="S721" s="56"/>
      <c r="T721" s="56"/>
      <c r="U721" s="56"/>
      <c r="V721" s="56"/>
      <c r="W721" s="56"/>
      <c r="X721" s="56"/>
      <c r="Y721" s="56"/>
      <c r="Z721" s="56"/>
      <c r="AA721" s="56"/>
    </row>
    <row r="722" spans="1:27" ht="15.75" customHeight="1" x14ac:dyDescent="0.25">
      <c r="A722" s="61"/>
      <c r="B722" s="61"/>
      <c r="C722" s="61"/>
      <c r="D722" s="56"/>
      <c r="E722" s="56"/>
      <c r="F722" s="56"/>
      <c r="G722" s="56"/>
      <c r="H722" s="56"/>
      <c r="I722" s="56"/>
      <c r="J722" s="56"/>
      <c r="K722" s="56"/>
      <c r="L722" s="56"/>
      <c r="M722" s="56"/>
      <c r="N722" s="56"/>
      <c r="O722" s="56"/>
      <c r="P722" s="56"/>
      <c r="Q722" s="56"/>
      <c r="R722" s="56"/>
      <c r="S722" s="56"/>
      <c r="T722" s="56"/>
      <c r="U722" s="56"/>
      <c r="V722" s="56"/>
      <c r="W722" s="56"/>
      <c r="X722" s="56"/>
      <c r="Y722" s="56"/>
      <c r="Z722" s="56"/>
      <c r="AA722" s="56"/>
    </row>
    <row r="723" spans="1:27" ht="15.75" customHeight="1" x14ac:dyDescent="0.25">
      <c r="A723" s="61"/>
      <c r="B723" s="61"/>
      <c r="C723" s="61"/>
      <c r="D723" s="56"/>
      <c r="E723" s="56"/>
      <c r="F723" s="56"/>
      <c r="G723" s="56"/>
      <c r="H723" s="56"/>
      <c r="I723" s="56"/>
      <c r="J723" s="56"/>
      <c r="K723" s="56"/>
      <c r="L723" s="56"/>
      <c r="M723" s="56"/>
      <c r="N723" s="56"/>
      <c r="O723" s="56"/>
      <c r="P723" s="56"/>
      <c r="Q723" s="56"/>
      <c r="R723" s="56"/>
      <c r="S723" s="56"/>
      <c r="T723" s="56"/>
      <c r="U723" s="56"/>
      <c r="V723" s="56"/>
      <c r="W723" s="56"/>
      <c r="X723" s="56"/>
      <c r="Y723" s="56"/>
      <c r="Z723" s="56"/>
      <c r="AA723" s="56"/>
    </row>
    <row r="724" spans="1:27" ht="15.75" customHeight="1" x14ac:dyDescent="0.25">
      <c r="A724" s="61"/>
      <c r="B724" s="61"/>
      <c r="C724" s="61"/>
      <c r="D724" s="56"/>
      <c r="E724" s="56"/>
      <c r="F724" s="56"/>
      <c r="G724" s="56"/>
      <c r="H724" s="56"/>
      <c r="I724" s="56"/>
      <c r="J724" s="56"/>
      <c r="K724" s="56"/>
      <c r="L724" s="56"/>
      <c r="M724" s="56"/>
      <c r="N724" s="56"/>
      <c r="O724" s="56"/>
      <c r="P724" s="56"/>
      <c r="Q724" s="56"/>
      <c r="R724" s="56"/>
      <c r="S724" s="56"/>
      <c r="T724" s="56"/>
      <c r="U724" s="56"/>
      <c r="V724" s="56"/>
      <c r="W724" s="56"/>
      <c r="X724" s="56"/>
      <c r="Y724" s="56"/>
      <c r="Z724" s="56"/>
      <c r="AA724" s="56"/>
    </row>
    <row r="725" spans="1:27" ht="15.75" customHeight="1" x14ac:dyDescent="0.25">
      <c r="A725" s="61"/>
      <c r="B725" s="61"/>
      <c r="C725" s="61"/>
      <c r="D725" s="56"/>
      <c r="E725" s="56"/>
      <c r="F725" s="56"/>
      <c r="G725" s="56"/>
      <c r="H725" s="56"/>
      <c r="I725" s="56"/>
      <c r="J725" s="56"/>
      <c r="K725" s="56"/>
      <c r="L725" s="56"/>
      <c r="M725" s="56"/>
      <c r="N725" s="56"/>
      <c r="O725" s="56"/>
      <c r="P725" s="56"/>
      <c r="Q725" s="56"/>
      <c r="R725" s="56"/>
      <c r="S725" s="56"/>
      <c r="T725" s="56"/>
      <c r="U725" s="56"/>
      <c r="V725" s="56"/>
      <c r="W725" s="56"/>
      <c r="X725" s="56"/>
      <c r="Y725" s="56"/>
      <c r="Z725" s="56"/>
      <c r="AA725" s="56"/>
    </row>
    <row r="726" spans="1:27" ht="15.75" customHeight="1" x14ac:dyDescent="0.25">
      <c r="A726" s="61"/>
      <c r="B726" s="61"/>
      <c r="C726" s="61"/>
      <c r="D726" s="56"/>
      <c r="E726" s="56"/>
      <c r="F726" s="56"/>
      <c r="G726" s="56"/>
      <c r="H726" s="56"/>
      <c r="I726" s="56"/>
      <c r="J726" s="56"/>
      <c r="K726" s="56"/>
      <c r="L726" s="56"/>
      <c r="M726" s="56"/>
      <c r="N726" s="56"/>
      <c r="O726" s="56"/>
      <c r="P726" s="56"/>
      <c r="Q726" s="56"/>
      <c r="R726" s="56"/>
      <c r="S726" s="56"/>
      <c r="T726" s="56"/>
      <c r="U726" s="56"/>
      <c r="V726" s="56"/>
      <c r="W726" s="56"/>
      <c r="X726" s="56"/>
      <c r="Y726" s="56"/>
      <c r="Z726" s="56"/>
      <c r="AA726" s="56"/>
    </row>
    <row r="727" spans="1:27" ht="15.75" customHeight="1" x14ac:dyDescent="0.25">
      <c r="A727" s="61"/>
      <c r="B727" s="61"/>
      <c r="C727" s="61"/>
      <c r="D727" s="56"/>
      <c r="E727" s="56"/>
      <c r="F727" s="56"/>
      <c r="G727" s="56"/>
      <c r="H727" s="56"/>
      <c r="I727" s="56"/>
      <c r="J727" s="56"/>
      <c r="K727" s="56"/>
      <c r="L727" s="56"/>
      <c r="M727" s="56"/>
      <c r="N727" s="56"/>
      <c r="O727" s="56"/>
      <c r="P727" s="56"/>
      <c r="Q727" s="56"/>
      <c r="R727" s="56"/>
      <c r="S727" s="56"/>
      <c r="T727" s="56"/>
      <c r="U727" s="56"/>
      <c r="V727" s="56"/>
      <c r="W727" s="56"/>
      <c r="X727" s="56"/>
      <c r="Y727" s="56"/>
      <c r="Z727" s="56"/>
      <c r="AA727" s="56"/>
    </row>
    <row r="728" spans="1:27" ht="15.75" customHeight="1" x14ac:dyDescent="0.25">
      <c r="A728" s="61"/>
      <c r="B728" s="61"/>
      <c r="C728" s="61"/>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row>
    <row r="729" spans="1:27" ht="15.75" customHeight="1" x14ac:dyDescent="0.25">
      <c r="A729" s="61"/>
      <c r="B729" s="61"/>
      <c r="C729" s="61"/>
      <c r="D729" s="56"/>
      <c r="E729" s="56"/>
      <c r="F729" s="56"/>
      <c r="G729" s="56"/>
      <c r="H729" s="56"/>
      <c r="I729" s="56"/>
      <c r="J729" s="56"/>
      <c r="K729" s="56"/>
      <c r="L729" s="56"/>
      <c r="M729" s="56"/>
      <c r="N729" s="56"/>
      <c r="O729" s="56"/>
      <c r="P729" s="56"/>
      <c r="Q729" s="56"/>
      <c r="R729" s="56"/>
      <c r="S729" s="56"/>
      <c r="T729" s="56"/>
      <c r="U729" s="56"/>
      <c r="V729" s="56"/>
      <c r="W729" s="56"/>
      <c r="X729" s="56"/>
      <c r="Y729" s="56"/>
      <c r="Z729" s="56"/>
      <c r="AA729" s="56"/>
    </row>
    <row r="730" spans="1:27" ht="15.75" customHeight="1" x14ac:dyDescent="0.25">
      <c r="A730" s="61"/>
      <c r="B730" s="61"/>
      <c r="C730" s="61"/>
      <c r="D730" s="56"/>
      <c r="E730" s="56"/>
      <c r="F730" s="56"/>
      <c r="G730" s="56"/>
      <c r="H730" s="56"/>
      <c r="I730" s="56"/>
      <c r="J730" s="56"/>
      <c r="K730" s="56"/>
      <c r="L730" s="56"/>
      <c r="M730" s="56"/>
      <c r="N730" s="56"/>
      <c r="O730" s="56"/>
      <c r="P730" s="56"/>
      <c r="Q730" s="56"/>
      <c r="R730" s="56"/>
      <c r="S730" s="56"/>
      <c r="T730" s="56"/>
      <c r="U730" s="56"/>
      <c r="V730" s="56"/>
      <c r="W730" s="56"/>
      <c r="X730" s="56"/>
      <c r="Y730" s="56"/>
      <c r="Z730" s="56"/>
      <c r="AA730" s="56"/>
    </row>
    <row r="731" spans="1:27" ht="15.75" customHeight="1" x14ac:dyDescent="0.25">
      <c r="A731" s="61"/>
      <c r="B731" s="61"/>
      <c r="C731" s="61"/>
      <c r="D731" s="56"/>
      <c r="E731" s="56"/>
      <c r="F731" s="56"/>
      <c r="G731" s="56"/>
      <c r="H731" s="56"/>
      <c r="I731" s="56"/>
      <c r="J731" s="56"/>
      <c r="K731" s="56"/>
      <c r="L731" s="56"/>
      <c r="M731" s="56"/>
      <c r="N731" s="56"/>
      <c r="O731" s="56"/>
      <c r="P731" s="56"/>
      <c r="Q731" s="56"/>
      <c r="R731" s="56"/>
      <c r="S731" s="56"/>
      <c r="T731" s="56"/>
      <c r="U731" s="56"/>
      <c r="V731" s="56"/>
      <c r="W731" s="56"/>
      <c r="X731" s="56"/>
      <c r="Y731" s="56"/>
      <c r="Z731" s="56"/>
      <c r="AA731" s="56"/>
    </row>
    <row r="732" spans="1:27" ht="15.75" customHeight="1" x14ac:dyDescent="0.25">
      <c r="A732" s="61"/>
      <c r="B732" s="61"/>
      <c r="C732" s="61"/>
      <c r="D732" s="56"/>
      <c r="E732" s="56"/>
      <c r="F732" s="56"/>
      <c r="G732" s="56"/>
      <c r="H732" s="56"/>
      <c r="I732" s="56"/>
      <c r="J732" s="56"/>
      <c r="K732" s="56"/>
      <c r="L732" s="56"/>
      <c r="M732" s="56"/>
      <c r="N732" s="56"/>
      <c r="O732" s="56"/>
      <c r="P732" s="56"/>
      <c r="Q732" s="56"/>
      <c r="R732" s="56"/>
      <c r="S732" s="56"/>
      <c r="T732" s="56"/>
      <c r="U732" s="56"/>
      <c r="V732" s="56"/>
      <c r="W732" s="56"/>
      <c r="X732" s="56"/>
      <c r="Y732" s="56"/>
      <c r="Z732" s="56"/>
      <c r="AA732" s="56"/>
    </row>
    <row r="733" spans="1:27" ht="15.75" customHeight="1" x14ac:dyDescent="0.25">
      <c r="A733" s="61"/>
      <c r="B733" s="61"/>
      <c r="C733" s="61"/>
      <c r="D733" s="56"/>
      <c r="E733" s="56"/>
      <c r="F733" s="56"/>
      <c r="G733" s="56"/>
      <c r="H733" s="56"/>
      <c r="I733" s="56"/>
      <c r="J733" s="56"/>
      <c r="K733" s="56"/>
      <c r="L733" s="56"/>
      <c r="M733" s="56"/>
      <c r="N733" s="56"/>
      <c r="O733" s="56"/>
      <c r="P733" s="56"/>
      <c r="Q733" s="56"/>
      <c r="R733" s="56"/>
      <c r="S733" s="56"/>
      <c r="T733" s="56"/>
      <c r="U733" s="56"/>
      <c r="V733" s="56"/>
      <c r="W733" s="56"/>
      <c r="X733" s="56"/>
      <c r="Y733" s="56"/>
      <c r="Z733" s="56"/>
      <c r="AA733" s="56"/>
    </row>
    <row r="734" spans="1:27" ht="15.75" customHeight="1" x14ac:dyDescent="0.25">
      <c r="A734" s="61"/>
      <c r="B734" s="61"/>
      <c r="C734" s="61"/>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row>
    <row r="735" spans="1:27" ht="15.75" customHeight="1" x14ac:dyDescent="0.25">
      <c r="A735" s="61"/>
      <c r="B735" s="61"/>
      <c r="C735" s="61"/>
      <c r="D735" s="56"/>
      <c r="E735" s="56"/>
      <c r="F735" s="56"/>
      <c r="G735" s="56"/>
      <c r="H735" s="56"/>
      <c r="I735" s="56"/>
      <c r="J735" s="56"/>
      <c r="K735" s="56"/>
      <c r="L735" s="56"/>
      <c r="M735" s="56"/>
      <c r="N735" s="56"/>
      <c r="O735" s="56"/>
      <c r="P735" s="56"/>
      <c r="Q735" s="56"/>
      <c r="R735" s="56"/>
      <c r="S735" s="56"/>
      <c r="T735" s="56"/>
      <c r="U735" s="56"/>
      <c r="V735" s="56"/>
      <c r="W735" s="56"/>
      <c r="X735" s="56"/>
      <c r="Y735" s="56"/>
      <c r="Z735" s="56"/>
      <c r="AA735" s="56"/>
    </row>
    <row r="736" spans="1:27" ht="15.75" customHeight="1" x14ac:dyDescent="0.25">
      <c r="A736" s="61"/>
      <c r="B736" s="61"/>
      <c r="C736" s="61"/>
      <c r="D736" s="56"/>
      <c r="E736" s="56"/>
      <c r="F736" s="56"/>
      <c r="G736" s="56"/>
      <c r="H736" s="56"/>
      <c r="I736" s="56"/>
      <c r="J736" s="56"/>
      <c r="K736" s="56"/>
      <c r="L736" s="56"/>
      <c r="M736" s="56"/>
      <c r="N736" s="56"/>
      <c r="O736" s="56"/>
      <c r="P736" s="56"/>
      <c r="Q736" s="56"/>
      <c r="R736" s="56"/>
      <c r="S736" s="56"/>
      <c r="T736" s="56"/>
      <c r="U736" s="56"/>
      <c r="V736" s="56"/>
      <c r="W736" s="56"/>
      <c r="X736" s="56"/>
      <c r="Y736" s="56"/>
      <c r="Z736" s="56"/>
      <c r="AA736" s="56"/>
    </row>
    <row r="737" spans="1:27" ht="15.75" customHeight="1" x14ac:dyDescent="0.25">
      <c r="A737" s="61"/>
      <c r="B737" s="61"/>
      <c r="C737" s="61"/>
      <c r="D737" s="56"/>
      <c r="E737" s="56"/>
      <c r="F737" s="56"/>
      <c r="G737" s="56"/>
      <c r="H737" s="56"/>
      <c r="I737" s="56"/>
      <c r="J737" s="56"/>
      <c r="K737" s="56"/>
      <c r="L737" s="56"/>
      <c r="M737" s="56"/>
      <c r="N737" s="56"/>
      <c r="O737" s="56"/>
      <c r="P737" s="56"/>
      <c r="Q737" s="56"/>
      <c r="R737" s="56"/>
      <c r="S737" s="56"/>
      <c r="T737" s="56"/>
      <c r="U737" s="56"/>
      <c r="V737" s="56"/>
      <c r="W737" s="56"/>
      <c r="X737" s="56"/>
      <c r="Y737" s="56"/>
      <c r="Z737" s="56"/>
      <c r="AA737" s="56"/>
    </row>
    <row r="738" spans="1:27" ht="15.75" customHeight="1" x14ac:dyDescent="0.25">
      <c r="A738" s="61"/>
      <c r="B738" s="61"/>
      <c r="C738" s="61"/>
      <c r="D738" s="56"/>
      <c r="E738" s="56"/>
      <c r="F738" s="56"/>
      <c r="G738" s="56"/>
      <c r="H738" s="56"/>
      <c r="I738" s="56"/>
      <c r="J738" s="56"/>
      <c r="K738" s="56"/>
      <c r="L738" s="56"/>
      <c r="M738" s="56"/>
      <c r="N738" s="56"/>
      <c r="O738" s="56"/>
      <c r="P738" s="56"/>
      <c r="Q738" s="56"/>
      <c r="R738" s="56"/>
      <c r="S738" s="56"/>
      <c r="T738" s="56"/>
      <c r="U738" s="56"/>
      <c r="V738" s="56"/>
      <c r="W738" s="56"/>
      <c r="X738" s="56"/>
      <c r="Y738" s="56"/>
      <c r="Z738" s="56"/>
      <c r="AA738" s="56"/>
    </row>
    <row r="739" spans="1:27" ht="15.75" customHeight="1" x14ac:dyDescent="0.25">
      <c r="A739" s="61"/>
      <c r="B739" s="61"/>
      <c r="C739" s="61"/>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row>
    <row r="740" spans="1:27" ht="15.75" customHeight="1" x14ac:dyDescent="0.25">
      <c r="A740" s="61"/>
      <c r="B740" s="61"/>
      <c r="C740" s="61"/>
      <c r="D740" s="56"/>
      <c r="E740" s="56"/>
      <c r="F740" s="56"/>
      <c r="G740" s="56"/>
      <c r="H740" s="56"/>
      <c r="I740" s="56"/>
      <c r="J740" s="56"/>
      <c r="K740" s="56"/>
      <c r="L740" s="56"/>
      <c r="M740" s="56"/>
      <c r="N740" s="56"/>
      <c r="O740" s="56"/>
      <c r="P740" s="56"/>
      <c r="Q740" s="56"/>
      <c r="R740" s="56"/>
      <c r="S740" s="56"/>
      <c r="T740" s="56"/>
      <c r="U740" s="56"/>
      <c r="V740" s="56"/>
      <c r="W740" s="56"/>
      <c r="X740" s="56"/>
      <c r="Y740" s="56"/>
      <c r="Z740" s="56"/>
      <c r="AA740" s="56"/>
    </row>
    <row r="741" spans="1:27" ht="15.75" customHeight="1" x14ac:dyDescent="0.25">
      <c r="A741" s="61"/>
      <c r="B741" s="61"/>
      <c r="C741" s="61"/>
      <c r="D741" s="56"/>
      <c r="E741" s="56"/>
      <c r="F741" s="56"/>
      <c r="G741" s="56"/>
      <c r="H741" s="56"/>
      <c r="I741" s="56"/>
      <c r="J741" s="56"/>
      <c r="K741" s="56"/>
      <c r="L741" s="56"/>
      <c r="M741" s="56"/>
      <c r="N741" s="56"/>
      <c r="O741" s="56"/>
      <c r="P741" s="56"/>
      <c r="Q741" s="56"/>
      <c r="R741" s="56"/>
      <c r="S741" s="56"/>
      <c r="T741" s="56"/>
      <c r="U741" s="56"/>
      <c r="V741" s="56"/>
      <c r="W741" s="56"/>
      <c r="X741" s="56"/>
      <c r="Y741" s="56"/>
      <c r="Z741" s="56"/>
      <c r="AA741" s="56"/>
    </row>
    <row r="742" spans="1:27" ht="15.75" customHeight="1" x14ac:dyDescent="0.25">
      <c r="A742" s="61"/>
      <c r="B742" s="61"/>
      <c r="C742" s="61"/>
      <c r="D742" s="56"/>
      <c r="E742" s="56"/>
      <c r="F742" s="56"/>
      <c r="G742" s="56"/>
      <c r="H742" s="56"/>
      <c r="I742" s="56"/>
      <c r="J742" s="56"/>
      <c r="K742" s="56"/>
      <c r="L742" s="56"/>
      <c r="M742" s="56"/>
      <c r="N742" s="56"/>
      <c r="O742" s="56"/>
      <c r="P742" s="56"/>
      <c r="Q742" s="56"/>
      <c r="R742" s="56"/>
      <c r="S742" s="56"/>
      <c r="T742" s="56"/>
      <c r="U742" s="56"/>
      <c r="V742" s="56"/>
      <c r="W742" s="56"/>
      <c r="X742" s="56"/>
      <c r="Y742" s="56"/>
      <c r="Z742" s="56"/>
      <c r="AA742" s="56"/>
    </row>
    <row r="743" spans="1:27" ht="15.75" customHeight="1" x14ac:dyDescent="0.25">
      <c r="A743" s="61"/>
      <c r="B743" s="61"/>
      <c r="C743" s="61"/>
      <c r="D743" s="56"/>
      <c r="E743" s="56"/>
      <c r="F743" s="56"/>
      <c r="G743" s="56"/>
      <c r="H743" s="56"/>
      <c r="I743" s="56"/>
      <c r="J743" s="56"/>
      <c r="K743" s="56"/>
      <c r="L743" s="56"/>
      <c r="M743" s="56"/>
      <c r="N743" s="56"/>
      <c r="O743" s="56"/>
      <c r="P743" s="56"/>
      <c r="Q743" s="56"/>
      <c r="R743" s="56"/>
      <c r="S743" s="56"/>
      <c r="T743" s="56"/>
      <c r="U743" s="56"/>
      <c r="V743" s="56"/>
      <c r="W743" s="56"/>
      <c r="X743" s="56"/>
      <c r="Y743" s="56"/>
      <c r="Z743" s="56"/>
      <c r="AA743" s="56"/>
    </row>
    <row r="744" spans="1:27" ht="15.75" customHeight="1" x14ac:dyDescent="0.25">
      <c r="A744" s="61"/>
      <c r="B744" s="61"/>
      <c r="C744" s="61"/>
      <c r="D744" s="56"/>
      <c r="E744" s="56"/>
      <c r="F744" s="56"/>
      <c r="G744" s="56"/>
      <c r="H744" s="56"/>
      <c r="I744" s="56"/>
      <c r="J744" s="56"/>
      <c r="K744" s="56"/>
      <c r="L744" s="56"/>
      <c r="M744" s="56"/>
      <c r="N744" s="56"/>
      <c r="O744" s="56"/>
      <c r="P744" s="56"/>
      <c r="Q744" s="56"/>
      <c r="R744" s="56"/>
      <c r="S744" s="56"/>
      <c r="T744" s="56"/>
      <c r="U744" s="56"/>
      <c r="V744" s="56"/>
      <c r="W744" s="56"/>
      <c r="X744" s="56"/>
      <c r="Y744" s="56"/>
      <c r="Z744" s="56"/>
      <c r="AA744" s="56"/>
    </row>
    <row r="745" spans="1:27" ht="15.75" customHeight="1" x14ac:dyDescent="0.25">
      <c r="A745" s="61"/>
      <c r="B745" s="61"/>
      <c r="C745" s="61"/>
      <c r="D745" s="56"/>
      <c r="E745" s="56"/>
      <c r="F745" s="56"/>
      <c r="G745" s="56"/>
      <c r="H745" s="56"/>
      <c r="I745" s="56"/>
      <c r="J745" s="56"/>
      <c r="K745" s="56"/>
      <c r="L745" s="56"/>
      <c r="M745" s="56"/>
      <c r="N745" s="56"/>
      <c r="O745" s="56"/>
      <c r="P745" s="56"/>
      <c r="Q745" s="56"/>
      <c r="R745" s="56"/>
      <c r="S745" s="56"/>
      <c r="T745" s="56"/>
      <c r="U745" s="56"/>
      <c r="V745" s="56"/>
      <c r="W745" s="56"/>
      <c r="X745" s="56"/>
      <c r="Y745" s="56"/>
      <c r="Z745" s="56"/>
      <c r="AA745" s="56"/>
    </row>
    <row r="746" spans="1:27" ht="15.75" customHeight="1" x14ac:dyDescent="0.25">
      <c r="A746" s="61"/>
      <c r="B746" s="61"/>
      <c r="C746" s="61"/>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row>
    <row r="747" spans="1:27" ht="15.75" customHeight="1" x14ac:dyDescent="0.25">
      <c r="A747" s="61"/>
      <c r="B747" s="61"/>
      <c r="C747" s="61"/>
      <c r="D747" s="56"/>
      <c r="E747" s="56"/>
      <c r="F747" s="56"/>
      <c r="G747" s="56"/>
      <c r="H747" s="56"/>
      <c r="I747" s="56"/>
      <c r="J747" s="56"/>
      <c r="K747" s="56"/>
      <c r="L747" s="56"/>
      <c r="M747" s="56"/>
      <c r="N747" s="56"/>
      <c r="O747" s="56"/>
      <c r="P747" s="56"/>
      <c r="Q747" s="56"/>
      <c r="R747" s="56"/>
      <c r="S747" s="56"/>
      <c r="T747" s="56"/>
      <c r="U747" s="56"/>
      <c r="V747" s="56"/>
      <c r="W747" s="56"/>
      <c r="X747" s="56"/>
      <c r="Y747" s="56"/>
      <c r="Z747" s="56"/>
      <c r="AA747" s="56"/>
    </row>
    <row r="748" spans="1:27" ht="15.75" customHeight="1" x14ac:dyDescent="0.25">
      <c r="A748" s="61"/>
      <c r="B748" s="61"/>
      <c r="C748" s="61"/>
      <c r="D748" s="56"/>
      <c r="E748" s="56"/>
      <c r="F748" s="56"/>
      <c r="G748" s="56"/>
      <c r="H748" s="56"/>
      <c r="I748" s="56"/>
      <c r="J748" s="56"/>
      <c r="K748" s="56"/>
      <c r="L748" s="56"/>
      <c r="M748" s="56"/>
      <c r="N748" s="56"/>
      <c r="O748" s="56"/>
      <c r="P748" s="56"/>
      <c r="Q748" s="56"/>
      <c r="R748" s="56"/>
      <c r="S748" s="56"/>
      <c r="T748" s="56"/>
      <c r="U748" s="56"/>
      <c r="V748" s="56"/>
      <c r="W748" s="56"/>
      <c r="X748" s="56"/>
      <c r="Y748" s="56"/>
      <c r="Z748" s="56"/>
      <c r="AA748" s="56"/>
    </row>
    <row r="749" spans="1:27" ht="15.75" customHeight="1" x14ac:dyDescent="0.25">
      <c r="A749" s="61"/>
      <c r="B749" s="61"/>
      <c r="C749" s="61"/>
      <c r="D749" s="56"/>
      <c r="E749" s="56"/>
      <c r="F749" s="56"/>
      <c r="G749" s="56"/>
      <c r="H749" s="56"/>
      <c r="I749" s="56"/>
      <c r="J749" s="56"/>
      <c r="K749" s="56"/>
      <c r="L749" s="56"/>
      <c r="M749" s="56"/>
      <c r="N749" s="56"/>
      <c r="O749" s="56"/>
      <c r="P749" s="56"/>
      <c r="Q749" s="56"/>
      <c r="R749" s="56"/>
      <c r="S749" s="56"/>
      <c r="T749" s="56"/>
      <c r="U749" s="56"/>
      <c r="V749" s="56"/>
      <c r="W749" s="56"/>
      <c r="X749" s="56"/>
      <c r="Y749" s="56"/>
      <c r="Z749" s="56"/>
      <c r="AA749" s="56"/>
    </row>
    <row r="750" spans="1:27" ht="15.75" customHeight="1" x14ac:dyDescent="0.25">
      <c r="A750" s="61"/>
      <c r="B750" s="61"/>
      <c r="C750" s="61"/>
      <c r="D750" s="56"/>
      <c r="E750" s="56"/>
      <c r="F750" s="56"/>
      <c r="G750" s="56"/>
      <c r="H750" s="56"/>
      <c r="I750" s="56"/>
      <c r="J750" s="56"/>
      <c r="K750" s="56"/>
      <c r="L750" s="56"/>
      <c r="M750" s="56"/>
      <c r="N750" s="56"/>
      <c r="O750" s="56"/>
      <c r="P750" s="56"/>
      <c r="Q750" s="56"/>
      <c r="R750" s="56"/>
      <c r="S750" s="56"/>
      <c r="T750" s="56"/>
      <c r="U750" s="56"/>
      <c r="V750" s="56"/>
      <c r="W750" s="56"/>
      <c r="X750" s="56"/>
      <c r="Y750" s="56"/>
      <c r="Z750" s="56"/>
      <c r="AA750" s="56"/>
    </row>
    <row r="751" spans="1:27" ht="15.75" customHeight="1" x14ac:dyDescent="0.25">
      <c r="A751" s="61"/>
      <c r="B751" s="61"/>
      <c r="C751" s="61"/>
      <c r="D751" s="56"/>
      <c r="E751" s="56"/>
      <c r="F751" s="56"/>
      <c r="G751" s="56"/>
      <c r="H751" s="56"/>
      <c r="I751" s="56"/>
      <c r="J751" s="56"/>
      <c r="K751" s="56"/>
      <c r="L751" s="56"/>
      <c r="M751" s="56"/>
      <c r="N751" s="56"/>
      <c r="O751" s="56"/>
      <c r="P751" s="56"/>
      <c r="Q751" s="56"/>
      <c r="R751" s="56"/>
      <c r="S751" s="56"/>
      <c r="T751" s="56"/>
      <c r="U751" s="56"/>
      <c r="V751" s="56"/>
      <c r="W751" s="56"/>
      <c r="X751" s="56"/>
      <c r="Y751" s="56"/>
      <c r="Z751" s="56"/>
      <c r="AA751" s="56"/>
    </row>
    <row r="752" spans="1:27" ht="15.75" customHeight="1" x14ac:dyDescent="0.25">
      <c r="A752" s="61"/>
      <c r="B752" s="61"/>
      <c r="C752" s="61"/>
      <c r="D752" s="56"/>
      <c r="E752" s="56"/>
      <c r="F752" s="56"/>
      <c r="G752" s="56"/>
      <c r="H752" s="56"/>
      <c r="I752" s="56"/>
      <c r="J752" s="56"/>
      <c r="K752" s="56"/>
      <c r="L752" s="56"/>
      <c r="M752" s="56"/>
      <c r="N752" s="56"/>
      <c r="O752" s="56"/>
      <c r="P752" s="56"/>
      <c r="Q752" s="56"/>
      <c r="R752" s="56"/>
      <c r="S752" s="56"/>
      <c r="T752" s="56"/>
      <c r="U752" s="56"/>
      <c r="V752" s="56"/>
      <c r="W752" s="56"/>
      <c r="X752" s="56"/>
      <c r="Y752" s="56"/>
      <c r="Z752" s="56"/>
      <c r="AA752" s="56"/>
    </row>
    <row r="753" spans="1:27" ht="15.75" customHeight="1" x14ac:dyDescent="0.25">
      <c r="A753" s="61"/>
      <c r="B753" s="61"/>
      <c r="C753" s="61"/>
      <c r="D753" s="56"/>
      <c r="E753" s="56"/>
      <c r="F753" s="56"/>
      <c r="G753" s="56"/>
      <c r="H753" s="56"/>
      <c r="I753" s="56"/>
      <c r="J753" s="56"/>
      <c r="K753" s="56"/>
      <c r="L753" s="56"/>
      <c r="M753" s="56"/>
      <c r="N753" s="56"/>
      <c r="O753" s="56"/>
      <c r="P753" s="56"/>
      <c r="Q753" s="56"/>
      <c r="R753" s="56"/>
      <c r="S753" s="56"/>
      <c r="T753" s="56"/>
      <c r="U753" s="56"/>
      <c r="V753" s="56"/>
      <c r="W753" s="56"/>
      <c r="X753" s="56"/>
      <c r="Y753" s="56"/>
      <c r="Z753" s="56"/>
      <c r="AA753" s="56"/>
    </row>
    <row r="754" spans="1:27" ht="15.75" customHeight="1" x14ac:dyDescent="0.25">
      <c r="A754" s="61"/>
      <c r="B754" s="61"/>
      <c r="C754" s="61"/>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row>
    <row r="755" spans="1:27" ht="15.75" customHeight="1" x14ac:dyDescent="0.25">
      <c r="A755" s="61"/>
      <c r="B755" s="61"/>
      <c r="C755" s="61"/>
      <c r="D755" s="56"/>
      <c r="E755" s="56"/>
      <c r="F755" s="56"/>
      <c r="G755" s="56"/>
      <c r="H755" s="56"/>
      <c r="I755" s="56"/>
      <c r="J755" s="56"/>
      <c r="K755" s="56"/>
      <c r="L755" s="56"/>
      <c r="M755" s="56"/>
      <c r="N755" s="56"/>
      <c r="O755" s="56"/>
      <c r="P755" s="56"/>
      <c r="Q755" s="56"/>
      <c r="R755" s="56"/>
      <c r="S755" s="56"/>
      <c r="T755" s="56"/>
      <c r="U755" s="56"/>
      <c r="V755" s="56"/>
      <c r="W755" s="56"/>
      <c r="X755" s="56"/>
      <c r="Y755" s="56"/>
      <c r="Z755" s="56"/>
      <c r="AA755" s="56"/>
    </row>
    <row r="756" spans="1:27" ht="15.75" customHeight="1" x14ac:dyDescent="0.25">
      <c r="A756" s="61"/>
      <c r="B756" s="61"/>
      <c r="C756" s="61"/>
      <c r="D756" s="56"/>
      <c r="E756" s="56"/>
      <c r="F756" s="56"/>
      <c r="G756" s="56"/>
      <c r="H756" s="56"/>
      <c r="I756" s="56"/>
      <c r="J756" s="56"/>
      <c r="K756" s="56"/>
      <c r="L756" s="56"/>
      <c r="M756" s="56"/>
      <c r="N756" s="56"/>
      <c r="O756" s="56"/>
      <c r="P756" s="56"/>
      <c r="Q756" s="56"/>
      <c r="R756" s="56"/>
      <c r="S756" s="56"/>
      <c r="T756" s="56"/>
      <c r="U756" s="56"/>
      <c r="V756" s="56"/>
      <c r="W756" s="56"/>
      <c r="X756" s="56"/>
      <c r="Y756" s="56"/>
      <c r="Z756" s="56"/>
      <c r="AA756" s="56"/>
    </row>
    <row r="757" spans="1:27" ht="15.75" customHeight="1" x14ac:dyDescent="0.25">
      <c r="A757" s="61"/>
      <c r="B757" s="61"/>
      <c r="C757" s="61"/>
      <c r="D757" s="56"/>
      <c r="E757" s="56"/>
      <c r="F757" s="56"/>
      <c r="G757" s="56"/>
      <c r="H757" s="56"/>
      <c r="I757" s="56"/>
      <c r="J757" s="56"/>
      <c r="K757" s="56"/>
      <c r="L757" s="56"/>
      <c r="M757" s="56"/>
      <c r="N757" s="56"/>
      <c r="O757" s="56"/>
      <c r="P757" s="56"/>
      <c r="Q757" s="56"/>
      <c r="R757" s="56"/>
      <c r="S757" s="56"/>
      <c r="T757" s="56"/>
      <c r="U757" s="56"/>
      <c r="V757" s="56"/>
      <c r="W757" s="56"/>
      <c r="X757" s="56"/>
      <c r="Y757" s="56"/>
      <c r="Z757" s="56"/>
      <c r="AA757" s="56"/>
    </row>
    <row r="758" spans="1:27" ht="15.75" customHeight="1" x14ac:dyDescent="0.25">
      <c r="A758" s="61"/>
      <c r="B758" s="61"/>
      <c r="C758" s="61"/>
      <c r="D758" s="56"/>
      <c r="E758" s="56"/>
      <c r="F758" s="56"/>
      <c r="G758" s="56"/>
      <c r="H758" s="56"/>
      <c r="I758" s="56"/>
      <c r="J758" s="56"/>
      <c r="K758" s="56"/>
      <c r="L758" s="56"/>
      <c r="M758" s="56"/>
      <c r="N758" s="56"/>
      <c r="O758" s="56"/>
      <c r="P758" s="56"/>
      <c r="Q758" s="56"/>
      <c r="R758" s="56"/>
      <c r="S758" s="56"/>
      <c r="T758" s="56"/>
      <c r="U758" s="56"/>
      <c r="V758" s="56"/>
      <c r="W758" s="56"/>
      <c r="X758" s="56"/>
      <c r="Y758" s="56"/>
      <c r="Z758" s="56"/>
      <c r="AA758" s="56"/>
    </row>
    <row r="759" spans="1:27" ht="15.75" customHeight="1" x14ac:dyDescent="0.25">
      <c r="A759" s="61"/>
      <c r="B759" s="61"/>
      <c r="C759" s="61"/>
      <c r="D759" s="56"/>
      <c r="E759" s="56"/>
      <c r="F759" s="56"/>
      <c r="G759" s="56"/>
      <c r="H759" s="56"/>
      <c r="I759" s="56"/>
      <c r="J759" s="56"/>
      <c r="K759" s="56"/>
      <c r="L759" s="56"/>
      <c r="M759" s="56"/>
      <c r="N759" s="56"/>
      <c r="O759" s="56"/>
      <c r="P759" s="56"/>
      <c r="Q759" s="56"/>
      <c r="R759" s="56"/>
      <c r="S759" s="56"/>
      <c r="T759" s="56"/>
      <c r="U759" s="56"/>
      <c r="V759" s="56"/>
      <c r="W759" s="56"/>
      <c r="X759" s="56"/>
      <c r="Y759" s="56"/>
      <c r="Z759" s="56"/>
      <c r="AA759" s="56"/>
    </row>
    <row r="760" spans="1:27" ht="15.75" customHeight="1" x14ac:dyDescent="0.25">
      <c r="A760" s="61"/>
      <c r="B760" s="61"/>
      <c r="C760" s="61"/>
      <c r="D760" s="56"/>
      <c r="E760" s="56"/>
      <c r="F760" s="56"/>
      <c r="G760" s="56"/>
      <c r="H760" s="56"/>
      <c r="I760" s="56"/>
      <c r="J760" s="56"/>
      <c r="K760" s="56"/>
      <c r="L760" s="56"/>
      <c r="M760" s="56"/>
      <c r="N760" s="56"/>
      <c r="O760" s="56"/>
      <c r="P760" s="56"/>
      <c r="Q760" s="56"/>
      <c r="R760" s="56"/>
      <c r="S760" s="56"/>
      <c r="T760" s="56"/>
      <c r="U760" s="56"/>
      <c r="V760" s="56"/>
      <c r="W760" s="56"/>
      <c r="X760" s="56"/>
      <c r="Y760" s="56"/>
      <c r="Z760" s="56"/>
      <c r="AA760" s="56"/>
    </row>
    <row r="761" spans="1:27" ht="15.75" customHeight="1" x14ac:dyDescent="0.25">
      <c r="A761" s="61"/>
      <c r="B761" s="61"/>
      <c r="C761" s="61"/>
      <c r="D761" s="56"/>
      <c r="E761" s="56"/>
      <c r="F761" s="56"/>
      <c r="G761" s="56"/>
      <c r="H761" s="56"/>
      <c r="I761" s="56"/>
      <c r="J761" s="56"/>
      <c r="K761" s="56"/>
      <c r="L761" s="56"/>
      <c r="M761" s="56"/>
      <c r="N761" s="56"/>
      <c r="O761" s="56"/>
      <c r="P761" s="56"/>
      <c r="Q761" s="56"/>
      <c r="R761" s="56"/>
      <c r="S761" s="56"/>
      <c r="T761" s="56"/>
      <c r="U761" s="56"/>
      <c r="V761" s="56"/>
      <c r="W761" s="56"/>
      <c r="X761" s="56"/>
      <c r="Y761" s="56"/>
      <c r="Z761" s="56"/>
      <c r="AA761" s="56"/>
    </row>
    <row r="762" spans="1:27" ht="15.75" customHeight="1" x14ac:dyDescent="0.25">
      <c r="A762" s="61"/>
      <c r="B762" s="61"/>
      <c r="C762" s="61"/>
      <c r="D762" s="56"/>
      <c r="E762" s="56"/>
      <c r="F762" s="56"/>
      <c r="G762" s="56"/>
      <c r="H762" s="56"/>
      <c r="I762" s="56"/>
      <c r="J762" s="56"/>
      <c r="K762" s="56"/>
      <c r="L762" s="56"/>
      <c r="M762" s="56"/>
      <c r="N762" s="56"/>
      <c r="O762" s="56"/>
      <c r="P762" s="56"/>
      <c r="Q762" s="56"/>
      <c r="R762" s="56"/>
      <c r="S762" s="56"/>
      <c r="T762" s="56"/>
      <c r="U762" s="56"/>
      <c r="V762" s="56"/>
      <c r="W762" s="56"/>
      <c r="X762" s="56"/>
      <c r="Y762" s="56"/>
      <c r="Z762" s="56"/>
      <c r="AA762" s="56"/>
    </row>
    <row r="763" spans="1:27" ht="15.75" customHeight="1" x14ac:dyDescent="0.25">
      <c r="A763" s="61"/>
      <c r="B763" s="61"/>
      <c r="C763" s="61"/>
      <c r="D763" s="56"/>
      <c r="E763" s="56"/>
      <c r="F763" s="56"/>
      <c r="G763" s="56"/>
      <c r="H763" s="56"/>
      <c r="I763" s="56"/>
      <c r="J763" s="56"/>
      <c r="K763" s="56"/>
      <c r="L763" s="56"/>
      <c r="M763" s="56"/>
      <c r="N763" s="56"/>
      <c r="O763" s="56"/>
      <c r="P763" s="56"/>
      <c r="Q763" s="56"/>
      <c r="R763" s="56"/>
      <c r="S763" s="56"/>
      <c r="T763" s="56"/>
      <c r="U763" s="56"/>
      <c r="V763" s="56"/>
      <c r="W763" s="56"/>
      <c r="X763" s="56"/>
      <c r="Y763" s="56"/>
      <c r="Z763" s="56"/>
      <c r="AA763" s="56"/>
    </row>
    <row r="764" spans="1:27" ht="15.75" customHeight="1" x14ac:dyDescent="0.25">
      <c r="A764" s="61"/>
      <c r="B764" s="61"/>
      <c r="C764" s="61"/>
      <c r="D764" s="56"/>
      <c r="E764" s="56"/>
      <c r="F764" s="56"/>
      <c r="G764" s="56"/>
      <c r="H764" s="56"/>
      <c r="I764" s="56"/>
      <c r="J764" s="56"/>
      <c r="K764" s="56"/>
      <c r="L764" s="56"/>
      <c r="M764" s="56"/>
      <c r="N764" s="56"/>
      <c r="O764" s="56"/>
      <c r="P764" s="56"/>
      <c r="Q764" s="56"/>
      <c r="R764" s="56"/>
      <c r="S764" s="56"/>
      <c r="T764" s="56"/>
      <c r="U764" s="56"/>
      <c r="V764" s="56"/>
      <c r="W764" s="56"/>
      <c r="X764" s="56"/>
      <c r="Y764" s="56"/>
      <c r="Z764" s="56"/>
      <c r="AA764" s="56"/>
    </row>
    <row r="765" spans="1:27" ht="15.75" customHeight="1" x14ac:dyDescent="0.25">
      <c r="A765" s="61"/>
      <c r="B765" s="61"/>
      <c r="C765" s="61"/>
      <c r="D765" s="56"/>
      <c r="E765" s="56"/>
      <c r="F765" s="56"/>
      <c r="G765" s="56"/>
      <c r="H765" s="56"/>
      <c r="I765" s="56"/>
      <c r="J765" s="56"/>
      <c r="K765" s="56"/>
      <c r="L765" s="56"/>
      <c r="M765" s="56"/>
      <c r="N765" s="56"/>
      <c r="O765" s="56"/>
      <c r="P765" s="56"/>
      <c r="Q765" s="56"/>
      <c r="R765" s="56"/>
      <c r="S765" s="56"/>
      <c r="T765" s="56"/>
      <c r="U765" s="56"/>
      <c r="V765" s="56"/>
      <c r="W765" s="56"/>
      <c r="X765" s="56"/>
      <c r="Y765" s="56"/>
      <c r="Z765" s="56"/>
      <c r="AA765" s="56"/>
    </row>
    <row r="766" spans="1:27" ht="15.75" customHeight="1" x14ac:dyDescent="0.25">
      <c r="A766" s="61"/>
      <c r="B766" s="61"/>
      <c r="C766" s="61"/>
      <c r="D766" s="56"/>
      <c r="E766" s="56"/>
      <c r="F766" s="56"/>
      <c r="G766" s="56"/>
      <c r="H766" s="56"/>
      <c r="I766" s="56"/>
      <c r="J766" s="56"/>
      <c r="K766" s="56"/>
      <c r="L766" s="56"/>
      <c r="M766" s="56"/>
      <c r="N766" s="56"/>
      <c r="O766" s="56"/>
      <c r="P766" s="56"/>
      <c r="Q766" s="56"/>
      <c r="R766" s="56"/>
      <c r="S766" s="56"/>
      <c r="T766" s="56"/>
      <c r="U766" s="56"/>
      <c r="V766" s="56"/>
      <c r="W766" s="56"/>
      <c r="X766" s="56"/>
      <c r="Y766" s="56"/>
      <c r="Z766" s="56"/>
      <c r="AA766" s="56"/>
    </row>
    <row r="767" spans="1:27" ht="15.75" customHeight="1" x14ac:dyDescent="0.25">
      <c r="A767" s="61"/>
      <c r="B767" s="61"/>
      <c r="C767" s="61"/>
      <c r="D767" s="56"/>
      <c r="E767" s="56"/>
      <c r="F767" s="56"/>
      <c r="G767" s="56"/>
      <c r="H767" s="56"/>
      <c r="I767" s="56"/>
      <c r="J767" s="56"/>
      <c r="K767" s="56"/>
      <c r="L767" s="56"/>
      <c r="M767" s="56"/>
      <c r="N767" s="56"/>
      <c r="O767" s="56"/>
      <c r="P767" s="56"/>
      <c r="Q767" s="56"/>
      <c r="R767" s="56"/>
      <c r="S767" s="56"/>
      <c r="T767" s="56"/>
      <c r="U767" s="56"/>
      <c r="V767" s="56"/>
      <c r="W767" s="56"/>
      <c r="X767" s="56"/>
      <c r="Y767" s="56"/>
      <c r="Z767" s="56"/>
      <c r="AA767" s="56"/>
    </row>
    <row r="768" spans="1:27" ht="15.75" customHeight="1" x14ac:dyDescent="0.25">
      <c r="A768" s="61"/>
      <c r="B768" s="61"/>
      <c r="C768" s="61"/>
      <c r="D768" s="56"/>
      <c r="E768" s="56"/>
      <c r="F768" s="56"/>
      <c r="G768" s="56"/>
      <c r="H768" s="56"/>
      <c r="I768" s="56"/>
      <c r="J768" s="56"/>
      <c r="K768" s="56"/>
      <c r="L768" s="56"/>
      <c r="M768" s="56"/>
      <c r="N768" s="56"/>
      <c r="O768" s="56"/>
      <c r="P768" s="56"/>
      <c r="Q768" s="56"/>
      <c r="R768" s="56"/>
      <c r="S768" s="56"/>
      <c r="T768" s="56"/>
      <c r="U768" s="56"/>
      <c r="V768" s="56"/>
      <c r="W768" s="56"/>
      <c r="X768" s="56"/>
      <c r="Y768" s="56"/>
      <c r="Z768" s="56"/>
      <c r="AA768" s="56"/>
    </row>
    <row r="769" spans="1:27" ht="15.75" customHeight="1" x14ac:dyDescent="0.25">
      <c r="A769" s="61"/>
      <c r="B769" s="61"/>
      <c r="C769" s="61"/>
      <c r="D769" s="56"/>
      <c r="E769" s="56"/>
      <c r="F769" s="56"/>
      <c r="G769" s="56"/>
      <c r="H769" s="56"/>
      <c r="I769" s="56"/>
      <c r="J769" s="56"/>
      <c r="K769" s="56"/>
      <c r="L769" s="56"/>
      <c r="M769" s="56"/>
      <c r="N769" s="56"/>
      <c r="O769" s="56"/>
      <c r="P769" s="56"/>
      <c r="Q769" s="56"/>
      <c r="R769" s="56"/>
      <c r="S769" s="56"/>
      <c r="T769" s="56"/>
      <c r="U769" s="56"/>
      <c r="V769" s="56"/>
      <c r="W769" s="56"/>
      <c r="X769" s="56"/>
      <c r="Y769" s="56"/>
      <c r="Z769" s="56"/>
      <c r="AA769" s="56"/>
    </row>
    <row r="770" spans="1:27" ht="15.75" customHeight="1" x14ac:dyDescent="0.25">
      <c r="A770" s="61"/>
      <c r="B770" s="61"/>
      <c r="C770" s="61"/>
      <c r="D770" s="56"/>
      <c r="E770" s="56"/>
      <c r="F770" s="56"/>
      <c r="G770" s="56"/>
      <c r="H770" s="56"/>
      <c r="I770" s="56"/>
      <c r="J770" s="56"/>
      <c r="K770" s="56"/>
      <c r="L770" s="56"/>
      <c r="M770" s="56"/>
      <c r="N770" s="56"/>
      <c r="O770" s="56"/>
      <c r="P770" s="56"/>
      <c r="Q770" s="56"/>
      <c r="R770" s="56"/>
      <c r="S770" s="56"/>
      <c r="T770" s="56"/>
      <c r="U770" s="56"/>
      <c r="V770" s="56"/>
      <c r="W770" s="56"/>
      <c r="X770" s="56"/>
      <c r="Y770" s="56"/>
      <c r="Z770" s="56"/>
      <c r="AA770" s="56"/>
    </row>
    <row r="771" spans="1:27" ht="15.75" customHeight="1" x14ac:dyDescent="0.25">
      <c r="A771" s="61"/>
      <c r="B771" s="61"/>
      <c r="C771" s="61"/>
      <c r="D771" s="56"/>
      <c r="E771" s="56"/>
      <c r="F771" s="56"/>
      <c r="G771" s="56"/>
      <c r="H771" s="56"/>
      <c r="I771" s="56"/>
      <c r="J771" s="56"/>
      <c r="K771" s="56"/>
      <c r="L771" s="56"/>
      <c r="M771" s="56"/>
      <c r="N771" s="56"/>
      <c r="O771" s="56"/>
      <c r="P771" s="56"/>
      <c r="Q771" s="56"/>
      <c r="R771" s="56"/>
      <c r="S771" s="56"/>
      <c r="T771" s="56"/>
      <c r="U771" s="56"/>
      <c r="V771" s="56"/>
      <c r="W771" s="56"/>
      <c r="X771" s="56"/>
      <c r="Y771" s="56"/>
      <c r="Z771" s="56"/>
      <c r="AA771" s="56"/>
    </row>
    <row r="772" spans="1:27" ht="15.75" customHeight="1" x14ac:dyDescent="0.25">
      <c r="A772" s="61"/>
      <c r="B772" s="61"/>
      <c r="C772" s="61"/>
      <c r="D772" s="56"/>
      <c r="E772" s="56"/>
      <c r="F772" s="56"/>
      <c r="G772" s="56"/>
      <c r="H772" s="56"/>
      <c r="I772" s="56"/>
      <c r="J772" s="56"/>
      <c r="K772" s="56"/>
      <c r="L772" s="56"/>
      <c r="M772" s="56"/>
      <c r="N772" s="56"/>
      <c r="O772" s="56"/>
      <c r="P772" s="56"/>
      <c r="Q772" s="56"/>
      <c r="R772" s="56"/>
      <c r="S772" s="56"/>
      <c r="T772" s="56"/>
      <c r="U772" s="56"/>
      <c r="V772" s="56"/>
      <c r="W772" s="56"/>
      <c r="X772" s="56"/>
      <c r="Y772" s="56"/>
      <c r="Z772" s="56"/>
      <c r="AA772" s="56"/>
    </row>
    <row r="773" spans="1:27" ht="15.75" customHeight="1" x14ac:dyDescent="0.25">
      <c r="A773" s="61"/>
      <c r="B773" s="61"/>
      <c r="C773" s="61"/>
      <c r="D773" s="56"/>
      <c r="E773" s="56"/>
      <c r="F773" s="56"/>
      <c r="G773" s="56"/>
      <c r="H773" s="56"/>
      <c r="I773" s="56"/>
      <c r="J773" s="56"/>
      <c r="K773" s="56"/>
      <c r="L773" s="56"/>
      <c r="M773" s="56"/>
      <c r="N773" s="56"/>
      <c r="O773" s="56"/>
      <c r="P773" s="56"/>
      <c r="Q773" s="56"/>
      <c r="R773" s="56"/>
      <c r="S773" s="56"/>
      <c r="T773" s="56"/>
      <c r="U773" s="56"/>
      <c r="V773" s="56"/>
      <c r="W773" s="56"/>
      <c r="X773" s="56"/>
      <c r="Y773" s="56"/>
      <c r="Z773" s="56"/>
      <c r="AA773" s="56"/>
    </row>
    <row r="774" spans="1:27" ht="15.75" customHeight="1" x14ac:dyDescent="0.25">
      <c r="A774" s="61"/>
      <c r="B774" s="61"/>
      <c r="C774" s="61"/>
      <c r="D774" s="56"/>
      <c r="E774" s="56"/>
      <c r="F774" s="56"/>
      <c r="G774" s="56"/>
      <c r="H774" s="56"/>
      <c r="I774" s="56"/>
      <c r="J774" s="56"/>
      <c r="K774" s="56"/>
      <c r="L774" s="56"/>
      <c r="M774" s="56"/>
      <c r="N774" s="56"/>
      <c r="O774" s="56"/>
      <c r="P774" s="56"/>
      <c r="Q774" s="56"/>
      <c r="R774" s="56"/>
      <c r="S774" s="56"/>
      <c r="T774" s="56"/>
      <c r="U774" s="56"/>
      <c r="V774" s="56"/>
      <c r="W774" s="56"/>
      <c r="X774" s="56"/>
      <c r="Y774" s="56"/>
      <c r="Z774" s="56"/>
      <c r="AA774" s="56"/>
    </row>
    <row r="775" spans="1:27" ht="15.75" customHeight="1" x14ac:dyDescent="0.25">
      <c r="A775" s="61"/>
      <c r="B775" s="61"/>
      <c r="C775" s="61"/>
      <c r="D775" s="56"/>
      <c r="E775" s="56"/>
      <c r="F775" s="56"/>
      <c r="G775" s="56"/>
      <c r="H775" s="56"/>
      <c r="I775" s="56"/>
      <c r="J775" s="56"/>
      <c r="K775" s="56"/>
      <c r="L775" s="56"/>
      <c r="M775" s="56"/>
      <c r="N775" s="56"/>
      <c r="O775" s="56"/>
      <c r="P775" s="56"/>
      <c r="Q775" s="56"/>
      <c r="R775" s="56"/>
      <c r="S775" s="56"/>
      <c r="T775" s="56"/>
      <c r="U775" s="56"/>
      <c r="V775" s="56"/>
      <c r="W775" s="56"/>
      <c r="X775" s="56"/>
      <c r="Y775" s="56"/>
      <c r="Z775" s="56"/>
      <c r="AA775" s="56"/>
    </row>
    <row r="776" spans="1:27" ht="15.75" customHeight="1" x14ac:dyDescent="0.25">
      <c r="A776" s="61"/>
      <c r="B776" s="61"/>
      <c r="C776" s="61"/>
      <c r="D776" s="56"/>
      <c r="E776" s="56"/>
      <c r="F776" s="56"/>
      <c r="G776" s="56"/>
      <c r="H776" s="56"/>
      <c r="I776" s="56"/>
      <c r="J776" s="56"/>
      <c r="K776" s="56"/>
      <c r="L776" s="56"/>
      <c r="M776" s="56"/>
      <c r="N776" s="56"/>
      <c r="O776" s="56"/>
      <c r="P776" s="56"/>
      <c r="Q776" s="56"/>
      <c r="R776" s="56"/>
      <c r="S776" s="56"/>
      <c r="T776" s="56"/>
      <c r="U776" s="56"/>
      <c r="V776" s="56"/>
      <c r="W776" s="56"/>
      <c r="X776" s="56"/>
      <c r="Y776" s="56"/>
      <c r="Z776" s="56"/>
      <c r="AA776" s="56"/>
    </row>
    <row r="777" spans="1:27" ht="15.75" customHeight="1" x14ac:dyDescent="0.25">
      <c r="A777" s="61"/>
      <c r="B777" s="61"/>
      <c r="C777" s="61"/>
      <c r="D777" s="56"/>
      <c r="E777" s="56"/>
      <c r="F777" s="56"/>
      <c r="G777" s="56"/>
      <c r="H777" s="56"/>
      <c r="I777" s="56"/>
      <c r="J777" s="56"/>
      <c r="K777" s="56"/>
      <c r="L777" s="56"/>
      <c r="M777" s="56"/>
      <c r="N777" s="56"/>
      <c r="O777" s="56"/>
      <c r="P777" s="56"/>
      <c r="Q777" s="56"/>
      <c r="R777" s="56"/>
      <c r="S777" s="56"/>
      <c r="T777" s="56"/>
      <c r="U777" s="56"/>
      <c r="V777" s="56"/>
      <c r="W777" s="56"/>
      <c r="X777" s="56"/>
      <c r="Y777" s="56"/>
      <c r="Z777" s="56"/>
      <c r="AA777" s="56"/>
    </row>
    <row r="778" spans="1:27" ht="15.75" customHeight="1" x14ac:dyDescent="0.25">
      <c r="A778" s="61"/>
      <c r="B778" s="61"/>
      <c r="C778" s="61"/>
      <c r="D778" s="56"/>
      <c r="E778" s="56"/>
      <c r="F778" s="56"/>
      <c r="G778" s="56"/>
      <c r="H778" s="56"/>
      <c r="I778" s="56"/>
      <c r="J778" s="56"/>
      <c r="K778" s="56"/>
      <c r="L778" s="56"/>
      <c r="M778" s="56"/>
      <c r="N778" s="56"/>
      <c r="O778" s="56"/>
      <c r="P778" s="56"/>
      <c r="Q778" s="56"/>
      <c r="R778" s="56"/>
      <c r="S778" s="56"/>
      <c r="T778" s="56"/>
      <c r="U778" s="56"/>
      <c r="V778" s="56"/>
      <c r="W778" s="56"/>
      <c r="X778" s="56"/>
      <c r="Y778" s="56"/>
      <c r="Z778" s="56"/>
      <c r="AA778" s="56"/>
    </row>
    <row r="779" spans="1:27" ht="15.75" customHeight="1" x14ac:dyDescent="0.25">
      <c r="A779" s="61"/>
      <c r="B779" s="61"/>
      <c r="C779" s="61"/>
      <c r="D779" s="56"/>
      <c r="E779" s="56"/>
      <c r="F779" s="56"/>
      <c r="G779" s="56"/>
      <c r="H779" s="56"/>
      <c r="I779" s="56"/>
      <c r="J779" s="56"/>
      <c r="K779" s="56"/>
      <c r="L779" s="56"/>
      <c r="M779" s="56"/>
      <c r="N779" s="56"/>
      <c r="O779" s="56"/>
      <c r="P779" s="56"/>
      <c r="Q779" s="56"/>
      <c r="R779" s="56"/>
      <c r="S779" s="56"/>
      <c r="T779" s="56"/>
      <c r="U779" s="56"/>
      <c r="V779" s="56"/>
      <c r="W779" s="56"/>
      <c r="X779" s="56"/>
      <c r="Y779" s="56"/>
      <c r="Z779" s="56"/>
      <c r="AA779" s="56"/>
    </row>
    <row r="780" spans="1:27" ht="15.75" customHeight="1" x14ac:dyDescent="0.25">
      <c r="A780" s="61"/>
      <c r="B780" s="61"/>
      <c r="C780" s="61"/>
      <c r="D780" s="56"/>
      <c r="E780" s="56"/>
      <c r="F780" s="56"/>
      <c r="G780" s="56"/>
      <c r="H780" s="56"/>
      <c r="I780" s="56"/>
      <c r="J780" s="56"/>
      <c r="K780" s="56"/>
      <c r="L780" s="56"/>
      <c r="M780" s="56"/>
      <c r="N780" s="56"/>
      <c r="O780" s="56"/>
      <c r="P780" s="56"/>
      <c r="Q780" s="56"/>
      <c r="R780" s="56"/>
      <c r="S780" s="56"/>
      <c r="T780" s="56"/>
      <c r="U780" s="56"/>
      <c r="V780" s="56"/>
      <c r="W780" s="56"/>
      <c r="X780" s="56"/>
      <c r="Y780" s="56"/>
      <c r="Z780" s="56"/>
      <c r="AA780" s="56"/>
    </row>
    <row r="781" spans="1:27" ht="15.75" customHeight="1" x14ac:dyDescent="0.25">
      <c r="A781" s="61"/>
      <c r="B781" s="61"/>
      <c r="C781" s="61"/>
      <c r="D781" s="56"/>
      <c r="E781" s="56"/>
      <c r="F781" s="56"/>
      <c r="G781" s="56"/>
      <c r="H781" s="56"/>
      <c r="I781" s="56"/>
      <c r="J781" s="56"/>
      <c r="K781" s="56"/>
      <c r="L781" s="56"/>
      <c r="M781" s="56"/>
      <c r="N781" s="56"/>
      <c r="O781" s="56"/>
      <c r="P781" s="56"/>
      <c r="Q781" s="56"/>
      <c r="R781" s="56"/>
      <c r="S781" s="56"/>
      <c r="T781" s="56"/>
      <c r="U781" s="56"/>
      <c r="V781" s="56"/>
      <c r="W781" s="56"/>
      <c r="X781" s="56"/>
      <c r="Y781" s="56"/>
      <c r="Z781" s="56"/>
      <c r="AA781" s="56"/>
    </row>
    <row r="782" spans="1:27" ht="15.75" customHeight="1" x14ac:dyDescent="0.25">
      <c r="A782" s="61"/>
      <c r="B782" s="61"/>
      <c r="C782" s="61"/>
      <c r="D782" s="56"/>
      <c r="E782" s="56"/>
      <c r="F782" s="56"/>
      <c r="G782" s="56"/>
      <c r="H782" s="56"/>
      <c r="I782" s="56"/>
      <c r="J782" s="56"/>
      <c r="K782" s="56"/>
      <c r="L782" s="56"/>
      <c r="M782" s="56"/>
      <c r="N782" s="56"/>
      <c r="O782" s="56"/>
      <c r="P782" s="56"/>
      <c r="Q782" s="56"/>
      <c r="R782" s="56"/>
      <c r="S782" s="56"/>
      <c r="T782" s="56"/>
      <c r="U782" s="56"/>
      <c r="V782" s="56"/>
      <c r="W782" s="56"/>
      <c r="X782" s="56"/>
      <c r="Y782" s="56"/>
      <c r="Z782" s="56"/>
      <c r="AA782" s="56"/>
    </row>
    <row r="783" spans="1:27" ht="15.75" customHeight="1" x14ac:dyDescent="0.25">
      <c r="A783" s="61"/>
      <c r="B783" s="61"/>
      <c r="C783" s="61"/>
      <c r="D783" s="56"/>
      <c r="E783" s="56"/>
      <c r="F783" s="56"/>
      <c r="G783" s="56"/>
      <c r="H783" s="56"/>
      <c r="I783" s="56"/>
      <c r="J783" s="56"/>
      <c r="K783" s="56"/>
      <c r="L783" s="56"/>
      <c r="M783" s="56"/>
      <c r="N783" s="56"/>
      <c r="O783" s="56"/>
      <c r="P783" s="56"/>
      <c r="Q783" s="56"/>
      <c r="R783" s="56"/>
      <c r="S783" s="56"/>
      <c r="T783" s="56"/>
      <c r="U783" s="56"/>
      <c r="V783" s="56"/>
      <c r="W783" s="56"/>
      <c r="X783" s="56"/>
      <c r="Y783" s="56"/>
      <c r="Z783" s="56"/>
      <c r="AA783" s="56"/>
    </row>
    <row r="784" spans="1:27" ht="15.75" customHeight="1" x14ac:dyDescent="0.25">
      <c r="A784" s="61"/>
      <c r="B784" s="61"/>
      <c r="C784" s="61"/>
      <c r="D784" s="56"/>
      <c r="E784" s="56"/>
      <c r="F784" s="56"/>
      <c r="G784" s="56"/>
      <c r="H784" s="56"/>
      <c r="I784" s="56"/>
      <c r="J784" s="56"/>
      <c r="K784" s="56"/>
      <c r="L784" s="56"/>
      <c r="M784" s="56"/>
      <c r="N784" s="56"/>
      <c r="O784" s="56"/>
      <c r="P784" s="56"/>
      <c r="Q784" s="56"/>
      <c r="R784" s="56"/>
      <c r="S784" s="56"/>
      <c r="T784" s="56"/>
      <c r="U784" s="56"/>
      <c r="V784" s="56"/>
      <c r="W784" s="56"/>
      <c r="X784" s="56"/>
      <c r="Y784" s="56"/>
      <c r="Z784" s="56"/>
      <c r="AA784" s="56"/>
    </row>
    <row r="785" spans="1:27" ht="15.75" customHeight="1" x14ac:dyDescent="0.25">
      <c r="A785" s="61"/>
      <c r="B785" s="61"/>
      <c r="C785" s="61"/>
      <c r="D785" s="56"/>
      <c r="E785" s="56"/>
      <c r="F785" s="56"/>
      <c r="G785" s="56"/>
      <c r="H785" s="56"/>
      <c r="I785" s="56"/>
      <c r="J785" s="56"/>
      <c r="K785" s="56"/>
      <c r="L785" s="56"/>
      <c r="M785" s="56"/>
      <c r="N785" s="56"/>
      <c r="O785" s="56"/>
      <c r="P785" s="56"/>
      <c r="Q785" s="56"/>
      <c r="R785" s="56"/>
      <c r="S785" s="56"/>
      <c r="T785" s="56"/>
      <c r="U785" s="56"/>
      <c r="V785" s="56"/>
      <c r="W785" s="56"/>
      <c r="X785" s="56"/>
      <c r="Y785" s="56"/>
      <c r="Z785" s="56"/>
      <c r="AA785" s="56"/>
    </row>
    <row r="786" spans="1:27" ht="15.75" customHeight="1" x14ac:dyDescent="0.25">
      <c r="A786" s="61"/>
      <c r="B786" s="61"/>
      <c r="C786" s="61"/>
      <c r="D786" s="56"/>
      <c r="E786" s="56"/>
      <c r="F786" s="56"/>
      <c r="G786" s="56"/>
      <c r="H786" s="56"/>
      <c r="I786" s="56"/>
      <c r="J786" s="56"/>
      <c r="K786" s="56"/>
      <c r="L786" s="56"/>
      <c r="M786" s="56"/>
      <c r="N786" s="56"/>
      <c r="O786" s="56"/>
      <c r="P786" s="56"/>
      <c r="Q786" s="56"/>
      <c r="R786" s="56"/>
      <c r="S786" s="56"/>
      <c r="T786" s="56"/>
      <c r="U786" s="56"/>
      <c r="V786" s="56"/>
      <c r="W786" s="56"/>
      <c r="X786" s="56"/>
      <c r="Y786" s="56"/>
      <c r="Z786" s="56"/>
      <c r="AA786" s="56"/>
    </row>
    <row r="787" spans="1:27" ht="15.75" customHeight="1" x14ac:dyDescent="0.25">
      <c r="A787" s="61"/>
      <c r="B787" s="61"/>
      <c r="C787" s="61"/>
      <c r="D787" s="56"/>
      <c r="E787" s="56"/>
      <c r="F787" s="56"/>
      <c r="G787" s="56"/>
      <c r="H787" s="56"/>
      <c r="I787" s="56"/>
      <c r="J787" s="56"/>
      <c r="K787" s="56"/>
      <c r="L787" s="56"/>
      <c r="M787" s="56"/>
      <c r="N787" s="56"/>
      <c r="O787" s="56"/>
      <c r="P787" s="56"/>
      <c r="Q787" s="56"/>
      <c r="R787" s="56"/>
      <c r="S787" s="56"/>
      <c r="T787" s="56"/>
      <c r="U787" s="56"/>
      <c r="V787" s="56"/>
      <c r="W787" s="56"/>
      <c r="X787" s="56"/>
      <c r="Y787" s="56"/>
      <c r="Z787" s="56"/>
      <c r="AA787" s="56"/>
    </row>
    <row r="788" spans="1:27" ht="15.75" customHeight="1" x14ac:dyDescent="0.25">
      <c r="A788" s="61"/>
      <c r="B788" s="61"/>
      <c r="C788" s="61"/>
      <c r="D788" s="56"/>
      <c r="E788" s="56"/>
      <c r="F788" s="56"/>
      <c r="G788" s="56"/>
      <c r="H788" s="56"/>
      <c r="I788" s="56"/>
      <c r="J788" s="56"/>
      <c r="K788" s="56"/>
      <c r="L788" s="56"/>
      <c r="M788" s="56"/>
      <c r="N788" s="56"/>
      <c r="O788" s="56"/>
      <c r="P788" s="56"/>
      <c r="Q788" s="56"/>
      <c r="R788" s="56"/>
      <c r="S788" s="56"/>
      <c r="T788" s="56"/>
      <c r="U788" s="56"/>
      <c r="V788" s="56"/>
      <c r="W788" s="56"/>
      <c r="X788" s="56"/>
      <c r="Y788" s="56"/>
      <c r="Z788" s="56"/>
      <c r="AA788" s="56"/>
    </row>
    <row r="789" spans="1:27" ht="15.75" customHeight="1" x14ac:dyDescent="0.25">
      <c r="A789" s="61"/>
      <c r="B789" s="61"/>
      <c r="C789" s="61"/>
      <c r="D789" s="56"/>
      <c r="E789" s="56"/>
      <c r="F789" s="56"/>
      <c r="G789" s="56"/>
      <c r="H789" s="56"/>
      <c r="I789" s="56"/>
      <c r="J789" s="56"/>
      <c r="K789" s="56"/>
      <c r="L789" s="56"/>
      <c r="M789" s="56"/>
      <c r="N789" s="56"/>
      <c r="O789" s="56"/>
      <c r="P789" s="56"/>
      <c r="Q789" s="56"/>
      <c r="R789" s="56"/>
      <c r="S789" s="56"/>
      <c r="T789" s="56"/>
      <c r="U789" s="56"/>
      <c r="V789" s="56"/>
      <c r="W789" s="56"/>
      <c r="X789" s="56"/>
      <c r="Y789" s="56"/>
      <c r="Z789" s="56"/>
      <c r="AA789" s="56"/>
    </row>
    <row r="790" spans="1:27" ht="15.75" customHeight="1" x14ac:dyDescent="0.25">
      <c r="A790" s="61"/>
      <c r="B790" s="61"/>
      <c r="C790" s="61"/>
      <c r="D790" s="56"/>
      <c r="E790" s="56"/>
      <c r="F790" s="56"/>
      <c r="G790" s="56"/>
      <c r="H790" s="56"/>
      <c r="I790" s="56"/>
      <c r="J790" s="56"/>
      <c r="K790" s="56"/>
      <c r="L790" s="56"/>
      <c r="M790" s="56"/>
      <c r="N790" s="56"/>
      <c r="O790" s="56"/>
      <c r="P790" s="56"/>
      <c r="Q790" s="56"/>
      <c r="R790" s="56"/>
      <c r="S790" s="56"/>
      <c r="T790" s="56"/>
      <c r="U790" s="56"/>
      <c r="V790" s="56"/>
      <c r="W790" s="56"/>
      <c r="X790" s="56"/>
      <c r="Y790" s="56"/>
      <c r="Z790" s="56"/>
      <c r="AA790" s="56"/>
    </row>
    <row r="791" spans="1:27" ht="15.75" customHeight="1" x14ac:dyDescent="0.25">
      <c r="A791" s="61"/>
      <c r="B791" s="61"/>
      <c r="C791" s="61"/>
      <c r="D791" s="56"/>
      <c r="E791" s="56"/>
      <c r="F791" s="56"/>
      <c r="G791" s="56"/>
      <c r="H791" s="56"/>
      <c r="I791" s="56"/>
      <c r="J791" s="56"/>
      <c r="K791" s="56"/>
      <c r="L791" s="56"/>
      <c r="M791" s="56"/>
      <c r="N791" s="56"/>
      <c r="O791" s="56"/>
      <c r="P791" s="56"/>
      <c r="Q791" s="56"/>
      <c r="R791" s="56"/>
      <c r="S791" s="56"/>
      <c r="T791" s="56"/>
      <c r="U791" s="56"/>
      <c r="V791" s="56"/>
      <c r="W791" s="56"/>
      <c r="X791" s="56"/>
      <c r="Y791" s="56"/>
      <c r="Z791" s="56"/>
      <c r="AA791" s="56"/>
    </row>
    <row r="792" spans="1:27" ht="15.75" customHeight="1" x14ac:dyDescent="0.25">
      <c r="A792" s="61"/>
      <c r="B792" s="61"/>
      <c r="C792" s="61"/>
      <c r="D792" s="56"/>
      <c r="E792" s="56"/>
      <c r="F792" s="56"/>
      <c r="G792" s="56"/>
      <c r="H792" s="56"/>
      <c r="I792" s="56"/>
      <c r="J792" s="56"/>
      <c r="K792" s="56"/>
      <c r="L792" s="56"/>
      <c r="M792" s="56"/>
      <c r="N792" s="56"/>
      <c r="O792" s="56"/>
      <c r="P792" s="56"/>
      <c r="Q792" s="56"/>
      <c r="R792" s="56"/>
      <c r="S792" s="56"/>
      <c r="T792" s="56"/>
      <c r="U792" s="56"/>
      <c r="V792" s="56"/>
      <c r="W792" s="56"/>
      <c r="X792" s="56"/>
      <c r="Y792" s="56"/>
      <c r="Z792" s="56"/>
      <c r="AA792" s="56"/>
    </row>
    <row r="793" spans="1:27" ht="15.75" customHeight="1" x14ac:dyDescent="0.25">
      <c r="A793" s="61"/>
      <c r="B793" s="61"/>
      <c r="C793" s="61"/>
      <c r="D793" s="56"/>
      <c r="E793" s="56"/>
      <c r="F793" s="56"/>
      <c r="G793" s="56"/>
      <c r="H793" s="56"/>
      <c r="I793" s="56"/>
      <c r="J793" s="56"/>
      <c r="K793" s="56"/>
      <c r="L793" s="56"/>
      <c r="M793" s="56"/>
      <c r="N793" s="56"/>
      <c r="O793" s="56"/>
      <c r="P793" s="56"/>
      <c r="Q793" s="56"/>
      <c r="R793" s="56"/>
      <c r="S793" s="56"/>
      <c r="T793" s="56"/>
      <c r="U793" s="56"/>
      <c r="V793" s="56"/>
      <c r="W793" s="56"/>
      <c r="X793" s="56"/>
      <c r="Y793" s="56"/>
      <c r="Z793" s="56"/>
      <c r="AA793" s="56"/>
    </row>
    <row r="794" spans="1:27" ht="15.75" customHeight="1" x14ac:dyDescent="0.25">
      <c r="A794" s="61"/>
      <c r="B794" s="61"/>
      <c r="C794" s="61"/>
      <c r="D794" s="56"/>
      <c r="E794" s="56"/>
      <c r="F794" s="56"/>
      <c r="G794" s="56"/>
      <c r="H794" s="56"/>
      <c r="I794" s="56"/>
      <c r="J794" s="56"/>
      <c r="K794" s="56"/>
      <c r="L794" s="56"/>
      <c r="M794" s="56"/>
      <c r="N794" s="56"/>
      <c r="O794" s="56"/>
      <c r="P794" s="56"/>
      <c r="Q794" s="56"/>
      <c r="R794" s="56"/>
      <c r="S794" s="56"/>
      <c r="T794" s="56"/>
      <c r="U794" s="56"/>
      <c r="V794" s="56"/>
      <c r="W794" s="56"/>
      <c r="X794" s="56"/>
      <c r="Y794" s="56"/>
      <c r="Z794" s="56"/>
      <c r="AA794" s="56"/>
    </row>
    <row r="795" spans="1:27" ht="15.75" customHeight="1" x14ac:dyDescent="0.25">
      <c r="A795" s="61"/>
      <c r="B795" s="61"/>
      <c r="C795" s="61"/>
      <c r="D795" s="56"/>
      <c r="E795" s="56"/>
      <c r="F795" s="56"/>
      <c r="G795" s="56"/>
      <c r="H795" s="56"/>
      <c r="I795" s="56"/>
      <c r="J795" s="56"/>
      <c r="K795" s="56"/>
      <c r="L795" s="56"/>
      <c r="M795" s="56"/>
      <c r="N795" s="56"/>
      <c r="O795" s="56"/>
      <c r="P795" s="56"/>
      <c r="Q795" s="56"/>
      <c r="R795" s="56"/>
      <c r="S795" s="56"/>
      <c r="T795" s="56"/>
      <c r="U795" s="56"/>
      <c r="V795" s="56"/>
      <c r="W795" s="56"/>
      <c r="X795" s="56"/>
      <c r="Y795" s="56"/>
      <c r="Z795" s="56"/>
      <c r="AA795" s="56"/>
    </row>
    <row r="796" spans="1:27" ht="15.75" customHeight="1" x14ac:dyDescent="0.25">
      <c r="A796" s="61"/>
      <c r="B796" s="61"/>
      <c r="C796" s="61"/>
      <c r="D796" s="56"/>
      <c r="E796" s="56"/>
      <c r="F796" s="56"/>
      <c r="G796" s="56"/>
      <c r="H796" s="56"/>
      <c r="I796" s="56"/>
      <c r="J796" s="56"/>
      <c r="K796" s="56"/>
      <c r="L796" s="56"/>
      <c r="M796" s="56"/>
      <c r="N796" s="56"/>
      <c r="O796" s="56"/>
      <c r="P796" s="56"/>
      <c r="Q796" s="56"/>
      <c r="R796" s="56"/>
      <c r="S796" s="56"/>
      <c r="T796" s="56"/>
      <c r="U796" s="56"/>
      <c r="V796" s="56"/>
      <c r="W796" s="56"/>
      <c r="X796" s="56"/>
      <c r="Y796" s="56"/>
      <c r="Z796" s="56"/>
      <c r="AA796" s="56"/>
    </row>
    <row r="797" spans="1:27" ht="15.75" customHeight="1" x14ac:dyDescent="0.25">
      <c r="A797" s="61"/>
      <c r="B797" s="61"/>
      <c r="C797" s="61"/>
      <c r="D797" s="56"/>
      <c r="E797" s="56"/>
      <c r="F797" s="56"/>
      <c r="G797" s="56"/>
      <c r="H797" s="56"/>
      <c r="I797" s="56"/>
      <c r="J797" s="56"/>
      <c r="K797" s="56"/>
      <c r="L797" s="56"/>
      <c r="M797" s="56"/>
      <c r="N797" s="56"/>
      <c r="O797" s="56"/>
      <c r="P797" s="56"/>
      <c r="Q797" s="56"/>
      <c r="R797" s="56"/>
      <c r="S797" s="56"/>
      <c r="T797" s="56"/>
      <c r="U797" s="56"/>
      <c r="V797" s="56"/>
      <c r="W797" s="56"/>
      <c r="X797" s="56"/>
      <c r="Y797" s="56"/>
      <c r="Z797" s="56"/>
      <c r="AA797" s="56"/>
    </row>
    <row r="798" spans="1:27" ht="15.75" customHeight="1" x14ac:dyDescent="0.25">
      <c r="A798" s="61"/>
      <c r="B798" s="61"/>
      <c r="C798" s="61"/>
      <c r="D798" s="56"/>
      <c r="E798" s="56"/>
      <c r="F798" s="56"/>
      <c r="G798" s="56"/>
      <c r="H798" s="56"/>
      <c r="I798" s="56"/>
      <c r="J798" s="56"/>
      <c r="K798" s="56"/>
      <c r="L798" s="56"/>
      <c r="M798" s="56"/>
      <c r="N798" s="56"/>
      <c r="O798" s="56"/>
      <c r="P798" s="56"/>
      <c r="Q798" s="56"/>
      <c r="R798" s="56"/>
      <c r="S798" s="56"/>
      <c r="T798" s="56"/>
      <c r="U798" s="56"/>
      <c r="V798" s="56"/>
      <c r="W798" s="56"/>
      <c r="X798" s="56"/>
      <c r="Y798" s="56"/>
      <c r="Z798" s="56"/>
      <c r="AA798" s="56"/>
    </row>
    <row r="799" spans="1:27" ht="15.75" customHeight="1" x14ac:dyDescent="0.25">
      <c r="A799" s="61"/>
      <c r="B799" s="61"/>
      <c r="C799" s="61"/>
      <c r="D799" s="56"/>
      <c r="E799" s="56"/>
      <c r="F799" s="56"/>
      <c r="G799" s="56"/>
      <c r="H799" s="56"/>
      <c r="I799" s="56"/>
      <c r="J799" s="56"/>
      <c r="K799" s="56"/>
      <c r="L799" s="56"/>
      <c r="M799" s="56"/>
      <c r="N799" s="56"/>
      <c r="O799" s="56"/>
      <c r="P799" s="56"/>
      <c r="Q799" s="56"/>
      <c r="R799" s="56"/>
      <c r="S799" s="56"/>
      <c r="T799" s="56"/>
      <c r="U799" s="56"/>
      <c r="V799" s="56"/>
      <c r="W799" s="56"/>
      <c r="X799" s="56"/>
      <c r="Y799" s="56"/>
      <c r="Z799" s="56"/>
      <c r="AA799" s="56"/>
    </row>
    <row r="800" spans="1:27" ht="15.75" customHeight="1" x14ac:dyDescent="0.25">
      <c r="A800" s="61"/>
      <c r="B800" s="61"/>
      <c r="C800" s="61"/>
      <c r="D800" s="56"/>
      <c r="E800" s="56"/>
      <c r="F800" s="56"/>
      <c r="G800" s="56"/>
      <c r="H800" s="56"/>
      <c r="I800" s="56"/>
      <c r="J800" s="56"/>
      <c r="K800" s="56"/>
      <c r="L800" s="56"/>
      <c r="M800" s="56"/>
      <c r="N800" s="56"/>
      <c r="O800" s="56"/>
      <c r="P800" s="56"/>
      <c r="Q800" s="56"/>
      <c r="R800" s="56"/>
      <c r="S800" s="56"/>
      <c r="T800" s="56"/>
      <c r="U800" s="56"/>
      <c r="V800" s="56"/>
      <c r="W800" s="56"/>
      <c r="X800" s="56"/>
      <c r="Y800" s="56"/>
      <c r="Z800" s="56"/>
      <c r="AA800" s="56"/>
    </row>
    <row r="801" spans="1:27" ht="15.75" customHeight="1" x14ac:dyDescent="0.25">
      <c r="A801" s="61"/>
      <c r="B801" s="61"/>
      <c r="C801" s="61"/>
      <c r="D801" s="56"/>
      <c r="E801" s="56"/>
      <c r="F801" s="56"/>
      <c r="G801" s="56"/>
      <c r="H801" s="56"/>
      <c r="I801" s="56"/>
      <c r="J801" s="56"/>
      <c r="K801" s="56"/>
      <c r="L801" s="56"/>
      <c r="M801" s="56"/>
      <c r="N801" s="56"/>
      <c r="O801" s="56"/>
      <c r="P801" s="56"/>
      <c r="Q801" s="56"/>
      <c r="R801" s="56"/>
      <c r="S801" s="56"/>
      <c r="T801" s="56"/>
      <c r="U801" s="56"/>
      <c r="V801" s="56"/>
      <c r="W801" s="56"/>
      <c r="X801" s="56"/>
      <c r="Y801" s="56"/>
      <c r="Z801" s="56"/>
      <c r="AA801" s="56"/>
    </row>
    <row r="802" spans="1:27" ht="15.75" customHeight="1" x14ac:dyDescent="0.25">
      <c r="A802" s="61"/>
      <c r="B802" s="61"/>
      <c r="C802" s="61"/>
      <c r="D802" s="56"/>
      <c r="E802" s="56"/>
      <c r="F802" s="56"/>
      <c r="G802" s="56"/>
      <c r="H802" s="56"/>
      <c r="I802" s="56"/>
      <c r="J802" s="56"/>
      <c r="K802" s="56"/>
      <c r="L802" s="56"/>
      <c r="M802" s="56"/>
      <c r="N802" s="56"/>
      <c r="O802" s="56"/>
      <c r="P802" s="56"/>
      <c r="Q802" s="56"/>
      <c r="R802" s="56"/>
      <c r="S802" s="56"/>
      <c r="T802" s="56"/>
      <c r="U802" s="56"/>
      <c r="V802" s="56"/>
      <c r="W802" s="56"/>
      <c r="X802" s="56"/>
      <c r="Y802" s="56"/>
      <c r="Z802" s="56"/>
      <c r="AA802" s="56"/>
    </row>
    <row r="803" spans="1:27" ht="15.75" customHeight="1" x14ac:dyDescent="0.25">
      <c r="A803" s="61"/>
      <c r="B803" s="61"/>
      <c r="C803" s="61"/>
      <c r="D803" s="56"/>
      <c r="E803" s="56"/>
      <c r="F803" s="56"/>
      <c r="G803" s="56"/>
      <c r="H803" s="56"/>
      <c r="I803" s="56"/>
      <c r="J803" s="56"/>
      <c r="K803" s="56"/>
      <c r="L803" s="56"/>
      <c r="M803" s="56"/>
      <c r="N803" s="56"/>
      <c r="O803" s="56"/>
      <c r="P803" s="56"/>
      <c r="Q803" s="56"/>
      <c r="R803" s="56"/>
      <c r="S803" s="56"/>
      <c r="T803" s="56"/>
      <c r="U803" s="56"/>
      <c r="V803" s="56"/>
      <c r="W803" s="56"/>
      <c r="X803" s="56"/>
      <c r="Y803" s="56"/>
      <c r="Z803" s="56"/>
      <c r="AA803" s="56"/>
    </row>
    <row r="804" spans="1:27" ht="15.75" customHeight="1" x14ac:dyDescent="0.25">
      <c r="A804" s="61"/>
      <c r="B804" s="61"/>
      <c r="C804" s="61"/>
      <c r="D804" s="56"/>
      <c r="E804" s="56"/>
      <c r="F804" s="56"/>
      <c r="G804" s="56"/>
      <c r="H804" s="56"/>
      <c r="I804" s="56"/>
      <c r="J804" s="56"/>
      <c r="K804" s="56"/>
      <c r="L804" s="56"/>
      <c r="M804" s="56"/>
      <c r="N804" s="56"/>
      <c r="O804" s="56"/>
      <c r="P804" s="56"/>
      <c r="Q804" s="56"/>
      <c r="R804" s="56"/>
      <c r="S804" s="56"/>
      <c r="T804" s="56"/>
      <c r="U804" s="56"/>
      <c r="V804" s="56"/>
      <c r="W804" s="56"/>
      <c r="X804" s="56"/>
      <c r="Y804" s="56"/>
      <c r="Z804" s="56"/>
      <c r="AA804" s="56"/>
    </row>
    <row r="805" spans="1:27" ht="15.75" customHeight="1" x14ac:dyDescent="0.25">
      <c r="A805" s="61"/>
      <c r="B805" s="61"/>
      <c r="C805" s="61"/>
      <c r="D805" s="56"/>
      <c r="E805" s="56"/>
      <c r="F805" s="56"/>
      <c r="G805" s="56"/>
      <c r="H805" s="56"/>
      <c r="I805" s="56"/>
      <c r="J805" s="56"/>
      <c r="K805" s="56"/>
      <c r="L805" s="56"/>
      <c r="M805" s="56"/>
      <c r="N805" s="56"/>
      <c r="O805" s="56"/>
      <c r="P805" s="56"/>
      <c r="Q805" s="56"/>
      <c r="R805" s="56"/>
      <c r="S805" s="56"/>
      <c r="T805" s="56"/>
      <c r="U805" s="56"/>
      <c r="V805" s="56"/>
      <c r="W805" s="56"/>
      <c r="X805" s="56"/>
      <c r="Y805" s="56"/>
      <c r="Z805" s="56"/>
      <c r="AA805" s="56"/>
    </row>
    <row r="806" spans="1:27" ht="15.75" customHeight="1" x14ac:dyDescent="0.25">
      <c r="A806" s="61"/>
      <c r="B806" s="61"/>
      <c r="C806" s="61"/>
      <c r="D806" s="56"/>
      <c r="E806" s="56"/>
      <c r="F806" s="56"/>
      <c r="G806" s="56"/>
      <c r="H806" s="56"/>
      <c r="I806" s="56"/>
      <c r="J806" s="56"/>
      <c r="K806" s="56"/>
      <c r="L806" s="56"/>
      <c r="M806" s="56"/>
      <c r="N806" s="56"/>
      <c r="O806" s="56"/>
      <c r="P806" s="56"/>
      <c r="Q806" s="56"/>
      <c r="R806" s="56"/>
      <c r="S806" s="56"/>
      <c r="T806" s="56"/>
      <c r="U806" s="56"/>
      <c r="V806" s="56"/>
      <c r="W806" s="56"/>
      <c r="X806" s="56"/>
      <c r="Y806" s="56"/>
      <c r="Z806" s="56"/>
      <c r="AA806" s="56"/>
    </row>
    <row r="807" spans="1:27" ht="15.75" customHeight="1" x14ac:dyDescent="0.25">
      <c r="A807" s="61"/>
      <c r="B807" s="61"/>
      <c r="C807" s="61"/>
      <c r="D807" s="56"/>
      <c r="E807" s="56"/>
      <c r="F807" s="56"/>
      <c r="G807" s="56"/>
      <c r="H807" s="56"/>
      <c r="I807" s="56"/>
      <c r="J807" s="56"/>
      <c r="K807" s="56"/>
      <c r="L807" s="56"/>
      <c r="M807" s="56"/>
      <c r="N807" s="56"/>
      <c r="O807" s="56"/>
      <c r="P807" s="56"/>
      <c r="Q807" s="56"/>
      <c r="R807" s="56"/>
      <c r="S807" s="56"/>
      <c r="T807" s="56"/>
      <c r="U807" s="56"/>
      <c r="V807" s="56"/>
      <c r="W807" s="56"/>
      <c r="X807" s="56"/>
      <c r="Y807" s="56"/>
      <c r="Z807" s="56"/>
      <c r="AA807" s="56"/>
    </row>
    <row r="808" spans="1:27" ht="15.75" customHeight="1" x14ac:dyDescent="0.25">
      <c r="A808" s="61"/>
      <c r="B808" s="61"/>
      <c r="C808" s="61"/>
      <c r="D808" s="56"/>
      <c r="E808" s="56"/>
      <c r="F808" s="56"/>
      <c r="G808" s="56"/>
      <c r="H808" s="56"/>
      <c r="I808" s="56"/>
      <c r="J808" s="56"/>
      <c r="K808" s="56"/>
      <c r="L808" s="56"/>
      <c r="M808" s="56"/>
      <c r="N808" s="56"/>
      <c r="O808" s="56"/>
      <c r="P808" s="56"/>
      <c r="Q808" s="56"/>
      <c r="R808" s="56"/>
      <c r="S808" s="56"/>
      <c r="T808" s="56"/>
      <c r="U808" s="56"/>
      <c r="V808" s="56"/>
      <c r="W808" s="56"/>
      <c r="X808" s="56"/>
      <c r="Y808" s="56"/>
      <c r="Z808" s="56"/>
      <c r="AA808" s="56"/>
    </row>
    <row r="809" spans="1:27" ht="15.75" customHeight="1" x14ac:dyDescent="0.25">
      <c r="A809" s="61"/>
      <c r="B809" s="61"/>
      <c r="C809" s="61"/>
      <c r="D809" s="56"/>
      <c r="E809" s="56"/>
      <c r="F809" s="56"/>
      <c r="G809" s="56"/>
      <c r="H809" s="56"/>
      <c r="I809" s="56"/>
      <c r="J809" s="56"/>
      <c r="K809" s="56"/>
      <c r="L809" s="56"/>
      <c r="M809" s="56"/>
      <c r="N809" s="56"/>
      <c r="O809" s="56"/>
      <c r="P809" s="56"/>
      <c r="Q809" s="56"/>
      <c r="R809" s="56"/>
      <c r="S809" s="56"/>
      <c r="T809" s="56"/>
      <c r="U809" s="56"/>
      <c r="V809" s="56"/>
      <c r="W809" s="56"/>
      <c r="X809" s="56"/>
      <c r="Y809" s="56"/>
      <c r="Z809" s="56"/>
      <c r="AA809" s="56"/>
    </row>
    <row r="810" spans="1:27" ht="15.75" customHeight="1" x14ac:dyDescent="0.25">
      <c r="A810" s="61"/>
      <c r="B810" s="61"/>
      <c r="C810" s="61"/>
      <c r="D810" s="56"/>
      <c r="E810" s="56"/>
      <c r="F810" s="56"/>
      <c r="G810" s="56"/>
      <c r="H810" s="56"/>
      <c r="I810" s="56"/>
      <c r="J810" s="56"/>
      <c r="K810" s="56"/>
      <c r="L810" s="56"/>
      <c r="M810" s="56"/>
      <c r="N810" s="56"/>
      <c r="O810" s="56"/>
      <c r="P810" s="56"/>
      <c r="Q810" s="56"/>
      <c r="R810" s="56"/>
      <c r="S810" s="56"/>
      <c r="T810" s="56"/>
      <c r="U810" s="56"/>
      <c r="V810" s="56"/>
      <c r="W810" s="56"/>
      <c r="X810" s="56"/>
      <c r="Y810" s="56"/>
      <c r="Z810" s="56"/>
      <c r="AA810" s="56"/>
    </row>
    <row r="811" spans="1:27" ht="15.75" customHeight="1" x14ac:dyDescent="0.25">
      <c r="A811" s="61"/>
      <c r="B811" s="61"/>
      <c r="C811" s="61"/>
      <c r="D811" s="56"/>
      <c r="E811" s="56"/>
      <c r="F811" s="56"/>
      <c r="G811" s="56"/>
      <c r="H811" s="56"/>
      <c r="I811" s="56"/>
      <c r="J811" s="56"/>
      <c r="K811" s="56"/>
      <c r="L811" s="56"/>
      <c r="M811" s="56"/>
      <c r="N811" s="56"/>
      <c r="O811" s="56"/>
      <c r="P811" s="56"/>
      <c r="Q811" s="56"/>
      <c r="R811" s="56"/>
      <c r="S811" s="56"/>
      <c r="T811" s="56"/>
      <c r="U811" s="56"/>
      <c r="V811" s="56"/>
      <c r="W811" s="56"/>
      <c r="X811" s="56"/>
      <c r="Y811" s="56"/>
      <c r="Z811" s="56"/>
      <c r="AA811" s="56"/>
    </row>
    <row r="812" spans="1:27" ht="15.75" customHeight="1" x14ac:dyDescent="0.25">
      <c r="A812" s="61"/>
      <c r="B812" s="61"/>
      <c r="C812" s="61"/>
      <c r="D812" s="56"/>
      <c r="E812" s="56"/>
      <c r="F812" s="56"/>
      <c r="G812" s="56"/>
      <c r="H812" s="56"/>
      <c r="I812" s="56"/>
      <c r="J812" s="56"/>
      <c r="K812" s="56"/>
      <c r="L812" s="56"/>
      <c r="M812" s="56"/>
      <c r="N812" s="56"/>
      <c r="O812" s="56"/>
      <c r="P812" s="56"/>
      <c r="Q812" s="56"/>
      <c r="R812" s="56"/>
      <c r="S812" s="56"/>
      <c r="T812" s="56"/>
      <c r="U812" s="56"/>
      <c r="V812" s="56"/>
      <c r="W812" s="56"/>
      <c r="X812" s="56"/>
      <c r="Y812" s="56"/>
      <c r="Z812" s="56"/>
      <c r="AA812" s="56"/>
    </row>
    <row r="813" spans="1:27" ht="15.75" customHeight="1" x14ac:dyDescent="0.25">
      <c r="A813" s="61"/>
      <c r="B813" s="61"/>
      <c r="C813" s="61"/>
      <c r="D813" s="56"/>
      <c r="E813" s="56"/>
      <c r="F813" s="56"/>
      <c r="G813" s="56"/>
      <c r="H813" s="56"/>
      <c r="I813" s="56"/>
      <c r="J813" s="56"/>
      <c r="K813" s="56"/>
      <c r="L813" s="56"/>
      <c r="M813" s="56"/>
      <c r="N813" s="56"/>
      <c r="O813" s="56"/>
      <c r="P813" s="56"/>
      <c r="Q813" s="56"/>
      <c r="R813" s="56"/>
      <c r="S813" s="56"/>
      <c r="T813" s="56"/>
      <c r="U813" s="56"/>
      <c r="V813" s="56"/>
      <c r="W813" s="56"/>
      <c r="X813" s="56"/>
      <c r="Y813" s="56"/>
      <c r="Z813" s="56"/>
      <c r="AA813" s="56"/>
    </row>
    <row r="814" spans="1:27" ht="15.75" customHeight="1" x14ac:dyDescent="0.25">
      <c r="A814" s="61"/>
      <c r="B814" s="61"/>
      <c r="C814" s="61"/>
      <c r="D814" s="56"/>
      <c r="E814" s="56"/>
      <c r="F814" s="56"/>
      <c r="G814" s="56"/>
      <c r="H814" s="56"/>
      <c r="I814" s="56"/>
      <c r="J814" s="56"/>
      <c r="K814" s="56"/>
      <c r="L814" s="56"/>
      <c r="M814" s="56"/>
      <c r="N814" s="56"/>
      <c r="O814" s="56"/>
      <c r="P814" s="56"/>
      <c r="Q814" s="56"/>
      <c r="R814" s="56"/>
      <c r="S814" s="56"/>
      <c r="T814" s="56"/>
      <c r="U814" s="56"/>
      <c r="V814" s="56"/>
      <c r="W814" s="56"/>
      <c r="X814" s="56"/>
      <c r="Y814" s="56"/>
      <c r="Z814" s="56"/>
      <c r="AA814" s="56"/>
    </row>
    <row r="815" spans="1:27" ht="15.75" customHeight="1" x14ac:dyDescent="0.25">
      <c r="A815" s="61"/>
      <c r="B815" s="61"/>
      <c r="C815" s="61"/>
      <c r="D815" s="56"/>
      <c r="E815" s="56"/>
      <c r="F815" s="56"/>
      <c r="G815" s="56"/>
      <c r="H815" s="56"/>
      <c r="I815" s="56"/>
      <c r="J815" s="56"/>
      <c r="K815" s="56"/>
      <c r="L815" s="56"/>
      <c r="M815" s="56"/>
      <c r="N815" s="56"/>
      <c r="O815" s="56"/>
      <c r="P815" s="56"/>
      <c r="Q815" s="56"/>
      <c r="R815" s="56"/>
      <c r="S815" s="56"/>
      <c r="T815" s="56"/>
      <c r="U815" s="56"/>
      <c r="V815" s="56"/>
      <c r="W815" s="56"/>
      <c r="X815" s="56"/>
      <c r="Y815" s="56"/>
      <c r="Z815" s="56"/>
      <c r="AA815" s="56"/>
    </row>
    <row r="816" spans="1:27" ht="15.75" customHeight="1" x14ac:dyDescent="0.25">
      <c r="A816" s="61"/>
      <c r="B816" s="61"/>
      <c r="C816" s="61"/>
      <c r="D816" s="56"/>
      <c r="E816" s="56"/>
      <c r="F816" s="56"/>
      <c r="G816" s="56"/>
      <c r="H816" s="56"/>
      <c r="I816" s="56"/>
      <c r="J816" s="56"/>
      <c r="K816" s="56"/>
      <c r="L816" s="56"/>
      <c r="M816" s="56"/>
      <c r="N816" s="56"/>
      <c r="O816" s="56"/>
      <c r="P816" s="56"/>
      <c r="Q816" s="56"/>
      <c r="R816" s="56"/>
      <c r="S816" s="56"/>
      <c r="T816" s="56"/>
      <c r="U816" s="56"/>
      <c r="V816" s="56"/>
      <c r="W816" s="56"/>
      <c r="X816" s="56"/>
      <c r="Y816" s="56"/>
      <c r="Z816" s="56"/>
      <c r="AA816" s="56"/>
    </row>
    <row r="817" spans="1:27" ht="15.75" customHeight="1" x14ac:dyDescent="0.25">
      <c r="A817" s="61"/>
      <c r="B817" s="61"/>
      <c r="C817" s="61"/>
      <c r="D817" s="56"/>
      <c r="E817" s="56"/>
      <c r="F817" s="56"/>
      <c r="G817" s="56"/>
      <c r="H817" s="56"/>
      <c r="I817" s="56"/>
      <c r="J817" s="56"/>
      <c r="K817" s="56"/>
      <c r="L817" s="56"/>
      <c r="M817" s="56"/>
      <c r="N817" s="56"/>
      <c r="O817" s="56"/>
      <c r="P817" s="56"/>
      <c r="Q817" s="56"/>
      <c r="R817" s="56"/>
      <c r="S817" s="56"/>
      <c r="T817" s="56"/>
      <c r="U817" s="56"/>
      <c r="V817" s="56"/>
      <c r="W817" s="56"/>
      <c r="X817" s="56"/>
      <c r="Y817" s="56"/>
      <c r="Z817" s="56"/>
      <c r="AA817" s="56"/>
    </row>
    <row r="818" spans="1:27" ht="15.75" customHeight="1" x14ac:dyDescent="0.25">
      <c r="A818" s="61"/>
      <c r="B818" s="61"/>
      <c r="C818" s="61"/>
      <c r="D818" s="56"/>
      <c r="E818" s="56"/>
      <c r="F818" s="56"/>
      <c r="G818" s="56"/>
      <c r="H818" s="56"/>
      <c r="I818" s="56"/>
      <c r="J818" s="56"/>
      <c r="K818" s="56"/>
      <c r="L818" s="56"/>
      <c r="M818" s="56"/>
      <c r="N818" s="56"/>
      <c r="O818" s="56"/>
      <c r="P818" s="56"/>
      <c r="Q818" s="56"/>
      <c r="R818" s="56"/>
      <c r="S818" s="56"/>
      <c r="T818" s="56"/>
      <c r="U818" s="56"/>
      <c r="V818" s="56"/>
      <c r="W818" s="56"/>
      <c r="X818" s="56"/>
      <c r="Y818" s="56"/>
      <c r="Z818" s="56"/>
      <c r="AA818" s="56"/>
    </row>
    <row r="819" spans="1:27" ht="15.75" customHeight="1" x14ac:dyDescent="0.25">
      <c r="A819" s="61"/>
      <c r="B819" s="61"/>
      <c r="C819" s="61"/>
      <c r="D819" s="56"/>
      <c r="E819" s="56"/>
      <c r="F819" s="56"/>
      <c r="G819" s="56"/>
      <c r="H819" s="56"/>
      <c r="I819" s="56"/>
      <c r="J819" s="56"/>
      <c r="K819" s="56"/>
      <c r="L819" s="56"/>
      <c r="M819" s="56"/>
      <c r="N819" s="56"/>
      <c r="O819" s="56"/>
      <c r="P819" s="56"/>
      <c r="Q819" s="56"/>
      <c r="R819" s="56"/>
      <c r="S819" s="56"/>
      <c r="T819" s="56"/>
      <c r="U819" s="56"/>
      <c r="V819" s="56"/>
      <c r="W819" s="56"/>
      <c r="X819" s="56"/>
      <c r="Y819" s="56"/>
      <c r="Z819" s="56"/>
      <c r="AA819" s="56"/>
    </row>
    <row r="820" spans="1:27" ht="15.75" customHeight="1" x14ac:dyDescent="0.25">
      <c r="A820" s="61"/>
      <c r="B820" s="61"/>
      <c r="C820" s="61"/>
      <c r="D820" s="56"/>
      <c r="E820" s="56"/>
      <c r="F820" s="56"/>
      <c r="G820" s="56"/>
      <c r="H820" s="56"/>
      <c r="I820" s="56"/>
      <c r="J820" s="56"/>
      <c r="K820" s="56"/>
      <c r="L820" s="56"/>
      <c r="M820" s="56"/>
      <c r="N820" s="56"/>
      <c r="O820" s="56"/>
      <c r="P820" s="56"/>
      <c r="Q820" s="56"/>
      <c r="R820" s="56"/>
      <c r="S820" s="56"/>
      <c r="T820" s="56"/>
      <c r="U820" s="56"/>
      <c r="V820" s="56"/>
      <c r="W820" s="56"/>
      <c r="X820" s="56"/>
      <c r="Y820" s="56"/>
      <c r="Z820" s="56"/>
      <c r="AA820" s="56"/>
    </row>
    <row r="821" spans="1:27" ht="15.75" customHeight="1" x14ac:dyDescent="0.25">
      <c r="A821" s="61"/>
      <c r="B821" s="61"/>
      <c r="C821" s="61"/>
      <c r="D821" s="56"/>
      <c r="E821" s="56"/>
      <c r="F821" s="56"/>
      <c r="G821" s="56"/>
      <c r="H821" s="56"/>
      <c r="I821" s="56"/>
      <c r="J821" s="56"/>
      <c r="K821" s="56"/>
      <c r="L821" s="56"/>
      <c r="M821" s="56"/>
      <c r="N821" s="56"/>
      <c r="O821" s="56"/>
      <c r="P821" s="56"/>
      <c r="Q821" s="56"/>
      <c r="R821" s="56"/>
      <c r="S821" s="56"/>
      <c r="T821" s="56"/>
      <c r="U821" s="56"/>
      <c r="V821" s="56"/>
      <c r="W821" s="56"/>
      <c r="X821" s="56"/>
      <c r="Y821" s="56"/>
      <c r="Z821" s="56"/>
      <c r="AA821" s="56"/>
    </row>
    <row r="822" spans="1:27" ht="15.75" customHeight="1" x14ac:dyDescent="0.25">
      <c r="A822" s="61"/>
      <c r="B822" s="61"/>
      <c r="C822" s="61"/>
      <c r="D822" s="56"/>
      <c r="E822" s="56"/>
      <c r="F822" s="56"/>
      <c r="G822" s="56"/>
      <c r="H822" s="56"/>
      <c r="I822" s="56"/>
      <c r="J822" s="56"/>
      <c r="K822" s="56"/>
      <c r="L822" s="56"/>
      <c r="M822" s="56"/>
      <c r="N822" s="56"/>
      <c r="O822" s="56"/>
      <c r="P822" s="56"/>
      <c r="Q822" s="56"/>
      <c r="R822" s="56"/>
      <c r="S822" s="56"/>
      <c r="T822" s="56"/>
      <c r="U822" s="56"/>
      <c r="V822" s="56"/>
      <c r="W822" s="56"/>
      <c r="X822" s="56"/>
      <c r="Y822" s="56"/>
      <c r="Z822" s="56"/>
      <c r="AA822" s="56"/>
    </row>
    <row r="823" spans="1:27" ht="15.75" customHeight="1" x14ac:dyDescent="0.25">
      <c r="A823" s="61"/>
      <c r="B823" s="61"/>
      <c r="C823" s="61"/>
      <c r="D823" s="56"/>
      <c r="E823" s="56"/>
      <c r="F823" s="56"/>
      <c r="G823" s="56"/>
      <c r="H823" s="56"/>
      <c r="I823" s="56"/>
      <c r="J823" s="56"/>
      <c r="K823" s="56"/>
      <c r="L823" s="56"/>
      <c r="M823" s="56"/>
      <c r="N823" s="56"/>
      <c r="O823" s="56"/>
      <c r="P823" s="56"/>
      <c r="Q823" s="56"/>
      <c r="R823" s="56"/>
      <c r="S823" s="56"/>
      <c r="T823" s="56"/>
      <c r="U823" s="56"/>
      <c r="V823" s="56"/>
      <c r="W823" s="56"/>
      <c r="X823" s="56"/>
      <c r="Y823" s="56"/>
      <c r="Z823" s="56"/>
      <c r="AA823" s="56"/>
    </row>
    <row r="824" spans="1:27" ht="15.75" customHeight="1" x14ac:dyDescent="0.25">
      <c r="A824" s="61"/>
      <c r="B824" s="61"/>
      <c r="C824" s="61"/>
      <c r="D824" s="56"/>
      <c r="E824" s="56"/>
      <c r="F824" s="56"/>
      <c r="G824" s="56"/>
      <c r="H824" s="56"/>
      <c r="I824" s="56"/>
      <c r="J824" s="56"/>
      <c r="K824" s="56"/>
      <c r="L824" s="56"/>
      <c r="M824" s="56"/>
      <c r="N824" s="56"/>
      <c r="O824" s="56"/>
      <c r="P824" s="56"/>
      <c r="Q824" s="56"/>
      <c r="R824" s="56"/>
      <c r="S824" s="56"/>
      <c r="T824" s="56"/>
      <c r="U824" s="56"/>
      <c r="V824" s="56"/>
      <c r="W824" s="56"/>
      <c r="X824" s="56"/>
      <c r="Y824" s="56"/>
      <c r="Z824" s="56"/>
      <c r="AA824" s="56"/>
    </row>
    <row r="825" spans="1:27" ht="15.75" customHeight="1" x14ac:dyDescent="0.25">
      <c r="A825" s="61"/>
      <c r="B825" s="61"/>
      <c r="C825" s="61"/>
      <c r="D825" s="56"/>
      <c r="E825" s="56"/>
      <c r="F825" s="56"/>
      <c r="G825" s="56"/>
      <c r="H825" s="56"/>
      <c r="I825" s="56"/>
      <c r="J825" s="56"/>
      <c r="K825" s="56"/>
      <c r="L825" s="56"/>
      <c r="M825" s="56"/>
      <c r="N825" s="56"/>
      <c r="O825" s="56"/>
      <c r="P825" s="56"/>
      <c r="Q825" s="56"/>
      <c r="R825" s="56"/>
      <c r="S825" s="56"/>
      <c r="T825" s="56"/>
      <c r="U825" s="56"/>
      <c r="V825" s="56"/>
      <c r="W825" s="56"/>
      <c r="X825" s="56"/>
      <c r="Y825" s="56"/>
      <c r="Z825" s="56"/>
      <c r="AA825" s="56"/>
    </row>
    <row r="826" spans="1:27" ht="15.75" customHeight="1" x14ac:dyDescent="0.25">
      <c r="A826" s="61"/>
      <c r="B826" s="61"/>
      <c r="C826" s="61"/>
      <c r="D826" s="56"/>
      <c r="E826" s="56"/>
      <c r="F826" s="56"/>
      <c r="G826" s="56"/>
      <c r="H826" s="56"/>
      <c r="I826" s="56"/>
      <c r="J826" s="56"/>
      <c r="K826" s="56"/>
      <c r="L826" s="56"/>
      <c r="M826" s="56"/>
      <c r="N826" s="56"/>
      <c r="O826" s="56"/>
      <c r="P826" s="56"/>
      <c r="Q826" s="56"/>
      <c r="R826" s="56"/>
      <c r="S826" s="56"/>
      <c r="T826" s="56"/>
      <c r="U826" s="56"/>
      <c r="V826" s="56"/>
      <c r="W826" s="56"/>
      <c r="X826" s="56"/>
      <c r="Y826" s="56"/>
      <c r="Z826" s="56"/>
      <c r="AA826" s="56"/>
    </row>
    <row r="827" spans="1:27" ht="15.75" customHeight="1" x14ac:dyDescent="0.25">
      <c r="A827" s="61"/>
      <c r="B827" s="61"/>
      <c r="C827" s="61"/>
      <c r="D827" s="56"/>
      <c r="E827" s="56"/>
      <c r="F827" s="56"/>
      <c r="G827" s="56"/>
      <c r="H827" s="56"/>
      <c r="I827" s="56"/>
      <c r="J827" s="56"/>
      <c r="K827" s="56"/>
      <c r="L827" s="56"/>
      <c r="M827" s="56"/>
      <c r="N827" s="56"/>
      <c r="O827" s="56"/>
      <c r="P827" s="56"/>
      <c r="Q827" s="56"/>
      <c r="R827" s="56"/>
      <c r="S827" s="56"/>
      <c r="T827" s="56"/>
      <c r="U827" s="56"/>
      <c r="V827" s="56"/>
      <c r="W827" s="56"/>
      <c r="X827" s="56"/>
      <c r="Y827" s="56"/>
      <c r="Z827" s="56"/>
      <c r="AA827" s="56"/>
    </row>
    <row r="828" spans="1:27" ht="15.75" customHeight="1" x14ac:dyDescent="0.25">
      <c r="A828" s="61"/>
      <c r="B828" s="61"/>
      <c r="C828" s="61"/>
      <c r="D828" s="56"/>
      <c r="E828" s="56"/>
      <c r="F828" s="56"/>
      <c r="G828" s="56"/>
      <c r="H828" s="56"/>
      <c r="I828" s="56"/>
      <c r="J828" s="56"/>
      <c r="K828" s="56"/>
      <c r="L828" s="56"/>
      <c r="M828" s="56"/>
      <c r="N828" s="56"/>
      <c r="O828" s="56"/>
      <c r="P828" s="56"/>
      <c r="Q828" s="56"/>
      <c r="R828" s="56"/>
      <c r="S828" s="56"/>
      <c r="T828" s="56"/>
      <c r="U828" s="56"/>
      <c r="V828" s="56"/>
      <c r="W828" s="56"/>
      <c r="X828" s="56"/>
      <c r="Y828" s="56"/>
      <c r="Z828" s="56"/>
      <c r="AA828" s="56"/>
    </row>
    <row r="829" spans="1:27" ht="15.75" customHeight="1" x14ac:dyDescent="0.25">
      <c r="A829" s="61"/>
      <c r="B829" s="61"/>
      <c r="C829" s="61"/>
      <c r="D829" s="56"/>
      <c r="E829" s="56"/>
      <c r="F829" s="56"/>
      <c r="G829" s="56"/>
      <c r="H829" s="56"/>
      <c r="I829" s="56"/>
      <c r="J829" s="56"/>
      <c r="K829" s="56"/>
      <c r="L829" s="56"/>
      <c r="M829" s="56"/>
      <c r="N829" s="56"/>
      <c r="O829" s="56"/>
      <c r="P829" s="56"/>
      <c r="Q829" s="56"/>
      <c r="R829" s="56"/>
      <c r="S829" s="56"/>
      <c r="T829" s="56"/>
      <c r="U829" s="56"/>
      <c r="V829" s="56"/>
      <c r="W829" s="56"/>
      <c r="X829" s="56"/>
      <c r="Y829" s="56"/>
      <c r="Z829" s="56"/>
      <c r="AA829" s="56"/>
    </row>
    <row r="830" spans="1:27" ht="15.75" customHeight="1" x14ac:dyDescent="0.25">
      <c r="A830" s="61"/>
      <c r="B830" s="61"/>
      <c r="C830" s="61"/>
      <c r="D830" s="56"/>
      <c r="E830" s="56"/>
      <c r="F830" s="56"/>
      <c r="G830" s="56"/>
      <c r="H830" s="56"/>
      <c r="I830" s="56"/>
      <c r="J830" s="56"/>
      <c r="K830" s="56"/>
      <c r="L830" s="56"/>
      <c r="M830" s="56"/>
      <c r="N830" s="56"/>
      <c r="O830" s="56"/>
      <c r="P830" s="56"/>
      <c r="Q830" s="56"/>
      <c r="R830" s="56"/>
      <c r="S830" s="56"/>
      <c r="T830" s="56"/>
      <c r="U830" s="56"/>
      <c r="V830" s="56"/>
      <c r="W830" s="56"/>
      <c r="X830" s="56"/>
      <c r="Y830" s="56"/>
      <c r="Z830" s="56"/>
      <c r="AA830" s="56"/>
    </row>
    <row r="831" spans="1:27" ht="15.75" customHeight="1" x14ac:dyDescent="0.25">
      <c r="A831" s="61"/>
      <c r="B831" s="61"/>
      <c r="C831" s="61"/>
      <c r="D831" s="56"/>
      <c r="E831" s="56"/>
      <c r="F831" s="56"/>
      <c r="G831" s="56"/>
      <c r="H831" s="56"/>
      <c r="I831" s="56"/>
      <c r="J831" s="56"/>
      <c r="K831" s="56"/>
      <c r="L831" s="56"/>
      <c r="M831" s="56"/>
      <c r="N831" s="56"/>
      <c r="O831" s="56"/>
      <c r="P831" s="56"/>
      <c r="Q831" s="56"/>
      <c r="R831" s="56"/>
      <c r="S831" s="56"/>
      <c r="T831" s="56"/>
      <c r="U831" s="56"/>
      <c r="V831" s="56"/>
      <c r="W831" s="56"/>
      <c r="X831" s="56"/>
      <c r="Y831" s="56"/>
      <c r="Z831" s="56"/>
      <c r="AA831" s="56"/>
    </row>
    <row r="832" spans="1:27" ht="15.75" customHeight="1" x14ac:dyDescent="0.25">
      <c r="A832" s="61"/>
      <c r="B832" s="61"/>
      <c r="C832" s="61"/>
      <c r="D832" s="56"/>
      <c r="E832" s="56"/>
      <c r="F832" s="56"/>
      <c r="G832" s="56"/>
      <c r="H832" s="56"/>
      <c r="I832" s="56"/>
      <c r="J832" s="56"/>
      <c r="K832" s="56"/>
      <c r="L832" s="56"/>
      <c r="M832" s="56"/>
      <c r="N832" s="56"/>
      <c r="O832" s="56"/>
      <c r="P832" s="56"/>
      <c r="Q832" s="56"/>
      <c r="R832" s="56"/>
      <c r="S832" s="56"/>
      <c r="T832" s="56"/>
      <c r="U832" s="56"/>
      <c r="V832" s="56"/>
      <c r="W832" s="56"/>
      <c r="X832" s="56"/>
      <c r="Y832" s="56"/>
      <c r="Z832" s="56"/>
      <c r="AA832" s="56"/>
    </row>
    <row r="833" spans="1:27" ht="15.75" customHeight="1" x14ac:dyDescent="0.25">
      <c r="A833" s="61"/>
      <c r="B833" s="61"/>
      <c r="C833" s="61"/>
      <c r="D833" s="56"/>
      <c r="E833" s="56"/>
      <c r="F833" s="56"/>
      <c r="G833" s="56"/>
      <c r="H833" s="56"/>
      <c r="I833" s="56"/>
      <c r="J833" s="56"/>
      <c r="K833" s="56"/>
      <c r="L833" s="56"/>
      <c r="M833" s="56"/>
      <c r="N833" s="56"/>
      <c r="O833" s="56"/>
      <c r="P833" s="56"/>
      <c r="Q833" s="56"/>
      <c r="R833" s="56"/>
      <c r="S833" s="56"/>
      <c r="T833" s="56"/>
      <c r="U833" s="56"/>
      <c r="V833" s="56"/>
      <c r="W833" s="56"/>
      <c r="X833" s="56"/>
      <c r="Y833" s="56"/>
      <c r="Z833" s="56"/>
      <c r="AA833" s="56"/>
    </row>
    <row r="834" spans="1:27" ht="15.75" customHeight="1" x14ac:dyDescent="0.25">
      <c r="A834" s="61"/>
      <c r="B834" s="61"/>
      <c r="C834" s="61"/>
      <c r="D834" s="56"/>
      <c r="E834" s="56"/>
      <c r="F834" s="56"/>
      <c r="G834" s="56"/>
      <c r="H834" s="56"/>
      <c r="I834" s="56"/>
      <c r="J834" s="56"/>
      <c r="K834" s="56"/>
      <c r="L834" s="56"/>
      <c r="M834" s="56"/>
      <c r="N834" s="56"/>
      <c r="O834" s="56"/>
      <c r="P834" s="56"/>
      <c r="Q834" s="56"/>
      <c r="R834" s="56"/>
      <c r="S834" s="56"/>
      <c r="T834" s="56"/>
      <c r="U834" s="56"/>
      <c r="V834" s="56"/>
      <c r="W834" s="56"/>
      <c r="X834" s="56"/>
      <c r="Y834" s="56"/>
      <c r="Z834" s="56"/>
      <c r="AA834" s="56"/>
    </row>
    <row r="835" spans="1:27" ht="15.75" customHeight="1" x14ac:dyDescent="0.25">
      <c r="A835" s="61"/>
      <c r="B835" s="61"/>
      <c r="C835" s="61"/>
      <c r="D835" s="56"/>
      <c r="E835" s="56"/>
      <c r="F835" s="56"/>
      <c r="G835" s="56"/>
      <c r="H835" s="56"/>
      <c r="I835" s="56"/>
      <c r="J835" s="56"/>
      <c r="K835" s="56"/>
      <c r="L835" s="56"/>
      <c r="M835" s="56"/>
      <c r="N835" s="56"/>
      <c r="O835" s="56"/>
      <c r="P835" s="56"/>
      <c r="Q835" s="56"/>
      <c r="R835" s="56"/>
      <c r="S835" s="56"/>
      <c r="T835" s="56"/>
      <c r="U835" s="56"/>
      <c r="V835" s="56"/>
      <c r="W835" s="56"/>
      <c r="X835" s="56"/>
      <c r="Y835" s="56"/>
      <c r="Z835" s="56"/>
      <c r="AA835" s="56"/>
    </row>
    <row r="836" spans="1:27" ht="15.75" customHeight="1" x14ac:dyDescent="0.25">
      <c r="A836" s="61"/>
      <c r="B836" s="61"/>
      <c r="C836" s="61"/>
      <c r="D836" s="56"/>
      <c r="E836" s="56"/>
      <c r="F836" s="56"/>
      <c r="G836" s="56"/>
      <c r="H836" s="56"/>
      <c r="I836" s="56"/>
      <c r="J836" s="56"/>
      <c r="K836" s="56"/>
      <c r="L836" s="56"/>
      <c r="M836" s="56"/>
      <c r="N836" s="56"/>
      <c r="O836" s="56"/>
      <c r="P836" s="56"/>
      <c r="Q836" s="56"/>
      <c r="R836" s="56"/>
      <c r="S836" s="56"/>
      <c r="T836" s="56"/>
      <c r="U836" s="56"/>
      <c r="V836" s="56"/>
      <c r="W836" s="56"/>
      <c r="X836" s="56"/>
      <c r="Y836" s="56"/>
      <c r="Z836" s="56"/>
      <c r="AA836" s="56"/>
    </row>
    <row r="837" spans="1:27" ht="15.75" customHeight="1" x14ac:dyDescent="0.25">
      <c r="A837" s="61"/>
      <c r="B837" s="61"/>
      <c r="C837" s="61"/>
      <c r="D837" s="56"/>
      <c r="E837" s="56"/>
      <c r="F837" s="56"/>
      <c r="G837" s="56"/>
      <c r="H837" s="56"/>
      <c r="I837" s="56"/>
      <c r="J837" s="56"/>
      <c r="K837" s="56"/>
      <c r="L837" s="56"/>
      <c r="M837" s="56"/>
      <c r="N837" s="56"/>
      <c r="O837" s="56"/>
      <c r="P837" s="56"/>
      <c r="Q837" s="56"/>
      <c r="R837" s="56"/>
      <c r="S837" s="56"/>
      <c r="T837" s="56"/>
      <c r="U837" s="56"/>
      <c r="V837" s="56"/>
      <c r="W837" s="56"/>
      <c r="X837" s="56"/>
      <c r="Y837" s="56"/>
      <c r="Z837" s="56"/>
      <c r="AA837" s="56"/>
    </row>
    <row r="838" spans="1:27" ht="15.75" customHeight="1" x14ac:dyDescent="0.25">
      <c r="A838" s="61"/>
      <c r="B838" s="61"/>
      <c r="C838" s="61"/>
      <c r="D838" s="56"/>
      <c r="E838" s="56"/>
      <c r="F838" s="56"/>
      <c r="G838" s="56"/>
      <c r="H838" s="56"/>
      <c r="I838" s="56"/>
      <c r="J838" s="56"/>
      <c r="K838" s="56"/>
      <c r="L838" s="56"/>
      <c r="M838" s="56"/>
      <c r="N838" s="56"/>
      <c r="O838" s="56"/>
      <c r="P838" s="56"/>
      <c r="Q838" s="56"/>
      <c r="R838" s="56"/>
      <c r="S838" s="56"/>
      <c r="T838" s="56"/>
      <c r="U838" s="56"/>
      <c r="V838" s="56"/>
      <c r="W838" s="56"/>
      <c r="X838" s="56"/>
      <c r="Y838" s="56"/>
      <c r="Z838" s="56"/>
      <c r="AA838" s="56"/>
    </row>
    <row r="839" spans="1:27" ht="15.75" customHeight="1" x14ac:dyDescent="0.25">
      <c r="A839" s="61"/>
      <c r="B839" s="61"/>
      <c r="C839" s="61"/>
      <c r="D839" s="56"/>
      <c r="E839" s="56"/>
      <c r="F839" s="56"/>
      <c r="G839" s="56"/>
      <c r="H839" s="56"/>
      <c r="I839" s="56"/>
      <c r="J839" s="56"/>
      <c r="K839" s="56"/>
      <c r="L839" s="56"/>
      <c r="M839" s="56"/>
      <c r="N839" s="56"/>
      <c r="O839" s="56"/>
      <c r="P839" s="56"/>
      <c r="Q839" s="56"/>
      <c r="R839" s="56"/>
      <c r="S839" s="56"/>
      <c r="T839" s="56"/>
      <c r="U839" s="56"/>
      <c r="V839" s="56"/>
      <c r="W839" s="56"/>
      <c r="X839" s="56"/>
      <c r="Y839" s="56"/>
      <c r="Z839" s="56"/>
      <c r="AA839" s="56"/>
    </row>
    <row r="840" spans="1:27" ht="15.75" customHeight="1" x14ac:dyDescent="0.25">
      <c r="A840" s="61"/>
      <c r="B840" s="61"/>
      <c r="C840" s="61"/>
      <c r="D840" s="56"/>
      <c r="E840" s="56"/>
      <c r="F840" s="56"/>
      <c r="G840" s="56"/>
      <c r="H840" s="56"/>
      <c r="I840" s="56"/>
      <c r="J840" s="56"/>
      <c r="K840" s="56"/>
      <c r="L840" s="56"/>
      <c r="M840" s="56"/>
      <c r="N840" s="56"/>
      <c r="O840" s="56"/>
      <c r="P840" s="56"/>
      <c r="Q840" s="56"/>
      <c r="R840" s="56"/>
      <c r="S840" s="56"/>
      <c r="T840" s="56"/>
      <c r="U840" s="56"/>
      <c r="V840" s="56"/>
      <c r="W840" s="56"/>
      <c r="X840" s="56"/>
      <c r="Y840" s="56"/>
      <c r="Z840" s="56"/>
      <c r="AA840" s="56"/>
    </row>
    <row r="841" spans="1:27" ht="15.75" customHeight="1" x14ac:dyDescent="0.25">
      <c r="A841" s="61"/>
      <c r="B841" s="61"/>
      <c r="C841" s="61"/>
      <c r="D841" s="56"/>
      <c r="E841" s="56"/>
      <c r="F841" s="56"/>
      <c r="G841" s="56"/>
      <c r="H841" s="56"/>
      <c r="I841" s="56"/>
      <c r="J841" s="56"/>
      <c r="K841" s="56"/>
      <c r="L841" s="56"/>
      <c r="M841" s="56"/>
      <c r="N841" s="56"/>
      <c r="O841" s="56"/>
      <c r="P841" s="56"/>
      <c r="Q841" s="56"/>
      <c r="R841" s="56"/>
      <c r="S841" s="56"/>
      <c r="T841" s="56"/>
      <c r="U841" s="56"/>
      <c r="V841" s="56"/>
      <c r="W841" s="56"/>
      <c r="X841" s="56"/>
      <c r="Y841" s="56"/>
      <c r="Z841" s="56"/>
      <c r="AA841" s="56"/>
    </row>
    <row r="842" spans="1:27" ht="15.75" customHeight="1" x14ac:dyDescent="0.25">
      <c r="A842" s="61"/>
      <c r="B842" s="61"/>
      <c r="C842" s="61"/>
      <c r="D842" s="56"/>
      <c r="E842" s="56"/>
      <c r="F842" s="56"/>
      <c r="G842" s="56"/>
      <c r="H842" s="56"/>
      <c r="I842" s="56"/>
      <c r="J842" s="56"/>
      <c r="K842" s="56"/>
      <c r="L842" s="56"/>
      <c r="M842" s="56"/>
      <c r="N842" s="56"/>
      <c r="O842" s="56"/>
      <c r="P842" s="56"/>
      <c r="Q842" s="56"/>
      <c r="R842" s="56"/>
      <c r="S842" s="56"/>
      <c r="T842" s="56"/>
      <c r="U842" s="56"/>
      <c r="V842" s="56"/>
      <c r="W842" s="56"/>
      <c r="X842" s="56"/>
      <c r="Y842" s="56"/>
      <c r="Z842" s="56"/>
      <c r="AA842" s="56"/>
    </row>
    <row r="843" spans="1:27" ht="15.75" customHeight="1" x14ac:dyDescent="0.25">
      <c r="A843" s="61"/>
      <c r="B843" s="61"/>
      <c r="C843" s="61"/>
      <c r="D843" s="56"/>
      <c r="E843" s="56"/>
      <c r="F843" s="56"/>
      <c r="G843" s="56"/>
      <c r="H843" s="56"/>
      <c r="I843" s="56"/>
      <c r="J843" s="56"/>
      <c r="K843" s="56"/>
      <c r="L843" s="56"/>
      <c r="M843" s="56"/>
      <c r="N843" s="56"/>
      <c r="O843" s="56"/>
      <c r="P843" s="56"/>
      <c r="Q843" s="56"/>
      <c r="R843" s="56"/>
      <c r="S843" s="56"/>
      <c r="T843" s="56"/>
      <c r="U843" s="56"/>
      <c r="V843" s="56"/>
      <c r="W843" s="56"/>
      <c r="X843" s="56"/>
      <c r="Y843" s="56"/>
      <c r="Z843" s="56"/>
      <c r="AA843" s="56"/>
    </row>
    <row r="844" spans="1:27" ht="15.75" customHeight="1" x14ac:dyDescent="0.25">
      <c r="A844" s="61"/>
      <c r="B844" s="61"/>
      <c r="C844" s="61"/>
      <c r="D844" s="56"/>
      <c r="E844" s="56"/>
      <c r="F844" s="56"/>
      <c r="G844" s="56"/>
      <c r="H844" s="56"/>
      <c r="I844" s="56"/>
      <c r="J844" s="56"/>
      <c r="K844" s="56"/>
      <c r="L844" s="56"/>
      <c r="M844" s="56"/>
      <c r="N844" s="56"/>
      <c r="O844" s="56"/>
      <c r="P844" s="56"/>
      <c r="Q844" s="56"/>
      <c r="R844" s="56"/>
      <c r="S844" s="56"/>
      <c r="T844" s="56"/>
      <c r="U844" s="56"/>
      <c r="V844" s="56"/>
      <c r="W844" s="56"/>
      <c r="X844" s="56"/>
      <c r="Y844" s="56"/>
      <c r="Z844" s="56"/>
      <c r="AA844" s="56"/>
    </row>
    <row r="845" spans="1:27" ht="15.75" customHeight="1" x14ac:dyDescent="0.25">
      <c r="A845" s="61"/>
      <c r="B845" s="61"/>
      <c r="C845" s="61"/>
      <c r="D845" s="56"/>
      <c r="E845" s="56"/>
      <c r="F845" s="56"/>
      <c r="G845" s="56"/>
      <c r="H845" s="56"/>
      <c r="I845" s="56"/>
      <c r="J845" s="56"/>
      <c r="K845" s="56"/>
      <c r="L845" s="56"/>
      <c r="M845" s="56"/>
      <c r="N845" s="56"/>
      <c r="O845" s="56"/>
      <c r="P845" s="56"/>
      <c r="Q845" s="56"/>
      <c r="R845" s="56"/>
      <c r="S845" s="56"/>
      <c r="T845" s="56"/>
      <c r="U845" s="56"/>
      <c r="V845" s="56"/>
      <c r="W845" s="56"/>
      <c r="X845" s="56"/>
      <c r="Y845" s="56"/>
      <c r="Z845" s="56"/>
      <c r="AA845" s="56"/>
    </row>
    <row r="846" spans="1:27" ht="15.75" customHeight="1" x14ac:dyDescent="0.25">
      <c r="A846" s="61"/>
      <c r="B846" s="61"/>
      <c r="C846" s="61"/>
      <c r="D846" s="56"/>
      <c r="E846" s="56"/>
      <c r="F846" s="56"/>
      <c r="G846" s="56"/>
      <c r="H846" s="56"/>
      <c r="I846" s="56"/>
      <c r="J846" s="56"/>
      <c r="K846" s="56"/>
      <c r="L846" s="56"/>
      <c r="M846" s="56"/>
      <c r="N846" s="56"/>
      <c r="O846" s="56"/>
      <c r="P846" s="56"/>
      <c r="Q846" s="56"/>
      <c r="R846" s="56"/>
      <c r="S846" s="56"/>
      <c r="T846" s="56"/>
      <c r="U846" s="56"/>
      <c r="V846" s="56"/>
      <c r="W846" s="56"/>
      <c r="X846" s="56"/>
      <c r="Y846" s="56"/>
      <c r="Z846" s="56"/>
      <c r="AA846" s="56"/>
    </row>
    <row r="847" spans="1:27" ht="15.75" customHeight="1" x14ac:dyDescent="0.25">
      <c r="A847" s="61"/>
      <c r="B847" s="61"/>
      <c r="C847" s="61"/>
      <c r="D847" s="56"/>
      <c r="E847" s="56"/>
      <c r="F847" s="56"/>
      <c r="G847" s="56"/>
      <c r="H847" s="56"/>
      <c r="I847" s="56"/>
      <c r="J847" s="56"/>
      <c r="K847" s="56"/>
      <c r="L847" s="56"/>
      <c r="M847" s="56"/>
      <c r="N847" s="56"/>
      <c r="O847" s="56"/>
      <c r="P847" s="56"/>
      <c r="Q847" s="56"/>
      <c r="R847" s="56"/>
      <c r="S847" s="56"/>
      <c r="T847" s="56"/>
      <c r="U847" s="56"/>
      <c r="V847" s="56"/>
      <c r="W847" s="56"/>
      <c r="X847" s="56"/>
      <c r="Y847" s="56"/>
      <c r="Z847" s="56"/>
      <c r="AA847" s="56"/>
    </row>
    <row r="848" spans="1:27" ht="15.75" customHeight="1" x14ac:dyDescent="0.25">
      <c r="A848" s="61"/>
      <c r="B848" s="61"/>
      <c r="C848" s="61"/>
      <c r="D848" s="56"/>
      <c r="E848" s="56"/>
      <c r="F848" s="56"/>
      <c r="G848" s="56"/>
      <c r="H848" s="56"/>
      <c r="I848" s="56"/>
      <c r="J848" s="56"/>
      <c r="K848" s="56"/>
      <c r="L848" s="56"/>
      <c r="M848" s="56"/>
      <c r="N848" s="56"/>
      <c r="O848" s="56"/>
      <c r="P848" s="56"/>
      <c r="Q848" s="56"/>
      <c r="R848" s="56"/>
      <c r="S848" s="56"/>
      <c r="T848" s="56"/>
      <c r="U848" s="56"/>
      <c r="V848" s="56"/>
      <c r="W848" s="56"/>
      <c r="X848" s="56"/>
      <c r="Y848" s="56"/>
      <c r="Z848" s="56"/>
      <c r="AA848" s="56"/>
    </row>
    <row r="849" spans="1:27" ht="15.75" customHeight="1" x14ac:dyDescent="0.25">
      <c r="A849" s="61"/>
      <c r="B849" s="61"/>
      <c r="C849" s="61"/>
      <c r="D849" s="56"/>
      <c r="E849" s="56"/>
      <c r="F849" s="56"/>
      <c r="G849" s="56"/>
      <c r="H849" s="56"/>
      <c r="I849" s="56"/>
      <c r="J849" s="56"/>
      <c r="K849" s="56"/>
      <c r="L849" s="56"/>
      <c r="M849" s="56"/>
      <c r="N849" s="56"/>
      <c r="O849" s="56"/>
      <c r="P849" s="56"/>
      <c r="Q849" s="56"/>
      <c r="R849" s="56"/>
      <c r="S849" s="56"/>
      <c r="T849" s="56"/>
      <c r="U849" s="56"/>
      <c r="V849" s="56"/>
      <c r="W849" s="56"/>
      <c r="X849" s="56"/>
      <c r="Y849" s="56"/>
      <c r="Z849" s="56"/>
      <c r="AA849" s="56"/>
    </row>
    <row r="850" spans="1:27" ht="15.75" customHeight="1" x14ac:dyDescent="0.25">
      <c r="A850" s="61"/>
      <c r="B850" s="61"/>
      <c r="C850" s="61"/>
      <c r="D850" s="56"/>
      <c r="E850" s="56"/>
      <c r="F850" s="56"/>
      <c r="G850" s="56"/>
      <c r="H850" s="56"/>
      <c r="I850" s="56"/>
      <c r="J850" s="56"/>
      <c r="K850" s="56"/>
      <c r="L850" s="56"/>
      <c r="M850" s="56"/>
      <c r="N850" s="56"/>
      <c r="O850" s="56"/>
      <c r="P850" s="56"/>
      <c r="Q850" s="56"/>
      <c r="R850" s="56"/>
      <c r="S850" s="56"/>
      <c r="T850" s="56"/>
      <c r="U850" s="56"/>
      <c r="V850" s="56"/>
      <c r="W850" s="56"/>
      <c r="X850" s="56"/>
      <c r="Y850" s="56"/>
      <c r="Z850" s="56"/>
      <c r="AA850" s="56"/>
    </row>
    <row r="851" spans="1:27" ht="15.75" customHeight="1" x14ac:dyDescent="0.25">
      <c r="A851" s="61"/>
      <c r="B851" s="61"/>
      <c r="C851" s="61"/>
      <c r="D851" s="56"/>
      <c r="E851" s="56"/>
      <c r="F851" s="56"/>
      <c r="G851" s="56"/>
      <c r="H851" s="56"/>
      <c r="I851" s="56"/>
      <c r="J851" s="56"/>
      <c r="K851" s="56"/>
      <c r="L851" s="56"/>
      <c r="M851" s="56"/>
      <c r="N851" s="56"/>
      <c r="O851" s="56"/>
      <c r="P851" s="56"/>
      <c r="Q851" s="56"/>
      <c r="R851" s="56"/>
      <c r="S851" s="56"/>
      <c r="T851" s="56"/>
      <c r="U851" s="56"/>
      <c r="V851" s="56"/>
      <c r="W851" s="56"/>
      <c r="X851" s="56"/>
      <c r="Y851" s="56"/>
      <c r="Z851" s="56"/>
      <c r="AA851" s="56"/>
    </row>
    <row r="852" spans="1:27" ht="15.75" customHeight="1" x14ac:dyDescent="0.25">
      <c r="A852" s="61"/>
      <c r="B852" s="61"/>
      <c r="C852" s="61"/>
      <c r="D852" s="56"/>
      <c r="E852" s="56"/>
      <c r="F852" s="56"/>
      <c r="G852" s="56"/>
      <c r="H852" s="56"/>
      <c r="I852" s="56"/>
      <c r="J852" s="56"/>
      <c r="K852" s="56"/>
      <c r="L852" s="56"/>
      <c r="M852" s="56"/>
      <c r="N852" s="56"/>
      <c r="O852" s="56"/>
      <c r="P852" s="56"/>
      <c r="Q852" s="56"/>
      <c r="R852" s="56"/>
      <c r="S852" s="56"/>
      <c r="T852" s="56"/>
      <c r="U852" s="56"/>
      <c r="V852" s="56"/>
      <c r="W852" s="56"/>
      <c r="X852" s="56"/>
      <c r="Y852" s="56"/>
      <c r="Z852" s="56"/>
      <c r="AA852" s="56"/>
    </row>
    <row r="853" spans="1:27" ht="15.75" customHeight="1" x14ac:dyDescent="0.25">
      <c r="A853" s="61"/>
      <c r="B853" s="61"/>
      <c r="C853" s="61"/>
      <c r="D853" s="56"/>
      <c r="E853" s="56"/>
      <c r="F853" s="56"/>
      <c r="G853" s="56"/>
      <c r="H853" s="56"/>
      <c r="I853" s="56"/>
      <c r="J853" s="56"/>
      <c r="K853" s="56"/>
      <c r="L853" s="56"/>
      <c r="M853" s="56"/>
      <c r="N853" s="56"/>
      <c r="O853" s="56"/>
      <c r="P853" s="56"/>
      <c r="Q853" s="56"/>
      <c r="R853" s="56"/>
      <c r="S853" s="56"/>
      <c r="T853" s="56"/>
      <c r="U853" s="56"/>
      <c r="V853" s="56"/>
      <c r="W853" s="56"/>
      <c r="X853" s="56"/>
      <c r="Y853" s="56"/>
      <c r="Z853" s="56"/>
      <c r="AA853" s="56"/>
    </row>
    <row r="854" spans="1:27" ht="15.75" customHeight="1" x14ac:dyDescent="0.25">
      <c r="A854" s="61"/>
      <c r="B854" s="61"/>
      <c r="C854" s="61"/>
      <c r="D854" s="56"/>
      <c r="E854" s="56"/>
      <c r="F854" s="56"/>
      <c r="G854" s="56"/>
      <c r="H854" s="56"/>
      <c r="I854" s="56"/>
      <c r="J854" s="56"/>
      <c r="K854" s="56"/>
      <c r="L854" s="56"/>
      <c r="M854" s="56"/>
      <c r="N854" s="56"/>
      <c r="O854" s="56"/>
      <c r="P854" s="56"/>
      <c r="Q854" s="56"/>
      <c r="R854" s="56"/>
      <c r="S854" s="56"/>
      <c r="T854" s="56"/>
      <c r="U854" s="56"/>
      <c r="V854" s="56"/>
      <c r="W854" s="56"/>
      <c r="X854" s="56"/>
      <c r="Y854" s="56"/>
      <c r="Z854" s="56"/>
      <c r="AA854" s="56"/>
    </row>
    <row r="855" spans="1:27" ht="15.75" customHeight="1" x14ac:dyDescent="0.25">
      <c r="A855" s="61"/>
      <c r="B855" s="61"/>
      <c r="C855" s="61"/>
      <c r="D855" s="56"/>
      <c r="E855" s="56"/>
      <c r="F855" s="56"/>
      <c r="G855" s="56"/>
      <c r="H855" s="56"/>
      <c r="I855" s="56"/>
      <c r="J855" s="56"/>
      <c r="K855" s="56"/>
      <c r="L855" s="56"/>
      <c r="M855" s="56"/>
      <c r="N855" s="56"/>
      <c r="O855" s="56"/>
      <c r="P855" s="56"/>
      <c r="Q855" s="56"/>
      <c r="R855" s="56"/>
      <c r="S855" s="56"/>
      <c r="T855" s="56"/>
      <c r="U855" s="56"/>
      <c r="V855" s="56"/>
      <c r="W855" s="56"/>
      <c r="X855" s="56"/>
      <c r="Y855" s="56"/>
      <c r="Z855" s="56"/>
      <c r="AA855" s="56"/>
    </row>
    <row r="856" spans="1:27" ht="15.75" customHeight="1" x14ac:dyDescent="0.25">
      <c r="A856" s="61"/>
      <c r="B856" s="61"/>
      <c r="C856" s="61"/>
      <c r="D856" s="56"/>
      <c r="E856" s="56"/>
      <c r="F856" s="56"/>
      <c r="G856" s="56"/>
      <c r="H856" s="56"/>
      <c r="I856" s="56"/>
      <c r="J856" s="56"/>
      <c r="K856" s="56"/>
      <c r="L856" s="56"/>
      <c r="M856" s="56"/>
      <c r="N856" s="56"/>
      <c r="O856" s="56"/>
      <c r="P856" s="56"/>
      <c r="Q856" s="56"/>
      <c r="R856" s="56"/>
      <c r="S856" s="56"/>
      <c r="T856" s="56"/>
      <c r="U856" s="56"/>
      <c r="V856" s="56"/>
      <c r="W856" s="56"/>
      <c r="X856" s="56"/>
      <c r="Y856" s="56"/>
      <c r="Z856" s="56"/>
      <c r="AA856" s="56"/>
    </row>
    <row r="857" spans="1:27" ht="15.75" customHeight="1" x14ac:dyDescent="0.25">
      <c r="A857" s="61"/>
      <c r="B857" s="61"/>
      <c r="C857" s="61"/>
      <c r="D857" s="56"/>
      <c r="E857" s="56"/>
      <c r="F857" s="56"/>
      <c r="G857" s="56"/>
      <c r="H857" s="56"/>
      <c r="I857" s="56"/>
      <c r="J857" s="56"/>
      <c r="K857" s="56"/>
      <c r="L857" s="56"/>
      <c r="M857" s="56"/>
      <c r="N857" s="56"/>
      <c r="O857" s="56"/>
      <c r="P857" s="56"/>
      <c r="Q857" s="56"/>
      <c r="R857" s="56"/>
      <c r="S857" s="56"/>
      <c r="T857" s="56"/>
      <c r="U857" s="56"/>
      <c r="V857" s="56"/>
      <c r="W857" s="56"/>
      <c r="X857" s="56"/>
      <c r="Y857" s="56"/>
      <c r="Z857" s="56"/>
      <c r="AA857" s="56"/>
    </row>
    <row r="858" spans="1:27" ht="15.75" customHeight="1" x14ac:dyDescent="0.25">
      <c r="A858" s="61"/>
      <c r="B858" s="61"/>
      <c r="C858" s="61"/>
      <c r="D858" s="56"/>
      <c r="E858" s="56"/>
      <c r="F858" s="56"/>
      <c r="G858" s="56"/>
      <c r="H858" s="56"/>
      <c r="I858" s="56"/>
      <c r="J858" s="56"/>
      <c r="K858" s="56"/>
      <c r="L858" s="56"/>
      <c r="M858" s="56"/>
      <c r="N858" s="56"/>
      <c r="O858" s="56"/>
      <c r="P858" s="56"/>
      <c r="Q858" s="56"/>
      <c r="R858" s="56"/>
      <c r="S858" s="56"/>
      <c r="T858" s="56"/>
      <c r="U858" s="56"/>
      <c r="V858" s="56"/>
      <c r="W858" s="56"/>
      <c r="X858" s="56"/>
      <c r="Y858" s="56"/>
      <c r="Z858" s="56"/>
      <c r="AA858" s="56"/>
    </row>
    <row r="859" spans="1:27" ht="15.75" customHeight="1" x14ac:dyDescent="0.25">
      <c r="A859" s="61"/>
      <c r="B859" s="61"/>
      <c r="C859" s="61"/>
      <c r="D859" s="56"/>
      <c r="E859" s="56"/>
      <c r="F859" s="56"/>
      <c r="G859" s="56"/>
      <c r="H859" s="56"/>
      <c r="I859" s="56"/>
      <c r="J859" s="56"/>
      <c r="K859" s="56"/>
      <c r="L859" s="56"/>
      <c r="M859" s="56"/>
      <c r="N859" s="56"/>
      <c r="O859" s="56"/>
      <c r="P859" s="56"/>
      <c r="Q859" s="56"/>
      <c r="R859" s="56"/>
      <c r="S859" s="56"/>
      <c r="T859" s="56"/>
      <c r="U859" s="56"/>
      <c r="V859" s="56"/>
      <c r="W859" s="56"/>
      <c r="X859" s="56"/>
      <c r="Y859" s="56"/>
      <c r="Z859" s="56"/>
      <c r="AA859" s="56"/>
    </row>
    <row r="860" spans="1:27" ht="15.75" customHeight="1" x14ac:dyDescent="0.25">
      <c r="A860" s="61"/>
      <c r="B860" s="61"/>
      <c r="C860" s="61"/>
      <c r="D860" s="56"/>
      <c r="E860" s="56"/>
      <c r="F860" s="56"/>
      <c r="G860" s="56"/>
      <c r="H860" s="56"/>
      <c r="I860" s="56"/>
      <c r="J860" s="56"/>
      <c r="K860" s="56"/>
      <c r="L860" s="56"/>
      <c r="M860" s="56"/>
      <c r="N860" s="56"/>
      <c r="O860" s="56"/>
      <c r="P860" s="56"/>
      <c r="Q860" s="56"/>
      <c r="R860" s="56"/>
      <c r="S860" s="56"/>
      <c r="T860" s="56"/>
      <c r="U860" s="56"/>
      <c r="V860" s="56"/>
      <c r="W860" s="56"/>
      <c r="X860" s="56"/>
      <c r="Y860" s="56"/>
      <c r="Z860" s="56"/>
      <c r="AA860" s="56"/>
    </row>
    <row r="861" spans="1:27" ht="15.75" customHeight="1" x14ac:dyDescent="0.25">
      <c r="A861" s="61"/>
      <c r="B861" s="61"/>
      <c r="C861" s="61"/>
      <c r="D861" s="56"/>
      <c r="E861" s="56"/>
      <c r="F861" s="56"/>
      <c r="G861" s="56"/>
      <c r="H861" s="56"/>
      <c r="I861" s="56"/>
      <c r="J861" s="56"/>
      <c r="K861" s="56"/>
      <c r="L861" s="56"/>
      <c r="M861" s="56"/>
      <c r="N861" s="56"/>
      <c r="O861" s="56"/>
      <c r="P861" s="56"/>
      <c r="Q861" s="56"/>
      <c r="R861" s="56"/>
      <c r="S861" s="56"/>
      <c r="T861" s="56"/>
      <c r="U861" s="56"/>
      <c r="V861" s="56"/>
      <c r="W861" s="56"/>
      <c r="X861" s="56"/>
      <c r="Y861" s="56"/>
      <c r="Z861" s="56"/>
      <c r="AA861" s="56"/>
    </row>
    <row r="862" spans="1:27" ht="15.75" customHeight="1" x14ac:dyDescent="0.25">
      <c r="A862" s="61"/>
      <c r="B862" s="61"/>
      <c r="C862" s="61"/>
      <c r="D862" s="56"/>
      <c r="E862" s="56"/>
      <c r="F862" s="56"/>
      <c r="G862" s="56"/>
      <c r="H862" s="56"/>
      <c r="I862" s="56"/>
      <c r="J862" s="56"/>
      <c r="K862" s="56"/>
      <c r="L862" s="56"/>
      <c r="M862" s="56"/>
      <c r="N862" s="56"/>
      <c r="O862" s="56"/>
      <c r="P862" s="56"/>
      <c r="Q862" s="56"/>
      <c r="R862" s="56"/>
      <c r="S862" s="56"/>
      <c r="T862" s="56"/>
      <c r="U862" s="56"/>
      <c r="V862" s="56"/>
      <c r="W862" s="56"/>
      <c r="X862" s="56"/>
      <c r="Y862" s="56"/>
      <c r="Z862" s="56"/>
      <c r="AA862" s="56"/>
    </row>
    <row r="863" spans="1:27" ht="15.75" customHeight="1" x14ac:dyDescent="0.25">
      <c r="A863" s="61"/>
      <c r="B863" s="61"/>
      <c r="C863" s="61"/>
      <c r="D863" s="56"/>
      <c r="E863" s="56"/>
      <c r="F863" s="56"/>
      <c r="G863" s="56"/>
      <c r="H863" s="56"/>
      <c r="I863" s="56"/>
      <c r="J863" s="56"/>
      <c r="K863" s="56"/>
      <c r="L863" s="56"/>
      <c r="M863" s="56"/>
      <c r="N863" s="56"/>
      <c r="O863" s="56"/>
      <c r="P863" s="56"/>
      <c r="Q863" s="56"/>
      <c r="R863" s="56"/>
      <c r="S863" s="56"/>
      <c r="T863" s="56"/>
      <c r="U863" s="56"/>
      <c r="V863" s="56"/>
      <c r="W863" s="56"/>
      <c r="X863" s="56"/>
      <c r="Y863" s="56"/>
      <c r="Z863" s="56"/>
      <c r="AA863" s="56"/>
    </row>
    <row r="864" spans="1:27" ht="15.75" customHeight="1" x14ac:dyDescent="0.25">
      <c r="A864" s="61"/>
      <c r="B864" s="61"/>
      <c r="C864" s="61"/>
      <c r="D864" s="56"/>
      <c r="E864" s="56"/>
      <c r="F864" s="56"/>
      <c r="G864" s="56"/>
      <c r="H864" s="56"/>
      <c r="I864" s="56"/>
      <c r="J864" s="56"/>
      <c r="K864" s="56"/>
      <c r="L864" s="56"/>
      <c r="M864" s="56"/>
      <c r="N864" s="56"/>
      <c r="O864" s="56"/>
      <c r="P864" s="56"/>
      <c r="Q864" s="56"/>
      <c r="R864" s="56"/>
      <c r="S864" s="56"/>
      <c r="T864" s="56"/>
      <c r="U864" s="56"/>
      <c r="V864" s="56"/>
      <c r="W864" s="56"/>
      <c r="X864" s="56"/>
      <c r="Y864" s="56"/>
      <c r="Z864" s="56"/>
      <c r="AA864" s="56"/>
    </row>
    <row r="865" spans="1:27" ht="15.75" customHeight="1" x14ac:dyDescent="0.25">
      <c r="A865" s="61"/>
      <c r="B865" s="61"/>
      <c r="C865" s="61"/>
      <c r="D865" s="56"/>
      <c r="E865" s="56"/>
      <c r="F865" s="56"/>
      <c r="G865" s="56"/>
      <c r="H865" s="56"/>
      <c r="I865" s="56"/>
      <c r="J865" s="56"/>
      <c r="K865" s="56"/>
      <c r="L865" s="56"/>
      <c r="M865" s="56"/>
      <c r="N865" s="56"/>
      <c r="O865" s="56"/>
      <c r="P865" s="56"/>
      <c r="Q865" s="56"/>
      <c r="R865" s="56"/>
      <c r="S865" s="56"/>
      <c r="T865" s="56"/>
      <c r="U865" s="56"/>
      <c r="V865" s="56"/>
      <c r="W865" s="56"/>
      <c r="X865" s="56"/>
      <c r="Y865" s="56"/>
      <c r="Z865" s="56"/>
      <c r="AA865" s="56"/>
    </row>
    <row r="866" spans="1:27" ht="15.75" customHeight="1" x14ac:dyDescent="0.25">
      <c r="A866" s="61"/>
      <c r="B866" s="61"/>
      <c r="C866" s="61"/>
      <c r="D866" s="56"/>
      <c r="E866" s="56"/>
      <c r="F866" s="56"/>
      <c r="G866" s="56"/>
      <c r="H866" s="56"/>
      <c r="I866" s="56"/>
      <c r="J866" s="56"/>
      <c r="K866" s="56"/>
      <c r="L866" s="56"/>
      <c r="M866" s="56"/>
      <c r="N866" s="56"/>
      <c r="O866" s="56"/>
      <c r="P866" s="56"/>
      <c r="Q866" s="56"/>
      <c r="R866" s="56"/>
      <c r="S866" s="56"/>
      <c r="T866" s="56"/>
      <c r="U866" s="56"/>
      <c r="V866" s="56"/>
      <c r="W866" s="56"/>
      <c r="X866" s="56"/>
      <c r="Y866" s="56"/>
      <c r="Z866" s="56"/>
      <c r="AA866" s="56"/>
    </row>
    <row r="867" spans="1:27" ht="15.75" customHeight="1" x14ac:dyDescent="0.25">
      <c r="A867" s="61"/>
      <c r="B867" s="61"/>
      <c r="C867" s="61"/>
      <c r="D867" s="56"/>
      <c r="E867" s="56"/>
      <c r="F867" s="56"/>
      <c r="G867" s="56"/>
      <c r="H867" s="56"/>
      <c r="I867" s="56"/>
      <c r="J867" s="56"/>
      <c r="K867" s="56"/>
      <c r="L867" s="56"/>
      <c r="M867" s="56"/>
      <c r="N867" s="56"/>
      <c r="O867" s="56"/>
      <c r="P867" s="56"/>
      <c r="Q867" s="56"/>
      <c r="R867" s="56"/>
      <c r="S867" s="56"/>
      <c r="T867" s="56"/>
      <c r="U867" s="56"/>
      <c r="V867" s="56"/>
      <c r="W867" s="56"/>
      <c r="X867" s="56"/>
      <c r="Y867" s="56"/>
      <c r="Z867" s="56"/>
      <c r="AA867" s="56"/>
    </row>
    <row r="868" spans="1:27" ht="15.75" customHeight="1" x14ac:dyDescent="0.25">
      <c r="A868" s="61"/>
      <c r="B868" s="61"/>
      <c r="C868" s="61"/>
      <c r="D868" s="56"/>
      <c r="E868" s="56"/>
      <c r="F868" s="56"/>
      <c r="G868" s="56"/>
      <c r="H868" s="56"/>
      <c r="I868" s="56"/>
      <c r="J868" s="56"/>
      <c r="K868" s="56"/>
      <c r="L868" s="56"/>
      <c r="M868" s="56"/>
      <c r="N868" s="56"/>
      <c r="O868" s="56"/>
      <c r="P868" s="56"/>
      <c r="Q868" s="56"/>
      <c r="R868" s="56"/>
      <c r="S868" s="56"/>
      <c r="T868" s="56"/>
      <c r="U868" s="56"/>
      <c r="V868" s="56"/>
      <c r="W868" s="56"/>
      <c r="X868" s="56"/>
      <c r="Y868" s="56"/>
      <c r="Z868" s="56"/>
      <c r="AA868" s="56"/>
    </row>
    <row r="869" spans="1:27" ht="15.75" customHeight="1" x14ac:dyDescent="0.25">
      <c r="A869" s="61"/>
      <c r="B869" s="61"/>
      <c r="C869" s="61"/>
      <c r="D869" s="56"/>
      <c r="E869" s="56"/>
      <c r="F869" s="56"/>
      <c r="G869" s="56"/>
      <c r="H869" s="56"/>
      <c r="I869" s="56"/>
      <c r="J869" s="56"/>
      <c r="K869" s="56"/>
      <c r="L869" s="56"/>
      <c r="M869" s="56"/>
      <c r="N869" s="56"/>
      <c r="O869" s="56"/>
      <c r="P869" s="56"/>
      <c r="Q869" s="56"/>
      <c r="R869" s="56"/>
      <c r="S869" s="56"/>
      <c r="T869" s="56"/>
      <c r="U869" s="56"/>
      <c r="V869" s="56"/>
      <c r="W869" s="56"/>
      <c r="X869" s="56"/>
      <c r="Y869" s="56"/>
      <c r="Z869" s="56"/>
      <c r="AA869" s="56"/>
    </row>
    <row r="870" spans="1:27" ht="15.75" customHeight="1" x14ac:dyDescent="0.25">
      <c r="A870" s="61"/>
      <c r="B870" s="61"/>
      <c r="C870" s="61"/>
      <c r="D870" s="56"/>
      <c r="E870" s="56"/>
      <c r="F870" s="56"/>
      <c r="G870" s="56"/>
      <c r="H870" s="56"/>
      <c r="I870" s="56"/>
      <c r="J870" s="56"/>
      <c r="K870" s="56"/>
      <c r="L870" s="56"/>
      <c r="M870" s="56"/>
      <c r="N870" s="56"/>
      <c r="O870" s="56"/>
      <c r="P870" s="56"/>
      <c r="Q870" s="56"/>
      <c r="R870" s="56"/>
      <c r="S870" s="56"/>
      <c r="T870" s="56"/>
      <c r="U870" s="56"/>
      <c r="V870" s="56"/>
      <c r="W870" s="56"/>
      <c r="X870" s="56"/>
      <c r="Y870" s="56"/>
      <c r="Z870" s="56"/>
      <c r="AA870" s="56"/>
    </row>
    <row r="871" spans="1:27" ht="15.75" customHeight="1" x14ac:dyDescent="0.25">
      <c r="A871" s="61"/>
      <c r="B871" s="61"/>
      <c r="C871" s="61"/>
      <c r="D871" s="56"/>
      <c r="E871" s="56"/>
      <c r="F871" s="56"/>
      <c r="G871" s="56"/>
      <c r="H871" s="56"/>
      <c r="I871" s="56"/>
      <c r="J871" s="56"/>
      <c r="K871" s="56"/>
      <c r="L871" s="56"/>
      <c r="M871" s="56"/>
      <c r="N871" s="56"/>
      <c r="O871" s="56"/>
      <c r="P871" s="56"/>
      <c r="Q871" s="56"/>
      <c r="R871" s="56"/>
      <c r="S871" s="56"/>
      <c r="T871" s="56"/>
      <c r="U871" s="56"/>
      <c r="V871" s="56"/>
      <c r="W871" s="56"/>
      <c r="X871" s="56"/>
      <c r="Y871" s="56"/>
      <c r="Z871" s="56"/>
      <c r="AA871" s="56"/>
    </row>
    <row r="872" spans="1:27" ht="15.75" customHeight="1" x14ac:dyDescent="0.25">
      <c r="A872" s="61"/>
      <c r="B872" s="61"/>
      <c r="C872" s="61"/>
      <c r="D872" s="56"/>
      <c r="E872" s="56"/>
      <c r="F872" s="56"/>
      <c r="G872" s="56"/>
      <c r="H872" s="56"/>
      <c r="I872" s="56"/>
      <c r="J872" s="56"/>
      <c r="K872" s="56"/>
      <c r="L872" s="56"/>
      <c r="M872" s="56"/>
      <c r="N872" s="56"/>
      <c r="O872" s="56"/>
      <c r="P872" s="56"/>
      <c r="Q872" s="56"/>
      <c r="R872" s="56"/>
      <c r="S872" s="56"/>
      <c r="T872" s="56"/>
      <c r="U872" s="56"/>
      <c r="V872" s="56"/>
      <c r="W872" s="56"/>
      <c r="X872" s="56"/>
      <c r="Y872" s="56"/>
      <c r="Z872" s="56"/>
      <c r="AA872" s="56"/>
    </row>
    <row r="873" spans="1:27" ht="15.75" customHeight="1" x14ac:dyDescent="0.25">
      <c r="A873" s="61"/>
      <c r="B873" s="61"/>
      <c r="C873" s="61"/>
      <c r="D873" s="56"/>
      <c r="E873" s="56"/>
      <c r="F873" s="56"/>
      <c r="G873" s="56"/>
      <c r="H873" s="56"/>
      <c r="I873" s="56"/>
      <c r="J873" s="56"/>
      <c r="K873" s="56"/>
      <c r="L873" s="56"/>
      <c r="M873" s="56"/>
      <c r="N873" s="56"/>
      <c r="O873" s="56"/>
      <c r="P873" s="56"/>
      <c r="Q873" s="56"/>
      <c r="R873" s="56"/>
      <c r="S873" s="56"/>
      <c r="T873" s="56"/>
      <c r="U873" s="56"/>
      <c r="V873" s="56"/>
      <c r="W873" s="56"/>
      <c r="X873" s="56"/>
      <c r="Y873" s="56"/>
      <c r="Z873" s="56"/>
      <c r="AA873" s="56"/>
    </row>
    <row r="874" spans="1:27" ht="15.75" customHeight="1" x14ac:dyDescent="0.25">
      <c r="A874" s="61"/>
      <c r="B874" s="61"/>
      <c r="C874" s="61"/>
      <c r="D874" s="56"/>
      <c r="E874" s="56"/>
      <c r="F874" s="56"/>
      <c r="G874" s="56"/>
      <c r="H874" s="56"/>
      <c r="I874" s="56"/>
      <c r="J874" s="56"/>
      <c r="K874" s="56"/>
      <c r="L874" s="56"/>
      <c r="M874" s="56"/>
      <c r="N874" s="56"/>
      <c r="O874" s="56"/>
      <c r="P874" s="56"/>
      <c r="Q874" s="56"/>
      <c r="R874" s="56"/>
      <c r="S874" s="56"/>
      <c r="T874" s="56"/>
      <c r="U874" s="56"/>
      <c r="V874" s="56"/>
      <c r="W874" s="56"/>
      <c r="X874" s="56"/>
      <c r="Y874" s="56"/>
      <c r="Z874" s="56"/>
      <c r="AA874" s="56"/>
    </row>
    <row r="875" spans="1:27" ht="15.75" customHeight="1" x14ac:dyDescent="0.25">
      <c r="A875" s="61"/>
      <c r="B875" s="61"/>
      <c r="C875" s="61"/>
      <c r="D875" s="56"/>
      <c r="E875" s="56"/>
      <c r="F875" s="56"/>
      <c r="G875" s="56"/>
      <c r="H875" s="56"/>
      <c r="I875" s="56"/>
      <c r="J875" s="56"/>
      <c r="K875" s="56"/>
      <c r="L875" s="56"/>
      <c r="M875" s="56"/>
      <c r="N875" s="56"/>
      <c r="O875" s="56"/>
      <c r="P875" s="56"/>
      <c r="Q875" s="56"/>
      <c r="R875" s="56"/>
      <c r="S875" s="56"/>
      <c r="T875" s="56"/>
      <c r="U875" s="56"/>
      <c r="V875" s="56"/>
      <c r="W875" s="56"/>
      <c r="X875" s="56"/>
      <c r="Y875" s="56"/>
      <c r="Z875" s="56"/>
      <c r="AA875" s="56"/>
    </row>
    <row r="876" spans="1:27" ht="15.75" customHeight="1" x14ac:dyDescent="0.25">
      <c r="A876" s="61"/>
      <c r="B876" s="61"/>
      <c r="C876" s="61"/>
      <c r="D876" s="56"/>
      <c r="E876" s="56"/>
      <c r="F876" s="56"/>
      <c r="G876" s="56"/>
      <c r="H876" s="56"/>
      <c r="I876" s="56"/>
      <c r="J876" s="56"/>
      <c r="K876" s="56"/>
      <c r="L876" s="56"/>
      <c r="M876" s="56"/>
      <c r="N876" s="56"/>
      <c r="O876" s="56"/>
      <c r="P876" s="56"/>
      <c r="Q876" s="56"/>
      <c r="R876" s="56"/>
      <c r="S876" s="56"/>
      <c r="T876" s="56"/>
      <c r="U876" s="56"/>
      <c r="V876" s="56"/>
      <c r="W876" s="56"/>
      <c r="X876" s="56"/>
      <c r="Y876" s="56"/>
      <c r="Z876" s="56"/>
      <c r="AA876" s="56"/>
    </row>
    <row r="877" spans="1:27" ht="15.75" customHeight="1" x14ac:dyDescent="0.25">
      <c r="A877" s="61"/>
      <c r="B877" s="61"/>
      <c r="C877" s="61"/>
      <c r="D877" s="56"/>
      <c r="E877" s="56"/>
      <c r="F877" s="56"/>
      <c r="G877" s="56"/>
      <c r="H877" s="56"/>
      <c r="I877" s="56"/>
      <c r="J877" s="56"/>
      <c r="K877" s="56"/>
      <c r="L877" s="56"/>
      <c r="M877" s="56"/>
      <c r="N877" s="56"/>
      <c r="O877" s="56"/>
      <c r="P877" s="56"/>
      <c r="Q877" s="56"/>
      <c r="R877" s="56"/>
      <c r="S877" s="56"/>
      <c r="T877" s="56"/>
      <c r="U877" s="56"/>
      <c r="V877" s="56"/>
      <c r="W877" s="56"/>
      <c r="X877" s="56"/>
      <c r="Y877" s="56"/>
      <c r="Z877" s="56"/>
      <c r="AA877" s="56"/>
    </row>
    <row r="878" spans="1:27" ht="15.75" customHeight="1" x14ac:dyDescent="0.25">
      <c r="A878" s="61"/>
      <c r="B878" s="61"/>
      <c r="C878" s="61"/>
      <c r="D878" s="56"/>
      <c r="E878" s="56"/>
      <c r="F878" s="56"/>
      <c r="G878" s="56"/>
      <c r="H878" s="56"/>
      <c r="I878" s="56"/>
      <c r="J878" s="56"/>
      <c r="K878" s="56"/>
      <c r="L878" s="56"/>
      <c r="M878" s="56"/>
      <c r="N878" s="56"/>
      <c r="O878" s="56"/>
      <c r="P878" s="56"/>
      <c r="Q878" s="56"/>
      <c r="R878" s="56"/>
      <c r="S878" s="56"/>
      <c r="T878" s="56"/>
      <c r="U878" s="56"/>
      <c r="V878" s="56"/>
      <c r="W878" s="56"/>
      <c r="X878" s="56"/>
      <c r="Y878" s="56"/>
      <c r="Z878" s="56"/>
      <c r="AA878" s="56"/>
    </row>
    <row r="879" spans="1:27" ht="15.75" customHeight="1" x14ac:dyDescent="0.25">
      <c r="A879" s="61"/>
      <c r="B879" s="61"/>
      <c r="C879" s="61"/>
      <c r="D879" s="56"/>
      <c r="E879" s="56"/>
      <c r="F879" s="56"/>
      <c r="G879" s="56"/>
      <c r="H879" s="56"/>
      <c r="I879" s="56"/>
      <c r="J879" s="56"/>
      <c r="K879" s="56"/>
      <c r="L879" s="56"/>
      <c r="M879" s="56"/>
      <c r="N879" s="56"/>
      <c r="O879" s="56"/>
      <c r="P879" s="56"/>
      <c r="Q879" s="56"/>
      <c r="R879" s="56"/>
      <c r="S879" s="56"/>
      <c r="T879" s="56"/>
      <c r="U879" s="56"/>
      <c r="V879" s="56"/>
      <c r="W879" s="56"/>
      <c r="X879" s="56"/>
      <c r="Y879" s="56"/>
      <c r="Z879" s="56"/>
      <c r="AA879" s="56"/>
    </row>
    <row r="880" spans="1:27" ht="15.75" customHeight="1" x14ac:dyDescent="0.25">
      <c r="A880" s="61"/>
      <c r="B880" s="61"/>
      <c r="C880" s="61"/>
      <c r="D880" s="56"/>
      <c r="E880" s="56"/>
      <c r="F880" s="56"/>
      <c r="G880" s="56"/>
      <c r="H880" s="56"/>
      <c r="I880" s="56"/>
      <c r="J880" s="56"/>
      <c r="K880" s="56"/>
      <c r="L880" s="56"/>
      <c r="M880" s="56"/>
      <c r="N880" s="56"/>
      <c r="O880" s="56"/>
      <c r="P880" s="56"/>
      <c r="Q880" s="56"/>
      <c r="R880" s="56"/>
      <c r="S880" s="56"/>
      <c r="T880" s="56"/>
      <c r="U880" s="56"/>
      <c r="V880" s="56"/>
      <c r="W880" s="56"/>
      <c r="X880" s="56"/>
      <c r="Y880" s="56"/>
      <c r="Z880" s="56"/>
      <c r="AA880" s="56"/>
    </row>
    <row r="881" spans="1:27" ht="15.75" customHeight="1" x14ac:dyDescent="0.25">
      <c r="A881" s="61"/>
      <c r="B881" s="61"/>
      <c r="C881" s="61"/>
      <c r="D881" s="56"/>
      <c r="E881" s="56"/>
      <c r="F881" s="56"/>
      <c r="G881" s="56"/>
      <c r="H881" s="56"/>
      <c r="I881" s="56"/>
      <c r="J881" s="56"/>
      <c r="K881" s="56"/>
      <c r="L881" s="56"/>
      <c r="M881" s="56"/>
      <c r="N881" s="56"/>
      <c r="O881" s="56"/>
      <c r="P881" s="56"/>
      <c r="Q881" s="56"/>
      <c r="R881" s="56"/>
      <c r="S881" s="56"/>
      <c r="T881" s="56"/>
      <c r="U881" s="56"/>
      <c r="V881" s="56"/>
      <c r="W881" s="56"/>
      <c r="X881" s="56"/>
      <c r="Y881" s="56"/>
      <c r="Z881" s="56"/>
      <c r="AA881" s="56"/>
    </row>
    <row r="882" spans="1:27" ht="15.75" customHeight="1" x14ac:dyDescent="0.25">
      <c r="A882" s="61"/>
      <c r="B882" s="61"/>
      <c r="C882" s="61"/>
      <c r="D882" s="56"/>
      <c r="E882" s="56"/>
      <c r="F882" s="56"/>
      <c r="G882" s="56"/>
      <c r="H882" s="56"/>
      <c r="I882" s="56"/>
      <c r="J882" s="56"/>
      <c r="K882" s="56"/>
      <c r="L882" s="56"/>
      <c r="M882" s="56"/>
      <c r="N882" s="56"/>
      <c r="O882" s="56"/>
      <c r="P882" s="56"/>
      <c r="Q882" s="56"/>
      <c r="R882" s="56"/>
      <c r="S882" s="56"/>
      <c r="T882" s="56"/>
      <c r="U882" s="56"/>
      <c r="V882" s="56"/>
      <c r="W882" s="56"/>
      <c r="X882" s="56"/>
      <c r="Y882" s="56"/>
      <c r="Z882" s="56"/>
      <c r="AA882" s="56"/>
    </row>
    <row r="883" spans="1:27" ht="15.75" customHeight="1" x14ac:dyDescent="0.25">
      <c r="A883" s="61"/>
      <c r="B883" s="61"/>
      <c r="C883" s="61"/>
      <c r="D883" s="56"/>
      <c r="E883" s="56"/>
      <c r="F883" s="56"/>
      <c r="G883" s="56"/>
      <c r="H883" s="56"/>
      <c r="I883" s="56"/>
      <c r="J883" s="56"/>
      <c r="K883" s="56"/>
      <c r="L883" s="56"/>
      <c r="M883" s="56"/>
      <c r="N883" s="56"/>
      <c r="O883" s="56"/>
      <c r="P883" s="56"/>
      <c r="Q883" s="56"/>
      <c r="R883" s="56"/>
      <c r="S883" s="56"/>
      <c r="T883" s="56"/>
      <c r="U883" s="56"/>
      <c r="V883" s="56"/>
      <c r="W883" s="56"/>
      <c r="X883" s="56"/>
      <c r="Y883" s="56"/>
      <c r="Z883" s="56"/>
      <c r="AA883" s="56"/>
    </row>
    <row r="884" spans="1:27" ht="15.75" customHeight="1" x14ac:dyDescent="0.25">
      <c r="A884" s="61"/>
      <c r="B884" s="61"/>
      <c r="C884" s="61"/>
      <c r="D884" s="56"/>
      <c r="E884" s="56"/>
      <c r="F884" s="56"/>
      <c r="G884" s="56"/>
      <c r="H884" s="56"/>
      <c r="I884" s="56"/>
      <c r="J884" s="56"/>
      <c r="K884" s="56"/>
      <c r="L884" s="56"/>
      <c r="M884" s="56"/>
      <c r="N884" s="56"/>
      <c r="O884" s="56"/>
      <c r="P884" s="56"/>
      <c r="Q884" s="56"/>
      <c r="R884" s="56"/>
      <c r="S884" s="56"/>
      <c r="T884" s="56"/>
      <c r="U884" s="56"/>
      <c r="V884" s="56"/>
      <c r="W884" s="56"/>
      <c r="X884" s="56"/>
      <c r="Y884" s="56"/>
      <c r="Z884" s="56"/>
      <c r="AA884" s="56"/>
    </row>
    <row r="885" spans="1:27" ht="15.75" customHeight="1" x14ac:dyDescent="0.25">
      <c r="A885" s="61"/>
      <c r="B885" s="61"/>
      <c r="C885" s="61"/>
      <c r="D885" s="56"/>
      <c r="E885" s="56"/>
      <c r="F885" s="56"/>
      <c r="G885" s="56"/>
      <c r="H885" s="56"/>
      <c r="I885" s="56"/>
      <c r="J885" s="56"/>
      <c r="K885" s="56"/>
      <c r="L885" s="56"/>
      <c r="M885" s="56"/>
      <c r="N885" s="56"/>
      <c r="O885" s="56"/>
      <c r="P885" s="56"/>
      <c r="Q885" s="56"/>
      <c r="R885" s="56"/>
      <c r="S885" s="56"/>
      <c r="T885" s="56"/>
      <c r="U885" s="56"/>
      <c r="V885" s="56"/>
      <c r="W885" s="56"/>
      <c r="X885" s="56"/>
      <c r="Y885" s="56"/>
      <c r="Z885" s="56"/>
      <c r="AA885" s="56"/>
    </row>
    <row r="886" spans="1:27" ht="15.75" customHeight="1" x14ac:dyDescent="0.25">
      <c r="A886" s="61"/>
      <c r="B886" s="61"/>
      <c r="C886" s="61"/>
      <c r="D886" s="56"/>
      <c r="E886" s="56"/>
      <c r="F886" s="56"/>
      <c r="G886" s="56"/>
      <c r="H886" s="56"/>
      <c r="I886" s="56"/>
      <c r="J886" s="56"/>
      <c r="K886" s="56"/>
      <c r="L886" s="56"/>
      <c r="M886" s="56"/>
      <c r="N886" s="56"/>
      <c r="O886" s="56"/>
      <c r="P886" s="56"/>
      <c r="Q886" s="56"/>
      <c r="R886" s="56"/>
      <c r="S886" s="56"/>
      <c r="T886" s="56"/>
      <c r="U886" s="56"/>
      <c r="V886" s="56"/>
      <c r="W886" s="56"/>
      <c r="X886" s="56"/>
      <c r="Y886" s="56"/>
      <c r="Z886" s="56"/>
      <c r="AA886" s="56"/>
    </row>
    <row r="887" spans="1:27" ht="15.75" customHeight="1" x14ac:dyDescent="0.25">
      <c r="A887" s="61"/>
      <c r="B887" s="61"/>
      <c r="C887" s="61"/>
      <c r="D887" s="56"/>
      <c r="E887" s="56"/>
      <c r="F887" s="56"/>
      <c r="G887" s="56"/>
      <c r="H887" s="56"/>
      <c r="I887" s="56"/>
      <c r="J887" s="56"/>
      <c r="K887" s="56"/>
      <c r="L887" s="56"/>
      <c r="M887" s="56"/>
      <c r="N887" s="56"/>
      <c r="O887" s="56"/>
      <c r="P887" s="56"/>
      <c r="Q887" s="56"/>
      <c r="R887" s="56"/>
      <c r="S887" s="56"/>
      <c r="T887" s="56"/>
      <c r="U887" s="56"/>
      <c r="V887" s="56"/>
      <c r="W887" s="56"/>
      <c r="X887" s="56"/>
      <c r="Y887" s="56"/>
      <c r="Z887" s="56"/>
      <c r="AA887" s="56"/>
    </row>
    <row r="888" spans="1:27" ht="15.75" customHeight="1" x14ac:dyDescent="0.25">
      <c r="A888" s="61"/>
      <c r="B888" s="61"/>
      <c r="C888" s="61"/>
      <c r="D888" s="56"/>
      <c r="E888" s="56"/>
      <c r="F888" s="56"/>
      <c r="G888" s="56"/>
      <c r="H888" s="56"/>
      <c r="I888" s="56"/>
      <c r="J888" s="56"/>
      <c r="K888" s="56"/>
      <c r="L888" s="56"/>
      <c r="M888" s="56"/>
      <c r="N888" s="56"/>
      <c r="O888" s="56"/>
      <c r="P888" s="56"/>
      <c r="Q888" s="56"/>
      <c r="R888" s="56"/>
      <c r="S888" s="56"/>
      <c r="T888" s="56"/>
      <c r="U888" s="56"/>
      <c r="V888" s="56"/>
      <c r="W888" s="56"/>
      <c r="X888" s="56"/>
      <c r="Y888" s="56"/>
      <c r="Z888" s="56"/>
      <c r="AA888" s="56"/>
    </row>
    <row r="889" spans="1:27" ht="15.75" customHeight="1" x14ac:dyDescent="0.25">
      <c r="A889" s="61"/>
      <c r="B889" s="61"/>
      <c r="C889" s="61"/>
      <c r="D889" s="56"/>
      <c r="E889" s="56"/>
      <c r="F889" s="56"/>
      <c r="G889" s="56"/>
      <c r="H889" s="56"/>
      <c r="I889" s="56"/>
      <c r="J889" s="56"/>
      <c r="K889" s="56"/>
      <c r="L889" s="56"/>
      <c r="M889" s="56"/>
      <c r="N889" s="56"/>
      <c r="O889" s="56"/>
      <c r="P889" s="56"/>
      <c r="Q889" s="56"/>
      <c r="R889" s="56"/>
      <c r="S889" s="56"/>
      <c r="T889" s="56"/>
      <c r="U889" s="56"/>
      <c r="V889" s="56"/>
      <c r="W889" s="56"/>
      <c r="X889" s="56"/>
      <c r="Y889" s="56"/>
      <c r="Z889" s="56"/>
      <c r="AA889" s="56"/>
    </row>
    <row r="890" spans="1:27" ht="15.75" customHeight="1" x14ac:dyDescent="0.25">
      <c r="A890" s="61"/>
      <c r="B890" s="61"/>
      <c r="C890" s="61"/>
      <c r="D890" s="56"/>
      <c r="E890" s="56"/>
      <c r="F890" s="56"/>
      <c r="G890" s="56"/>
      <c r="H890" s="56"/>
      <c r="I890" s="56"/>
      <c r="J890" s="56"/>
      <c r="K890" s="56"/>
      <c r="L890" s="56"/>
      <c r="M890" s="56"/>
      <c r="N890" s="56"/>
      <c r="O890" s="56"/>
      <c r="P890" s="56"/>
      <c r="Q890" s="56"/>
      <c r="R890" s="56"/>
      <c r="S890" s="56"/>
      <c r="T890" s="56"/>
      <c r="U890" s="56"/>
      <c r="V890" s="56"/>
      <c r="W890" s="56"/>
      <c r="X890" s="56"/>
      <c r="Y890" s="56"/>
      <c r="Z890" s="56"/>
      <c r="AA890" s="56"/>
    </row>
    <row r="891" spans="1:27" ht="15.75" customHeight="1" x14ac:dyDescent="0.25">
      <c r="A891" s="61"/>
      <c r="B891" s="61"/>
      <c r="C891" s="61"/>
      <c r="D891" s="56"/>
      <c r="E891" s="56"/>
      <c r="F891" s="56"/>
      <c r="G891" s="56"/>
      <c r="H891" s="56"/>
      <c r="I891" s="56"/>
      <c r="J891" s="56"/>
      <c r="K891" s="56"/>
      <c r="L891" s="56"/>
      <c r="M891" s="56"/>
      <c r="N891" s="56"/>
      <c r="O891" s="56"/>
      <c r="P891" s="56"/>
      <c r="Q891" s="56"/>
      <c r="R891" s="56"/>
      <c r="S891" s="56"/>
      <c r="T891" s="56"/>
      <c r="U891" s="56"/>
      <c r="V891" s="56"/>
      <c r="W891" s="56"/>
      <c r="X891" s="56"/>
      <c r="Y891" s="56"/>
      <c r="Z891" s="56"/>
      <c r="AA891" s="56"/>
    </row>
    <row r="892" spans="1:27" ht="15.75" customHeight="1" x14ac:dyDescent="0.25">
      <c r="A892" s="61"/>
      <c r="B892" s="61"/>
      <c r="C892" s="61"/>
      <c r="D892" s="56"/>
      <c r="E892" s="56"/>
      <c r="F892" s="56"/>
      <c r="G892" s="56"/>
      <c r="H892" s="56"/>
      <c r="I892" s="56"/>
      <c r="J892" s="56"/>
      <c r="K892" s="56"/>
      <c r="L892" s="56"/>
      <c r="M892" s="56"/>
      <c r="N892" s="56"/>
      <c r="O892" s="56"/>
      <c r="P892" s="56"/>
      <c r="Q892" s="56"/>
      <c r="R892" s="56"/>
      <c r="S892" s="56"/>
      <c r="T892" s="56"/>
      <c r="U892" s="56"/>
      <c r="V892" s="56"/>
      <c r="W892" s="56"/>
      <c r="X892" s="56"/>
      <c r="Y892" s="56"/>
      <c r="Z892" s="56"/>
      <c r="AA892" s="56"/>
    </row>
    <row r="893" spans="1:27" ht="15.75" customHeight="1" x14ac:dyDescent="0.25">
      <c r="A893" s="61"/>
      <c r="B893" s="61"/>
      <c r="C893" s="61"/>
      <c r="D893" s="56"/>
      <c r="E893" s="56"/>
      <c r="F893" s="56"/>
      <c r="G893" s="56"/>
      <c r="H893" s="56"/>
      <c r="I893" s="56"/>
      <c r="J893" s="56"/>
      <c r="K893" s="56"/>
      <c r="L893" s="56"/>
      <c r="M893" s="56"/>
      <c r="N893" s="56"/>
      <c r="O893" s="56"/>
      <c r="P893" s="56"/>
      <c r="Q893" s="56"/>
      <c r="R893" s="56"/>
      <c r="S893" s="56"/>
      <c r="T893" s="56"/>
      <c r="U893" s="56"/>
      <c r="V893" s="56"/>
      <c r="W893" s="56"/>
      <c r="X893" s="56"/>
      <c r="Y893" s="56"/>
      <c r="Z893" s="56"/>
      <c r="AA893" s="56"/>
    </row>
    <row r="894" spans="1:27" ht="15.75" customHeight="1" x14ac:dyDescent="0.25">
      <c r="A894" s="61"/>
      <c r="B894" s="61"/>
      <c r="C894" s="61"/>
      <c r="D894" s="56"/>
      <c r="E894" s="56"/>
      <c r="F894" s="56"/>
      <c r="G894" s="56"/>
      <c r="H894" s="56"/>
      <c r="I894" s="56"/>
      <c r="J894" s="56"/>
      <c r="K894" s="56"/>
      <c r="L894" s="56"/>
      <c r="M894" s="56"/>
      <c r="N894" s="56"/>
      <c r="O894" s="56"/>
      <c r="P894" s="56"/>
      <c r="Q894" s="56"/>
      <c r="R894" s="56"/>
      <c r="S894" s="56"/>
      <c r="T894" s="56"/>
      <c r="U894" s="56"/>
      <c r="V894" s="56"/>
      <c r="W894" s="56"/>
      <c r="X894" s="56"/>
      <c r="Y894" s="56"/>
      <c r="Z894" s="56"/>
      <c r="AA894" s="56"/>
    </row>
    <row r="895" spans="1:27" ht="15.75" customHeight="1" x14ac:dyDescent="0.25">
      <c r="A895" s="61"/>
      <c r="B895" s="61"/>
      <c r="C895" s="61"/>
      <c r="D895" s="56"/>
      <c r="E895" s="56"/>
      <c r="F895" s="56"/>
      <c r="G895" s="56"/>
      <c r="H895" s="56"/>
      <c r="I895" s="56"/>
      <c r="J895" s="56"/>
      <c r="K895" s="56"/>
      <c r="L895" s="56"/>
      <c r="M895" s="56"/>
      <c r="N895" s="56"/>
      <c r="O895" s="56"/>
      <c r="P895" s="56"/>
      <c r="Q895" s="56"/>
      <c r="R895" s="56"/>
      <c r="S895" s="56"/>
      <c r="T895" s="56"/>
      <c r="U895" s="56"/>
      <c r="V895" s="56"/>
      <c r="W895" s="56"/>
      <c r="X895" s="56"/>
      <c r="Y895" s="56"/>
      <c r="Z895" s="56"/>
      <c r="AA895" s="56"/>
    </row>
    <row r="896" spans="1:27" ht="15.75" customHeight="1" x14ac:dyDescent="0.25">
      <c r="A896" s="61"/>
      <c r="B896" s="61"/>
      <c r="C896" s="61"/>
      <c r="D896" s="56"/>
      <c r="E896" s="56"/>
      <c r="F896" s="56"/>
      <c r="G896" s="56"/>
      <c r="H896" s="56"/>
      <c r="I896" s="56"/>
      <c r="J896" s="56"/>
      <c r="K896" s="56"/>
      <c r="L896" s="56"/>
      <c r="M896" s="56"/>
      <c r="N896" s="56"/>
      <c r="O896" s="56"/>
      <c r="P896" s="56"/>
      <c r="Q896" s="56"/>
      <c r="R896" s="56"/>
      <c r="S896" s="56"/>
      <c r="T896" s="56"/>
      <c r="U896" s="56"/>
      <c r="V896" s="56"/>
      <c r="W896" s="56"/>
      <c r="X896" s="56"/>
      <c r="Y896" s="56"/>
      <c r="Z896" s="56"/>
      <c r="AA896" s="56"/>
    </row>
    <row r="897" spans="1:27" ht="15.75" customHeight="1" x14ac:dyDescent="0.25">
      <c r="A897" s="61"/>
      <c r="B897" s="61"/>
      <c r="C897" s="61"/>
      <c r="D897" s="56"/>
      <c r="E897" s="56"/>
      <c r="F897" s="56"/>
      <c r="G897" s="56"/>
      <c r="H897" s="56"/>
      <c r="I897" s="56"/>
      <c r="J897" s="56"/>
      <c r="K897" s="56"/>
      <c r="L897" s="56"/>
      <c r="M897" s="56"/>
      <c r="N897" s="56"/>
      <c r="O897" s="56"/>
      <c r="P897" s="56"/>
      <c r="Q897" s="56"/>
      <c r="R897" s="56"/>
      <c r="S897" s="56"/>
      <c r="T897" s="56"/>
      <c r="U897" s="56"/>
      <c r="V897" s="56"/>
      <c r="W897" s="56"/>
      <c r="X897" s="56"/>
      <c r="Y897" s="56"/>
      <c r="Z897" s="56"/>
      <c r="AA897" s="56"/>
    </row>
    <row r="898" spans="1:27" ht="15.75" customHeight="1" x14ac:dyDescent="0.25">
      <c r="A898" s="61"/>
      <c r="B898" s="61"/>
      <c r="C898" s="61"/>
      <c r="D898" s="56"/>
      <c r="E898" s="56"/>
      <c r="F898" s="56"/>
      <c r="G898" s="56"/>
      <c r="H898" s="56"/>
      <c r="I898" s="56"/>
      <c r="J898" s="56"/>
      <c r="K898" s="56"/>
      <c r="L898" s="56"/>
      <c r="M898" s="56"/>
      <c r="N898" s="56"/>
      <c r="O898" s="56"/>
      <c r="P898" s="56"/>
      <c r="Q898" s="56"/>
      <c r="R898" s="56"/>
      <c r="S898" s="56"/>
      <c r="T898" s="56"/>
      <c r="U898" s="56"/>
      <c r="V898" s="56"/>
      <c r="W898" s="56"/>
      <c r="X898" s="56"/>
      <c r="Y898" s="56"/>
      <c r="Z898" s="56"/>
      <c r="AA898" s="56"/>
    </row>
    <row r="899" spans="1:27" ht="15.75" customHeight="1" x14ac:dyDescent="0.25">
      <c r="A899" s="61"/>
      <c r="B899" s="61"/>
      <c r="C899" s="61"/>
      <c r="D899" s="56"/>
      <c r="E899" s="56"/>
      <c r="F899" s="56"/>
      <c r="G899" s="56"/>
      <c r="H899" s="56"/>
      <c r="I899" s="56"/>
      <c r="J899" s="56"/>
      <c r="K899" s="56"/>
      <c r="L899" s="56"/>
      <c r="M899" s="56"/>
      <c r="N899" s="56"/>
      <c r="O899" s="56"/>
      <c r="P899" s="56"/>
      <c r="Q899" s="56"/>
      <c r="R899" s="56"/>
      <c r="S899" s="56"/>
      <c r="T899" s="56"/>
      <c r="U899" s="56"/>
      <c r="V899" s="56"/>
      <c r="W899" s="56"/>
      <c r="X899" s="56"/>
      <c r="Y899" s="56"/>
      <c r="Z899" s="56"/>
      <c r="AA899" s="56"/>
    </row>
    <row r="900" spans="1:27" ht="15.75" customHeight="1" x14ac:dyDescent="0.25">
      <c r="A900" s="61"/>
      <c r="B900" s="61"/>
      <c r="C900" s="61"/>
      <c r="D900" s="56"/>
      <c r="E900" s="56"/>
      <c r="F900" s="56"/>
      <c r="G900" s="56"/>
      <c r="H900" s="56"/>
      <c r="I900" s="56"/>
      <c r="J900" s="56"/>
      <c r="K900" s="56"/>
      <c r="L900" s="56"/>
      <c r="M900" s="56"/>
      <c r="N900" s="56"/>
      <c r="O900" s="56"/>
      <c r="P900" s="56"/>
      <c r="Q900" s="56"/>
      <c r="R900" s="56"/>
      <c r="S900" s="56"/>
      <c r="T900" s="56"/>
      <c r="U900" s="56"/>
      <c r="V900" s="56"/>
      <c r="W900" s="56"/>
      <c r="X900" s="56"/>
      <c r="Y900" s="56"/>
      <c r="Z900" s="56"/>
      <c r="AA900" s="56"/>
    </row>
    <row r="901" spans="1:27" ht="15.75" customHeight="1" x14ac:dyDescent="0.25">
      <c r="A901" s="61"/>
      <c r="B901" s="61"/>
      <c r="C901" s="61"/>
      <c r="D901" s="56"/>
      <c r="E901" s="56"/>
      <c r="F901" s="56"/>
      <c r="G901" s="56"/>
      <c r="H901" s="56"/>
      <c r="I901" s="56"/>
      <c r="J901" s="56"/>
      <c r="K901" s="56"/>
      <c r="L901" s="56"/>
      <c r="M901" s="56"/>
      <c r="N901" s="56"/>
      <c r="O901" s="56"/>
      <c r="P901" s="56"/>
      <c r="Q901" s="56"/>
      <c r="R901" s="56"/>
      <c r="S901" s="56"/>
      <c r="T901" s="56"/>
      <c r="U901" s="56"/>
      <c r="V901" s="56"/>
      <c r="W901" s="56"/>
      <c r="X901" s="56"/>
      <c r="Y901" s="56"/>
      <c r="Z901" s="56"/>
      <c r="AA901" s="56"/>
    </row>
    <row r="902" spans="1:27" ht="15.75" customHeight="1" x14ac:dyDescent="0.25">
      <c r="A902" s="61"/>
      <c r="B902" s="61"/>
      <c r="C902" s="61"/>
      <c r="D902" s="56"/>
      <c r="E902" s="56"/>
      <c r="F902" s="56"/>
      <c r="G902" s="56"/>
      <c r="H902" s="56"/>
      <c r="I902" s="56"/>
      <c r="J902" s="56"/>
      <c r="K902" s="56"/>
      <c r="L902" s="56"/>
      <c r="M902" s="56"/>
      <c r="N902" s="56"/>
      <c r="O902" s="56"/>
      <c r="P902" s="56"/>
      <c r="Q902" s="56"/>
      <c r="R902" s="56"/>
      <c r="S902" s="56"/>
      <c r="T902" s="56"/>
      <c r="U902" s="56"/>
      <c r="V902" s="56"/>
      <c r="W902" s="56"/>
      <c r="X902" s="56"/>
      <c r="Y902" s="56"/>
      <c r="Z902" s="56"/>
      <c r="AA902" s="56"/>
    </row>
    <row r="903" spans="1:27" ht="15.75" customHeight="1" x14ac:dyDescent="0.25">
      <c r="A903" s="61"/>
      <c r="B903" s="61"/>
      <c r="C903" s="61"/>
      <c r="D903" s="56"/>
      <c r="E903" s="56"/>
      <c r="F903" s="56"/>
      <c r="G903" s="56"/>
      <c r="H903" s="56"/>
      <c r="I903" s="56"/>
      <c r="J903" s="56"/>
      <c r="K903" s="56"/>
      <c r="L903" s="56"/>
      <c r="M903" s="56"/>
      <c r="N903" s="56"/>
      <c r="O903" s="56"/>
      <c r="P903" s="56"/>
      <c r="Q903" s="56"/>
      <c r="R903" s="56"/>
      <c r="S903" s="56"/>
      <c r="T903" s="56"/>
      <c r="U903" s="56"/>
      <c r="V903" s="56"/>
      <c r="W903" s="56"/>
      <c r="X903" s="56"/>
      <c r="Y903" s="56"/>
      <c r="Z903" s="56"/>
      <c r="AA903" s="56"/>
    </row>
    <row r="904" spans="1:27" ht="15.75" customHeight="1" x14ac:dyDescent="0.25">
      <c r="A904" s="61"/>
      <c r="B904" s="61"/>
      <c r="C904" s="61"/>
      <c r="D904" s="56"/>
      <c r="E904" s="56"/>
      <c r="F904" s="56"/>
      <c r="G904" s="56"/>
      <c r="H904" s="56"/>
      <c r="I904" s="56"/>
      <c r="J904" s="56"/>
      <c r="K904" s="56"/>
      <c r="L904" s="56"/>
      <c r="M904" s="56"/>
      <c r="N904" s="56"/>
      <c r="O904" s="56"/>
      <c r="P904" s="56"/>
      <c r="Q904" s="56"/>
      <c r="R904" s="56"/>
      <c r="S904" s="56"/>
      <c r="T904" s="56"/>
      <c r="U904" s="56"/>
      <c r="V904" s="56"/>
      <c r="W904" s="56"/>
      <c r="X904" s="56"/>
      <c r="Y904" s="56"/>
      <c r="Z904" s="56"/>
      <c r="AA904" s="56"/>
    </row>
    <row r="905" spans="1:27" ht="15.75" customHeight="1" x14ac:dyDescent="0.25">
      <c r="A905" s="61"/>
      <c r="B905" s="61"/>
      <c r="C905" s="61"/>
      <c r="D905" s="56"/>
      <c r="E905" s="56"/>
      <c r="F905" s="56"/>
      <c r="G905" s="56"/>
      <c r="H905" s="56"/>
      <c r="I905" s="56"/>
      <c r="J905" s="56"/>
      <c r="K905" s="56"/>
      <c r="L905" s="56"/>
      <c r="M905" s="56"/>
      <c r="N905" s="56"/>
      <c r="O905" s="56"/>
      <c r="P905" s="56"/>
      <c r="Q905" s="56"/>
      <c r="R905" s="56"/>
      <c r="S905" s="56"/>
      <c r="T905" s="56"/>
      <c r="U905" s="56"/>
      <c r="V905" s="56"/>
      <c r="W905" s="56"/>
      <c r="X905" s="56"/>
      <c r="Y905" s="56"/>
      <c r="Z905" s="56"/>
      <c r="AA905" s="56"/>
    </row>
    <row r="906" spans="1:27" ht="15.75" customHeight="1" x14ac:dyDescent="0.25">
      <c r="A906" s="61"/>
      <c r="B906" s="61"/>
      <c r="C906" s="61"/>
      <c r="D906" s="56"/>
      <c r="E906" s="56"/>
      <c r="F906" s="56"/>
      <c r="G906" s="56"/>
      <c r="H906" s="56"/>
      <c r="I906" s="56"/>
      <c r="J906" s="56"/>
      <c r="K906" s="56"/>
      <c r="L906" s="56"/>
      <c r="M906" s="56"/>
      <c r="N906" s="56"/>
      <c r="O906" s="56"/>
      <c r="P906" s="56"/>
      <c r="Q906" s="56"/>
      <c r="R906" s="56"/>
      <c r="S906" s="56"/>
      <c r="T906" s="56"/>
      <c r="U906" s="56"/>
      <c r="V906" s="56"/>
      <c r="W906" s="56"/>
      <c r="X906" s="56"/>
      <c r="Y906" s="56"/>
      <c r="Z906" s="56"/>
      <c r="AA906" s="56"/>
    </row>
    <row r="907" spans="1:27" ht="15.75" customHeight="1" x14ac:dyDescent="0.25">
      <c r="A907" s="61"/>
      <c r="B907" s="61"/>
      <c r="C907" s="61"/>
      <c r="D907" s="56"/>
      <c r="E907" s="56"/>
      <c r="F907" s="56"/>
      <c r="G907" s="56"/>
      <c r="H907" s="56"/>
      <c r="I907" s="56"/>
      <c r="J907" s="56"/>
      <c r="K907" s="56"/>
      <c r="L907" s="56"/>
      <c r="M907" s="56"/>
      <c r="N907" s="56"/>
      <c r="O907" s="56"/>
      <c r="P907" s="56"/>
      <c r="Q907" s="56"/>
      <c r="R907" s="56"/>
      <c r="S907" s="56"/>
      <c r="T907" s="56"/>
      <c r="U907" s="56"/>
      <c r="V907" s="56"/>
      <c r="W907" s="56"/>
      <c r="X907" s="56"/>
      <c r="Y907" s="56"/>
      <c r="Z907" s="56"/>
      <c r="AA907" s="56"/>
    </row>
    <row r="908" spans="1:27" ht="15.75" customHeight="1" x14ac:dyDescent="0.25">
      <c r="A908" s="61"/>
      <c r="B908" s="61"/>
      <c r="C908" s="61"/>
      <c r="D908" s="56"/>
      <c r="E908" s="56"/>
      <c r="F908" s="56"/>
      <c r="G908" s="56"/>
      <c r="H908" s="56"/>
      <c r="I908" s="56"/>
      <c r="J908" s="56"/>
      <c r="K908" s="56"/>
      <c r="L908" s="56"/>
      <c r="M908" s="56"/>
      <c r="N908" s="56"/>
      <c r="O908" s="56"/>
      <c r="P908" s="56"/>
      <c r="Q908" s="56"/>
      <c r="R908" s="56"/>
      <c r="S908" s="56"/>
      <c r="T908" s="56"/>
      <c r="U908" s="56"/>
      <c r="V908" s="56"/>
      <c r="W908" s="56"/>
      <c r="X908" s="56"/>
      <c r="Y908" s="56"/>
      <c r="Z908" s="56"/>
      <c r="AA908" s="56"/>
    </row>
    <row r="909" spans="1:27" ht="15.75" customHeight="1" x14ac:dyDescent="0.25">
      <c r="A909" s="61"/>
      <c r="B909" s="61"/>
      <c r="C909" s="61"/>
      <c r="D909" s="56"/>
      <c r="E909" s="56"/>
      <c r="F909" s="56"/>
      <c r="G909" s="56"/>
      <c r="H909" s="56"/>
      <c r="I909" s="56"/>
      <c r="J909" s="56"/>
      <c r="K909" s="56"/>
      <c r="L909" s="56"/>
      <c r="M909" s="56"/>
      <c r="N909" s="56"/>
      <c r="O909" s="56"/>
      <c r="P909" s="56"/>
      <c r="Q909" s="56"/>
      <c r="R909" s="56"/>
      <c r="S909" s="56"/>
      <c r="T909" s="56"/>
      <c r="U909" s="56"/>
      <c r="V909" s="56"/>
      <c r="W909" s="56"/>
      <c r="X909" s="56"/>
      <c r="Y909" s="56"/>
      <c r="Z909" s="56"/>
      <c r="AA909" s="56"/>
    </row>
    <row r="910" spans="1:27" ht="15.75" customHeight="1" x14ac:dyDescent="0.25">
      <c r="A910" s="61"/>
      <c r="B910" s="61"/>
      <c r="C910" s="61"/>
      <c r="D910" s="56"/>
      <c r="E910" s="56"/>
      <c r="F910" s="56"/>
      <c r="G910" s="56"/>
      <c r="H910" s="56"/>
      <c r="I910" s="56"/>
      <c r="J910" s="56"/>
      <c r="K910" s="56"/>
      <c r="L910" s="56"/>
      <c r="M910" s="56"/>
      <c r="N910" s="56"/>
      <c r="O910" s="56"/>
      <c r="P910" s="56"/>
      <c r="Q910" s="56"/>
      <c r="R910" s="56"/>
      <c r="S910" s="56"/>
      <c r="T910" s="56"/>
      <c r="U910" s="56"/>
      <c r="V910" s="56"/>
      <c r="W910" s="56"/>
      <c r="X910" s="56"/>
      <c r="Y910" s="56"/>
      <c r="Z910" s="56"/>
      <c r="AA910" s="56"/>
    </row>
    <row r="911" spans="1:27" ht="15.75" customHeight="1" x14ac:dyDescent="0.25">
      <c r="A911" s="61"/>
      <c r="B911" s="61"/>
      <c r="C911" s="61"/>
      <c r="D911" s="56"/>
      <c r="E911" s="56"/>
      <c r="F911" s="56"/>
      <c r="G911" s="56"/>
      <c r="H911" s="56"/>
      <c r="I911" s="56"/>
      <c r="J911" s="56"/>
      <c r="K911" s="56"/>
      <c r="L911" s="56"/>
      <c r="M911" s="56"/>
      <c r="N911" s="56"/>
      <c r="O911" s="56"/>
      <c r="P911" s="56"/>
      <c r="Q911" s="56"/>
      <c r="R911" s="56"/>
      <c r="S911" s="56"/>
      <c r="T911" s="56"/>
      <c r="U911" s="56"/>
      <c r="V911" s="56"/>
      <c r="W911" s="56"/>
      <c r="X911" s="56"/>
      <c r="Y911" s="56"/>
      <c r="Z911" s="56"/>
      <c r="AA911" s="56"/>
    </row>
    <row r="912" spans="1:27" ht="15.75" customHeight="1" x14ac:dyDescent="0.25">
      <c r="A912" s="61"/>
      <c r="B912" s="61"/>
      <c r="C912" s="61"/>
      <c r="D912" s="56"/>
      <c r="E912" s="56"/>
      <c r="F912" s="56"/>
      <c r="G912" s="56"/>
      <c r="H912" s="56"/>
      <c r="I912" s="56"/>
      <c r="J912" s="56"/>
      <c r="K912" s="56"/>
      <c r="L912" s="56"/>
      <c r="M912" s="56"/>
      <c r="N912" s="56"/>
      <c r="O912" s="56"/>
      <c r="P912" s="56"/>
      <c r="Q912" s="56"/>
      <c r="R912" s="56"/>
      <c r="S912" s="56"/>
      <c r="T912" s="56"/>
      <c r="U912" s="56"/>
      <c r="V912" s="56"/>
      <c r="W912" s="56"/>
      <c r="X912" s="56"/>
      <c r="Y912" s="56"/>
      <c r="Z912" s="56"/>
      <c r="AA912" s="56"/>
    </row>
    <row r="913" spans="1:27" ht="15.75" customHeight="1" x14ac:dyDescent="0.25">
      <c r="A913" s="61"/>
      <c r="B913" s="61"/>
      <c r="C913" s="61"/>
      <c r="D913" s="56"/>
      <c r="E913" s="56"/>
      <c r="F913" s="56"/>
      <c r="G913" s="56"/>
      <c r="H913" s="56"/>
      <c r="I913" s="56"/>
      <c r="J913" s="56"/>
      <c r="K913" s="56"/>
      <c r="L913" s="56"/>
      <c r="M913" s="56"/>
      <c r="N913" s="56"/>
      <c r="O913" s="56"/>
      <c r="P913" s="56"/>
      <c r="Q913" s="56"/>
      <c r="R913" s="56"/>
      <c r="S913" s="56"/>
      <c r="T913" s="56"/>
      <c r="U913" s="56"/>
      <c r="V913" s="56"/>
      <c r="W913" s="56"/>
      <c r="X913" s="56"/>
      <c r="Y913" s="56"/>
      <c r="Z913" s="56"/>
      <c r="AA913" s="56"/>
    </row>
    <row r="914" spans="1:27" ht="15.75" customHeight="1" x14ac:dyDescent="0.25">
      <c r="A914" s="61"/>
      <c r="B914" s="61"/>
      <c r="C914" s="61"/>
      <c r="D914" s="56"/>
      <c r="E914" s="56"/>
      <c r="F914" s="56"/>
      <c r="G914" s="56"/>
      <c r="H914" s="56"/>
      <c r="I914" s="56"/>
      <c r="J914" s="56"/>
      <c r="K914" s="56"/>
      <c r="L914" s="56"/>
      <c r="M914" s="56"/>
      <c r="N914" s="56"/>
      <c r="O914" s="56"/>
      <c r="P914" s="56"/>
      <c r="Q914" s="56"/>
      <c r="R914" s="56"/>
      <c r="S914" s="56"/>
      <c r="T914" s="56"/>
      <c r="U914" s="56"/>
      <c r="V914" s="56"/>
      <c r="W914" s="56"/>
      <c r="X914" s="56"/>
      <c r="Y914" s="56"/>
      <c r="Z914" s="56"/>
      <c r="AA914" s="56"/>
    </row>
    <row r="915" spans="1:27" ht="15.75" customHeight="1" x14ac:dyDescent="0.25">
      <c r="A915" s="61"/>
      <c r="B915" s="61"/>
      <c r="C915" s="61"/>
      <c r="D915" s="56"/>
      <c r="E915" s="56"/>
      <c r="F915" s="56"/>
      <c r="G915" s="56"/>
      <c r="H915" s="56"/>
      <c r="I915" s="56"/>
      <c r="J915" s="56"/>
      <c r="K915" s="56"/>
      <c r="L915" s="56"/>
      <c r="M915" s="56"/>
      <c r="N915" s="56"/>
      <c r="O915" s="56"/>
      <c r="P915" s="56"/>
      <c r="Q915" s="56"/>
      <c r="R915" s="56"/>
      <c r="S915" s="56"/>
      <c r="T915" s="56"/>
      <c r="U915" s="56"/>
      <c r="V915" s="56"/>
      <c r="W915" s="56"/>
      <c r="X915" s="56"/>
      <c r="Y915" s="56"/>
      <c r="Z915" s="56"/>
      <c r="AA915" s="56"/>
    </row>
    <row r="916" spans="1:27" ht="15.75" customHeight="1" x14ac:dyDescent="0.25">
      <c r="A916" s="61"/>
      <c r="B916" s="61"/>
      <c r="C916" s="61"/>
      <c r="D916" s="56"/>
      <c r="E916" s="56"/>
      <c r="F916" s="56"/>
      <c r="G916" s="56"/>
      <c r="H916" s="56"/>
      <c r="I916" s="56"/>
      <c r="J916" s="56"/>
      <c r="K916" s="56"/>
      <c r="L916" s="56"/>
      <c r="M916" s="56"/>
      <c r="N916" s="56"/>
      <c r="O916" s="56"/>
      <c r="P916" s="56"/>
      <c r="Q916" s="56"/>
      <c r="R916" s="56"/>
      <c r="S916" s="56"/>
      <c r="T916" s="56"/>
      <c r="U916" s="56"/>
      <c r="V916" s="56"/>
      <c r="W916" s="56"/>
      <c r="X916" s="56"/>
      <c r="Y916" s="56"/>
      <c r="Z916" s="56"/>
      <c r="AA916" s="56"/>
    </row>
    <row r="917" spans="1:27" ht="15.75" customHeight="1" x14ac:dyDescent="0.25">
      <c r="A917" s="61"/>
      <c r="B917" s="61"/>
      <c r="C917" s="61"/>
      <c r="D917" s="56"/>
      <c r="E917" s="56"/>
      <c r="F917" s="56"/>
      <c r="G917" s="56"/>
      <c r="H917" s="56"/>
      <c r="I917" s="56"/>
      <c r="J917" s="56"/>
      <c r="K917" s="56"/>
      <c r="L917" s="56"/>
      <c r="M917" s="56"/>
      <c r="N917" s="56"/>
      <c r="O917" s="56"/>
      <c r="P917" s="56"/>
      <c r="Q917" s="56"/>
      <c r="R917" s="56"/>
      <c r="S917" s="56"/>
      <c r="T917" s="56"/>
      <c r="U917" s="56"/>
      <c r="V917" s="56"/>
      <c r="W917" s="56"/>
      <c r="X917" s="56"/>
      <c r="Y917" s="56"/>
      <c r="Z917" s="56"/>
      <c r="AA917" s="56"/>
    </row>
    <row r="918" spans="1:27" ht="15.75" customHeight="1" x14ac:dyDescent="0.25">
      <c r="A918" s="61"/>
      <c r="B918" s="61"/>
      <c r="C918" s="61"/>
      <c r="D918" s="56"/>
      <c r="E918" s="56"/>
      <c r="F918" s="56"/>
      <c r="G918" s="56"/>
      <c r="H918" s="56"/>
      <c r="I918" s="56"/>
      <c r="J918" s="56"/>
      <c r="K918" s="56"/>
      <c r="L918" s="56"/>
      <c r="M918" s="56"/>
      <c r="N918" s="56"/>
      <c r="O918" s="56"/>
      <c r="P918" s="56"/>
      <c r="Q918" s="56"/>
      <c r="R918" s="56"/>
      <c r="S918" s="56"/>
      <c r="T918" s="56"/>
      <c r="U918" s="56"/>
      <c r="V918" s="56"/>
      <c r="W918" s="56"/>
      <c r="X918" s="56"/>
      <c r="Y918" s="56"/>
      <c r="Z918" s="56"/>
      <c r="AA918" s="56"/>
    </row>
    <row r="919" spans="1:27" ht="15.75" customHeight="1" x14ac:dyDescent="0.25">
      <c r="A919" s="61"/>
      <c r="B919" s="61"/>
      <c r="C919" s="61"/>
      <c r="D919" s="56"/>
      <c r="E919" s="56"/>
      <c r="F919" s="56"/>
      <c r="G919" s="56"/>
      <c r="H919" s="56"/>
      <c r="I919" s="56"/>
      <c r="J919" s="56"/>
      <c r="K919" s="56"/>
      <c r="L919" s="56"/>
      <c r="M919" s="56"/>
      <c r="N919" s="56"/>
      <c r="O919" s="56"/>
      <c r="P919" s="56"/>
      <c r="Q919" s="56"/>
      <c r="R919" s="56"/>
      <c r="S919" s="56"/>
      <c r="T919" s="56"/>
      <c r="U919" s="56"/>
      <c r="V919" s="56"/>
      <c r="W919" s="56"/>
      <c r="X919" s="56"/>
      <c r="Y919" s="56"/>
      <c r="Z919" s="56"/>
      <c r="AA919" s="56"/>
    </row>
    <row r="920" spans="1:27" ht="15.75" customHeight="1" x14ac:dyDescent="0.25">
      <c r="A920" s="61"/>
      <c r="B920" s="61"/>
      <c r="C920" s="61"/>
      <c r="D920" s="56"/>
      <c r="E920" s="56"/>
      <c r="F920" s="56"/>
      <c r="G920" s="56"/>
      <c r="H920" s="56"/>
      <c r="I920" s="56"/>
      <c r="J920" s="56"/>
      <c r="K920" s="56"/>
      <c r="L920" s="56"/>
      <c r="M920" s="56"/>
      <c r="N920" s="56"/>
      <c r="O920" s="56"/>
      <c r="P920" s="56"/>
      <c r="Q920" s="56"/>
      <c r="R920" s="56"/>
      <c r="S920" s="56"/>
      <c r="T920" s="56"/>
      <c r="U920" s="56"/>
      <c r="V920" s="56"/>
      <c r="W920" s="56"/>
      <c r="X920" s="56"/>
      <c r="Y920" s="56"/>
      <c r="Z920" s="56"/>
      <c r="AA920" s="56"/>
    </row>
    <row r="921" spans="1:27" ht="15.75" customHeight="1" x14ac:dyDescent="0.25">
      <c r="A921" s="61"/>
      <c r="B921" s="61"/>
      <c r="C921" s="61"/>
      <c r="D921" s="56"/>
      <c r="E921" s="56"/>
      <c r="F921" s="56"/>
      <c r="G921" s="56"/>
      <c r="H921" s="56"/>
      <c r="I921" s="56"/>
      <c r="J921" s="56"/>
      <c r="K921" s="56"/>
      <c r="L921" s="56"/>
      <c r="M921" s="56"/>
      <c r="N921" s="56"/>
      <c r="O921" s="56"/>
      <c r="P921" s="56"/>
      <c r="Q921" s="56"/>
      <c r="R921" s="56"/>
      <c r="S921" s="56"/>
      <c r="T921" s="56"/>
      <c r="U921" s="56"/>
      <c r="V921" s="56"/>
      <c r="W921" s="56"/>
      <c r="X921" s="56"/>
      <c r="Y921" s="56"/>
      <c r="Z921" s="56"/>
      <c r="AA921" s="56"/>
    </row>
    <row r="922" spans="1:27" ht="15.75" customHeight="1" x14ac:dyDescent="0.25">
      <c r="A922" s="61"/>
      <c r="B922" s="61"/>
      <c r="C922" s="61"/>
      <c r="D922" s="56"/>
      <c r="E922" s="56"/>
      <c r="F922" s="56"/>
      <c r="G922" s="56"/>
      <c r="H922" s="56"/>
      <c r="I922" s="56"/>
      <c r="J922" s="56"/>
      <c r="K922" s="56"/>
      <c r="L922" s="56"/>
      <c r="M922" s="56"/>
      <c r="N922" s="56"/>
      <c r="O922" s="56"/>
      <c r="P922" s="56"/>
      <c r="Q922" s="56"/>
      <c r="R922" s="56"/>
      <c r="S922" s="56"/>
      <c r="T922" s="56"/>
      <c r="U922" s="56"/>
      <c r="V922" s="56"/>
      <c r="W922" s="56"/>
      <c r="X922" s="56"/>
      <c r="Y922" s="56"/>
      <c r="Z922" s="56"/>
      <c r="AA922" s="56"/>
    </row>
    <row r="923" spans="1:27" ht="15.75" customHeight="1" x14ac:dyDescent="0.25">
      <c r="A923" s="61"/>
      <c r="B923" s="61"/>
      <c r="C923" s="61"/>
      <c r="D923" s="56"/>
      <c r="E923" s="56"/>
      <c r="F923" s="56"/>
      <c r="G923" s="56"/>
      <c r="H923" s="56"/>
      <c r="I923" s="56"/>
      <c r="J923" s="56"/>
      <c r="K923" s="56"/>
      <c r="L923" s="56"/>
      <c r="M923" s="56"/>
      <c r="N923" s="56"/>
      <c r="O923" s="56"/>
      <c r="P923" s="56"/>
      <c r="Q923" s="56"/>
      <c r="R923" s="56"/>
      <c r="S923" s="56"/>
      <c r="T923" s="56"/>
      <c r="U923" s="56"/>
      <c r="V923" s="56"/>
      <c r="W923" s="56"/>
      <c r="X923" s="56"/>
      <c r="Y923" s="56"/>
      <c r="Z923" s="56"/>
      <c r="AA923" s="56"/>
    </row>
    <row r="924" spans="1:27" ht="15.75" customHeight="1" x14ac:dyDescent="0.25">
      <c r="A924" s="61"/>
      <c r="B924" s="61"/>
      <c r="C924" s="61"/>
      <c r="D924" s="56"/>
      <c r="E924" s="56"/>
      <c r="F924" s="56"/>
      <c r="G924" s="56"/>
      <c r="H924" s="56"/>
      <c r="I924" s="56"/>
      <c r="J924" s="56"/>
      <c r="K924" s="56"/>
      <c r="L924" s="56"/>
      <c r="M924" s="56"/>
      <c r="N924" s="56"/>
      <c r="O924" s="56"/>
      <c r="P924" s="56"/>
      <c r="Q924" s="56"/>
      <c r="R924" s="56"/>
      <c r="S924" s="56"/>
      <c r="T924" s="56"/>
      <c r="U924" s="56"/>
      <c r="V924" s="56"/>
      <c r="W924" s="56"/>
      <c r="X924" s="56"/>
      <c r="Y924" s="56"/>
      <c r="Z924" s="56"/>
      <c r="AA924" s="56"/>
    </row>
    <row r="925" spans="1:27" ht="15.75" customHeight="1" x14ac:dyDescent="0.25">
      <c r="A925" s="61"/>
      <c r="B925" s="61"/>
      <c r="C925" s="61"/>
      <c r="D925" s="56"/>
      <c r="E925" s="56"/>
      <c r="F925" s="56"/>
      <c r="G925" s="56"/>
      <c r="H925" s="56"/>
      <c r="I925" s="56"/>
      <c r="J925" s="56"/>
      <c r="K925" s="56"/>
      <c r="L925" s="56"/>
      <c r="M925" s="56"/>
      <c r="N925" s="56"/>
      <c r="O925" s="56"/>
      <c r="P925" s="56"/>
      <c r="Q925" s="56"/>
      <c r="R925" s="56"/>
      <c r="S925" s="56"/>
      <c r="T925" s="56"/>
      <c r="U925" s="56"/>
      <c r="V925" s="56"/>
      <c r="W925" s="56"/>
      <c r="X925" s="56"/>
      <c r="Y925" s="56"/>
      <c r="Z925" s="56"/>
      <c r="AA925" s="56"/>
    </row>
    <row r="926" spans="1:27" ht="15.75" customHeight="1" x14ac:dyDescent="0.25">
      <c r="A926" s="61"/>
      <c r="B926" s="61"/>
      <c r="C926" s="61"/>
      <c r="D926" s="56"/>
      <c r="E926" s="56"/>
      <c r="F926" s="56"/>
      <c r="G926" s="56"/>
      <c r="H926" s="56"/>
      <c r="I926" s="56"/>
      <c r="J926" s="56"/>
      <c r="K926" s="56"/>
      <c r="L926" s="56"/>
      <c r="M926" s="56"/>
      <c r="N926" s="56"/>
      <c r="O926" s="56"/>
      <c r="P926" s="56"/>
      <c r="Q926" s="56"/>
      <c r="R926" s="56"/>
      <c r="S926" s="56"/>
      <c r="T926" s="56"/>
      <c r="U926" s="56"/>
      <c r="V926" s="56"/>
      <c r="W926" s="56"/>
      <c r="X926" s="56"/>
      <c r="Y926" s="56"/>
      <c r="Z926" s="56"/>
      <c r="AA926" s="56"/>
    </row>
    <row r="927" spans="1:27" ht="15.75" customHeight="1" x14ac:dyDescent="0.25">
      <c r="A927" s="61"/>
      <c r="B927" s="61"/>
      <c r="C927" s="61"/>
      <c r="D927" s="56"/>
      <c r="E927" s="56"/>
      <c r="F927" s="56"/>
      <c r="G927" s="56"/>
      <c r="H927" s="56"/>
      <c r="I927" s="56"/>
      <c r="J927" s="56"/>
      <c r="K927" s="56"/>
      <c r="L927" s="56"/>
      <c r="M927" s="56"/>
      <c r="N927" s="56"/>
      <c r="O927" s="56"/>
      <c r="P927" s="56"/>
      <c r="Q927" s="56"/>
      <c r="R927" s="56"/>
      <c r="S927" s="56"/>
      <c r="T927" s="56"/>
      <c r="U927" s="56"/>
      <c r="V927" s="56"/>
      <c r="W927" s="56"/>
      <c r="X927" s="56"/>
      <c r="Y927" s="56"/>
      <c r="Z927" s="56"/>
      <c r="AA927" s="56"/>
    </row>
    <row r="928" spans="1:27" ht="15.75" customHeight="1" x14ac:dyDescent="0.25">
      <c r="A928" s="61"/>
      <c r="B928" s="61"/>
      <c r="C928" s="61"/>
      <c r="D928" s="56"/>
      <c r="E928" s="56"/>
      <c r="F928" s="56"/>
      <c r="G928" s="56"/>
      <c r="H928" s="56"/>
      <c r="I928" s="56"/>
      <c r="J928" s="56"/>
      <c r="K928" s="56"/>
      <c r="L928" s="56"/>
      <c r="M928" s="56"/>
      <c r="N928" s="56"/>
      <c r="O928" s="56"/>
      <c r="P928" s="56"/>
      <c r="Q928" s="56"/>
      <c r="R928" s="56"/>
      <c r="S928" s="56"/>
      <c r="T928" s="56"/>
      <c r="U928" s="56"/>
      <c r="V928" s="56"/>
      <c r="W928" s="56"/>
      <c r="X928" s="56"/>
      <c r="Y928" s="56"/>
      <c r="Z928" s="56"/>
      <c r="AA928" s="56"/>
    </row>
    <row r="929" spans="1:27" ht="15.75" customHeight="1" x14ac:dyDescent="0.25">
      <c r="A929" s="61"/>
      <c r="B929" s="61"/>
      <c r="C929" s="61"/>
      <c r="D929" s="56"/>
      <c r="E929" s="56"/>
      <c r="F929" s="56"/>
      <c r="G929" s="56"/>
      <c r="H929" s="56"/>
      <c r="I929" s="56"/>
      <c r="J929" s="56"/>
      <c r="K929" s="56"/>
      <c r="L929" s="56"/>
      <c r="M929" s="56"/>
      <c r="N929" s="56"/>
      <c r="O929" s="56"/>
      <c r="P929" s="56"/>
      <c r="Q929" s="56"/>
      <c r="R929" s="56"/>
      <c r="S929" s="56"/>
      <c r="T929" s="56"/>
      <c r="U929" s="56"/>
      <c r="V929" s="56"/>
      <c r="W929" s="56"/>
      <c r="X929" s="56"/>
      <c r="Y929" s="56"/>
      <c r="Z929" s="56"/>
      <c r="AA929" s="56"/>
    </row>
    <row r="930" spans="1:27" ht="15.75" customHeight="1" x14ac:dyDescent="0.25">
      <c r="A930" s="61"/>
      <c r="B930" s="61"/>
      <c r="C930" s="61"/>
      <c r="D930" s="56"/>
      <c r="E930" s="56"/>
      <c r="F930" s="56"/>
      <c r="G930" s="56"/>
      <c r="H930" s="56"/>
      <c r="I930" s="56"/>
      <c r="J930" s="56"/>
      <c r="K930" s="56"/>
      <c r="L930" s="56"/>
      <c r="M930" s="56"/>
      <c r="N930" s="56"/>
      <c r="O930" s="56"/>
      <c r="P930" s="56"/>
      <c r="Q930" s="56"/>
      <c r="R930" s="56"/>
      <c r="S930" s="56"/>
      <c r="T930" s="56"/>
      <c r="U930" s="56"/>
      <c r="V930" s="56"/>
      <c r="W930" s="56"/>
      <c r="X930" s="56"/>
      <c r="Y930" s="56"/>
      <c r="Z930" s="56"/>
      <c r="AA930" s="56"/>
    </row>
    <row r="931" spans="1:27" ht="15.75" customHeight="1" x14ac:dyDescent="0.25">
      <c r="A931" s="61"/>
      <c r="B931" s="61"/>
      <c r="C931" s="61"/>
      <c r="D931" s="56"/>
      <c r="E931" s="56"/>
      <c r="F931" s="56"/>
      <c r="G931" s="56"/>
      <c r="H931" s="56"/>
      <c r="I931" s="56"/>
      <c r="J931" s="56"/>
      <c r="K931" s="56"/>
      <c r="L931" s="56"/>
      <c r="M931" s="56"/>
      <c r="N931" s="56"/>
      <c r="O931" s="56"/>
      <c r="P931" s="56"/>
      <c r="Q931" s="56"/>
      <c r="R931" s="56"/>
      <c r="S931" s="56"/>
      <c r="T931" s="56"/>
      <c r="U931" s="56"/>
      <c r="V931" s="56"/>
      <c r="W931" s="56"/>
      <c r="X931" s="56"/>
      <c r="Y931" s="56"/>
      <c r="Z931" s="56"/>
      <c r="AA931" s="56"/>
    </row>
    <row r="932" spans="1:27" ht="15.75" customHeight="1" x14ac:dyDescent="0.25">
      <c r="A932" s="61"/>
      <c r="B932" s="61"/>
      <c r="C932" s="61"/>
      <c r="D932" s="56"/>
      <c r="E932" s="56"/>
      <c r="F932" s="56"/>
      <c r="G932" s="56"/>
      <c r="H932" s="56"/>
      <c r="I932" s="56"/>
      <c r="J932" s="56"/>
      <c r="K932" s="56"/>
      <c r="L932" s="56"/>
      <c r="M932" s="56"/>
      <c r="N932" s="56"/>
      <c r="O932" s="56"/>
      <c r="P932" s="56"/>
      <c r="Q932" s="56"/>
      <c r="R932" s="56"/>
      <c r="S932" s="56"/>
      <c r="T932" s="56"/>
      <c r="U932" s="56"/>
      <c r="V932" s="56"/>
      <c r="W932" s="56"/>
      <c r="X932" s="56"/>
      <c r="Y932" s="56"/>
      <c r="Z932" s="56"/>
      <c r="AA932" s="56"/>
    </row>
    <row r="933" spans="1:27" ht="15.75" customHeight="1" x14ac:dyDescent="0.25">
      <c r="A933" s="61"/>
      <c r="B933" s="61"/>
      <c r="C933" s="61"/>
      <c r="D933" s="56"/>
      <c r="E933" s="56"/>
      <c r="F933" s="56"/>
      <c r="G933" s="56"/>
      <c r="H933" s="56"/>
      <c r="I933" s="56"/>
      <c r="J933" s="56"/>
      <c r="K933" s="56"/>
      <c r="L933" s="56"/>
      <c r="M933" s="56"/>
      <c r="N933" s="56"/>
      <c r="O933" s="56"/>
      <c r="P933" s="56"/>
      <c r="Q933" s="56"/>
      <c r="R933" s="56"/>
      <c r="S933" s="56"/>
      <c r="T933" s="56"/>
      <c r="U933" s="56"/>
      <c r="V933" s="56"/>
      <c r="W933" s="56"/>
      <c r="X933" s="56"/>
      <c r="Y933" s="56"/>
      <c r="Z933" s="56"/>
      <c r="AA933" s="56"/>
    </row>
    <row r="934" spans="1:27" ht="15.75" customHeight="1" x14ac:dyDescent="0.25">
      <c r="A934" s="61"/>
      <c r="B934" s="61"/>
      <c r="C934" s="61"/>
      <c r="D934" s="56"/>
      <c r="E934" s="56"/>
      <c r="F934" s="56"/>
      <c r="G934" s="56"/>
      <c r="H934" s="56"/>
      <c r="I934" s="56"/>
      <c r="J934" s="56"/>
      <c r="K934" s="56"/>
      <c r="L934" s="56"/>
      <c r="M934" s="56"/>
      <c r="N934" s="56"/>
      <c r="O934" s="56"/>
      <c r="P934" s="56"/>
      <c r="Q934" s="56"/>
      <c r="R934" s="56"/>
      <c r="S934" s="56"/>
      <c r="T934" s="56"/>
      <c r="U934" s="56"/>
      <c r="V934" s="56"/>
      <c r="W934" s="56"/>
      <c r="X934" s="56"/>
      <c r="Y934" s="56"/>
      <c r="Z934" s="56"/>
      <c r="AA934" s="56"/>
    </row>
    <row r="935" spans="1:27" ht="15.75" customHeight="1" x14ac:dyDescent="0.25">
      <c r="A935" s="61"/>
      <c r="B935" s="61"/>
      <c r="C935" s="61"/>
      <c r="D935" s="56"/>
      <c r="E935" s="56"/>
      <c r="F935" s="56"/>
      <c r="G935" s="56"/>
      <c r="H935" s="56"/>
      <c r="I935" s="56"/>
      <c r="J935" s="56"/>
      <c r="K935" s="56"/>
      <c r="L935" s="56"/>
      <c r="M935" s="56"/>
      <c r="N935" s="56"/>
      <c r="O935" s="56"/>
      <c r="P935" s="56"/>
      <c r="Q935" s="56"/>
      <c r="R935" s="56"/>
      <c r="S935" s="56"/>
      <c r="T935" s="56"/>
      <c r="U935" s="56"/>
      <c r="V935" s="56"/>
      <c r="W935" s="56"/>
      <c r="X935" s="56"/>
      <c r="Y935" s="56"/>
      <c r="Z935" s="56"/>
      <c r="AA935" s="56"/>
    </row>
    <row r="936" spans="1:27" ht="15.75" customHeight="1" x14ac:dyDescent="0.25">
      <c r="A936" s="61"/>
      <c r="B936" s="61"/>
      <c r="C936" s="61"/>
      <c r="D936" s="56"/>
      <c r="E936" s="56"/>
      <c r="F936" s="56"/>
      <c r="G936" s="56"/>
      <c r="H936" s="56"/>
      <c r="I936" s="56"/>
      <c r="J936" s="56"/>
      <c r="K936" s="56"/>
      <c r="L936" s="56"/>
      <c r="M936" s="56"/>
      <c r="N936" s="56"/>
      <c r="O936" s="56"/>
      <c r="P936" s="56"/>
      <c r="Q936" s="56"/>
      <c r="R936" s="56"/>
      <c r="S936" s="56"/>
      <c r="T936" s="56"/>
      <c r="U936" s="56"/>
      <c r="V936" s="56"/>
      <c r="W936" s="56"/>
      <c r="X936" s="56"/>
      <c r="Y936" s="56"/>
      <c r="Z936" s="56"/>
      <c r="AA936" s="56"/>
    </row>
    <row r="937" spans="1:27" ht="15.75" customHeight="1" x14ac:dyDescent="0.25">
      <c r="A937" s="61"/>
      <c r="B937" s="61"/>
      <c r="C937" s="61"/>
      <c r="D937" s="56"/>
      <c r="E937" s="56"/>
      <c r="F937" s="56"/>
      <c r="G937" s="56"/>
      <c r="H937" s="56"/>
      <c r="I937" s="56"/>
      <c r="J937" s="56"/>
      <c r="K937" s="56"/>
      <c r="L937" s="56"/>
      <c r="M937" s="56"/>
      <c r="N937" s="56"/>
      <c r="O937" s="56"/>
      <c r="P937" s="56"/>
      <c r="Q937" s="56"/>
      <c r="R937" s="56"/>
      <c r="S937" s="56"/>
      <c r="T937" s="56"/>
      <c r="U937" s="56"/>
      <c r="V937" s="56"/>
      <c r="W937" s="56"/>
      <c r="X937" s="56"/>
      <c r="Y937" s="56"/>
      <c r="Z937" s="56"/>
      <c r="AA937" s="56"/>
    </row>
    <row r="938" spans="1:27" ht="15.75" customHeight="1" x14ac:dyDescent="0.25">
      <c r="A938" s="61"/>
      <c r="B938" s="61"/>
      <c r="C938" s="61"/>
      <c r="D938" s="56"/>
      <c r="E938" s="56"/>
      <c r="F938" s="56"/>
      <c r="G938" s="56"/>
      <c r="H938" s="56"/>
      <c r="I938" s="56"/>
      <c r="J938" s="56"/>
      <c r="K938" s="56"/>
      <c r="L938" s="56"/>
      <c r="M938" s="56"/>
      <c r="N938" s="56"/>
      <c r="O938" s="56"/>
      <c r="P938" s="56"/>
      <c r="Q938" s="56"/>
      <c r="R938" s="56"/>
      <c r="S938" s="56"/>
      <c r="T938" s="56"/>
      <c r="U938" s="56"/>
      <c r="V938" s="56"/>
      <c r="W938" s="56"/>
      <c r="X938" s="56"/>
      <c r="Y938" s="56"/>
      <c r="Z938" s="56"/>
      <c r="AA938" s="56"/>
    </row>
    <row r="939" spans="1:27" ht="15.75" customHeight="1" x14ac:dyDescent="0.25">
      <c r="A939" s="61"/>
      <c r="B939" s="61"/>
      <c r="C939" s="61"/>
      <c r="D939" s="56"/>
      <c r="E939" s="56"/>
      <c r="F939" s="56"/>
      <c r="G939" s="56"/>
      <c r="H939" s="56"/>
      <c r="I939" s="56"/>
      <c r="J939" s="56"/>
      <c r="K939" s="56"/>
      <c r="L939" s="56"/>
      <c r="M939" s="56"/>
      <c r="N939" s="56"/>
      <c r="O939" s="56"/>
      <c r="P939" s="56"/>
      <c r="Q939" s="56"/>
      <c r="R939" s="56"/>
      <c r="S939" s="56"/>
      <c r="T939" s="56"/>
      <c r="U939" s="56"/>
      <c r="V939" s="56"/>
      <c r="W939" s="56"/>
      <c r="X939" s="56"/>
      <c r="Y939" s="56"/>
      <c r="Z939" s="56"/>
      <c r="AA939" s="56"/>
    </row>
    <row r="940" spans="1:27" ht="15.75" customHeight="1" x14ac:dyDescent="0.25">
      <c r="A940" s="61"/>
      <c r="B940" s="61"/>
      <c r="C940" s="61"/>
      <c r="D940" s="56"/>
      <c r="E940" s="56"/>
      <c r="F940" s="56"/>
      <c r="G940" s="56"/>
      <c r="H940" s="56"/>
      <c r="I940" s="56"/>
      <c r="J940" s="56"/>
      <c r="K940" s="56"/>
      <c r="L940" s="56"/>
      <c r="M940" s="56"/>
      <c r="N940" s="56"/>
      <c r="O940" s="56"/>
      <c r="P940" s="56"/>
      <c r="Q940" s="56"/>
      <c r="R940" s="56"/>
      <c r="S940" s="56"/>
      <c r="T940" s="56"/>
      <c r="U940" s="56"/>
      <c r="V940" s="56"/>
      <c r="W940" s="56"/>
      <c r="X940" s="56"/>
      <c r="Y940" s="56"/>
      <c r="Z940" s="56"/>
      <c r="AA940" s="56"/>
    </row>
    <row r="941" spans="1:27" ht="15.75" customHeight="1" x14ac:dyDescent="0.25">
      <c r="A941" s="61"/>
      <c r="B941" s="61"/>
      <c r="C941" s="61"/>
      <c r="D941" s="56"/>
      <c r="E941" s="56"/>
      <c r="F941" s="56"/>
      <c r="G941" s="56"/>
      <c r="H941" s="56"/>
      <c r="I941" s="56"/>
      <c r="J941" s="56"/>
      <c r="K941" s="56"/>
      <c r="L941" s="56"/>
      <c r="M941" s="56"/>
      <c r="N941" s="56"/>
      <c r="O941" s="56"/>
      <c r="P941" s="56"/>
      <c r="Q941" s="56"/>
      <c r="R941" s="56"/>
      <c r="S941" s="56"/>
      <c r="T941" s="56"/>
      <c r="U941" s="56"/>
      <c r="V941" s="56"/>
      <c r="W941" s="56"/>
      <c r="X941" s="56"/>
      <c r="Y941" s="56"/>
      <c r="Z941" s="56"/>
      <c r="AA941" s="56"/>
    </row>
    <row r="942" spans="1:27" ht="15.75" customHeight="1" x14ac:dyDescent="0.25">
      <c r="A942" s="61"/>
      <c r="B942" s="61"/>
      <c r="C942" s="61"/>
      <c r="D942" s="56"/>
      <c r="E942" s="56"/>
      <c r="F942" s="56"/>
      <c r="G942" s="56"/>
      <c r="H942" s="56"/>
      <c r="I942" s="56"/>
      <c r="J942" s="56"/>
      <c r="K942" s="56"/>
      <c r="L942" s="56"/>
      <c r="M942" s="56"/>
      <c r="N942" s="56"/>
      <c r="O942" s="56"/>
      <c r="P942" s="56"/>
      <c r="Q942" s="56"/>
      <c r="R942" s="56"/>
      <c r="S942" s="56"/>
      <c r="T942" s="56"/>
      <c r="U942" s="56"/>
      <c r="V942" s="56"/>
      <c r="W942" s="56"/>
      <c r="X942" s="56"/>
      <c r="Y942" s="56"/>
      <c r="Z942" s="56"/>
      <c r="AA942" s="56"/>
    </row>
    <row r="943" spans="1:27" ht="15.75" customHeight="1" x14ac:dyDescent="0.25">
      <c r="A943" s="61"/>
      <c r="B943" s="61"/>
      <c r="C943" s="61"/>
      <c r="D943" s="56"/>
      <c r="E943" s="56"/>
      <c r="F943" s="56"/>
      <c r="G943" s="56"/>
      <c r="H943" s="56"/>
      <c r="I943" s="56"/>
      <c r="J943" s="56"/>
      <c r="K943" s="56"/>
      <c r="L943" s="56"/>
      <c r="M943" s="56"/>
      <c r="N943" s="56"/>
      <c r="O943" s="56"/>
      <c r="P943" s="56"/>
      <c r="Q943" s="56"/>
      <c r="R943" s="56"/>
      <c r="S943" s="56"/>
      <c r="T943" s="56"/>
      <c r="U943" s="56"/>
      <c r="V943" s="56"/>
      <c r="W943" s="56"/>
      <c r="X943" s="56"/>
      <c r="Y943" s="56"/>
      <c r="Z943" s="56"/>
      <c r="AA943" s="56"/>
    </row>
    <row r="944" spans="1:27" ht="15.75" customHeight="1" x14ac:dyDescent="0.25">
      <c r="A944" s="61"/>
      <c r="B944" s="61"/>
      <c r="C944" s="61"/>
      <c r="D944" s="56"/>
      <c r="E944" s="56"/>
      <c r="F944" s="56"/>
      <c r="G944" s="56"/>
      <c r="H944" s="56"/>
      <c r="I944" s="56"/>
      <c r="J944" s="56"/>
      <c r="K944" s="56"/>
      <c r="L944" s="56"/>
      <c r="M944" s="56"/>
      <c r="N944" s="56"/>
      <c r="O944" s="56"/>
      <c r="P944" s="56"/>
      <c r="Q944" s="56"/>
      <c r="R944" s="56"/>
      <c r="S944" s="56"/>
      <c r="T944" s="56"/>
      <c r="U944" s="56"/>
      <c r="V944" s="56"/>
      <c r="W944" s="56"/>
      <c r="X944" s="56"/>
      <c r="Y944" s="56"/>
      <c r="Z944" s="56"/>
      <c r="AA944" s="56"/>
    </row>
    <row r="945" spans="1:27" ht="15.75" customHeight="1" x14ac:dyDescent="0.25">
      <c r="A945" s="61"/>
      <c r="B945" s="61"/>
      <c r="C945" s="61"/>
      <c r="D945" s="56"/>
      <c r="E945" s="56"/>
      <c r="F945" s="56"/>
      <c r="G945" s="56"/>
      <c r="H945" s="56"/>
      <c r="I945" s="56"/>
      <c r="J945" s="56"/>
      <c r="K945" s="56"/>
      <c r="L945" s="56"/>
      <c r="M945" s="56"/>
      <c r="N945" s="56"/>
      <c r="O945" s="56"/>
      <c r="P945" s="56"/>
      <c r="Q945" s="56"/>
      <c r="R945" s="56"/>
      <c r="S945" s="56"/>
      <c r="T945" s="56"/>
      <c r="U945" s="56"/>
      <c r="V945" s="56"/>
      <c r="W945" s="56"/>
      <c r="X945" s="56"/>
      <c r="Y945" s="56"/>
      <c r="Z945" s="56"/>
      <c r="AA945" s="56"/>
    </row>
    <row r="946" spans="1:27" ht="15.75" customHeight="1" x14ac:dyDescent="0.25">
      <c r="A946" s="61"/>
      <c r="B946" s="61"/>
      <c r="C946" s="61"/>
      <c r="D946" s="56"/>
      <c r="E946" s="56"/>
      <c r="F946" s="56"/>
      <c r="G946" s="56"/>
      <c r="H946" s="56"/>
      <c r="I946" s="56"/>
      <c r="J946" s="56"/>
      <c r="K946" s="56"/>
      <c r="L946" s="56"/>
      <c r="M946" s="56"/>
      <c r="N946" s="56"/>
      <c r="O946" s="56"/>
      <c r="P946" s="56"/>
      <c r="Q946" s="56"/>
      <c r="R946" s="56"/>
      <c r="S946" s="56"/>
      <c r="T946" s="56"/>
      <c r="U946" s="56"/>
      <c r="V946" s="56"/>
      <c r="W946" s="56"/>
      <c r="X946" s="56"/>
      <c r="Y946" s="56"/>
      <c r="Z946" s="56"/>
      <c r="AA946" s="56"/>
    </row>
    <row r="947" spans="1:27" ht="15.75" customHeight="1" x14ac:dyDescent="0.25">
      <c r="A947" s="61"/>
      <c r="B947" s="61"/>
      <c r="C947" s="61"/>
      <c r="D947" s="56"/>
      <c r="E947" s="56"/>
      <c r="F947" s="56"/>
      <c r="G947" s="56"/>
      <c r="H947" s="56"/>
      <c r="I947" s="56"/>
      <c r="J947" s="56"/>
      <c r="K947" s="56"/>
      <c r="L947" s="56"/>
      <c r="M947" s="56"/>
      <c r="N947" s="56"/>
      <c r="O947" s="56"/>
      <c r="P947" s="56"/>
      <c r="Q947" s="56"/>
      <c r="R947" s="56"/>
      <c r="S947" s="56"/>
      <c r="T947" s="56"/>
      <c r="U947" s="56"/>
      <c r="V947" s="56"/>
      <c r="W947" s="56"/>
      <c r="X947" s="56"/>
      <c r="Y947" s="56"/>
      <c r="Z947" s="56"/>
      <c r="AA947" s="56"/>
    </row>
    <row r="948" spans="1:27" ht="15.75" customHeight="1" x14ac:dyDescent="0.25">
      <c r="A948" s="61"/>
      <c r="B948" s="61"/>
      <c r="C948" s="61"/>
      <c r="D948" s="56"/>
      <c r="E948" s="56"/>
      <c r="F948" s="56"/>
      <c r="G948" s="56"/>
      <c r="H948" s="56"/>
      <c r="I948" s="56"/>
      <c r="J948" s="56"/>
      <c r="K948" s="56"/>
      <c r="L948" s="56"/>
      <c r="M948" s="56"/>
      <c r="N948" s="56"/>
      <c r="O948" s="56"/>
      <c r="P948" s="56"/>
      <c r="Q948" s="56"/>
      <c r="R948" s="56"/>
      <c r="S948" s="56"/>
      <c r="T948" s="56"/>
      <c r="U948" s="56"/>
      <c r="V948" s="56"/>
      <c r="W948" s="56"/>
      <c r="X948" s="56"/>
      <c r="Y948" s="56"/>
      <c r="Z948" s="56"/>
      <c r="AA948" s="56"/>
    </row>
    <row r="949" spans="1:27" ht="15.75" customHeight="1" x14ac:dyDescent="0.25">
      <c r="A949" s="61"/>
      <c r="B949" s="61"/>
      <c r="C949" s="61"/>
      <c r="D949" s="56"/>
      <c r="E949" s="56"/>
      <c r="F949" s="56"/>
      <c r="G949" s="56"/>
      <c r="H949" s="56"/>
      <c r="I949" s="56"/>
      <c r="J949" s="56"/>
      <c r="K949" s="56"/>
      <c r="L949" s="56"/>
      <c r="M949" s="56"/>
      <c r="N949" s="56"/>
      <c r="O949" s="56"/>
      <c r="P949" s="56"/>
      <c r="Q949" s="56"/>
      <c r="R949" s="56"/>
      <c r="S949" s="56"/>
      <c r="T949" s="56"/>
      <c r="U949" s="56"/>
      <c r="V949" s="56"/>
      <c r="W949" s="56"/>
      <c r="X949" s="56"/>
      <c r="Y949" s="56"/>
      <c r="Z949" s="56"/>
      <c r="AA949" s="56"/>
    </row>
    <row r="950" spans="1:27" ht="15.75" customHeight="1" x14ac:dyDescent="0.25">
      <c r="A950" s="61"/>
      <c r="B950" s="61"/>
      <c r="C950" s="61"/>
      <c r="D950" s="56"/>
      <c r="E950" s="56"/>
      <c r="F950" s="56"/>
      <c r="G950" s="56"/>
      <c r="H950" s="56"/>
      <c r="I950" s="56"/>
      <c r="J950" s="56"/>
      <c r="K950" s="56"/>
      <c r="L950" s="56"/>
      <c r="M950" s="56"/>
      <c r="N950" s="56"/>
      <c r="O950" s="56"/>
      <c r="P950" s="56"/>
      <c r="Q950" s="56"/>
      <c r="R950" s="56"/>
      <c r="S950" s="56"/>
      <c r="T950" s="56"/>
      <c r="U950" s="56"/>
      <c r="V950" s="56"/>
      <c r="W950" s="56"/>
      <c r="X950" s="56"/>
      <c r="Y950" s="56"/>
      <c r="Z950" s="56"/>
      <c r="AA950" s="56"/>
    </row>
    <row r="951" spans="1:27" ht="15.75" customHeight="1" x14ac:dyDescent="0.25">
      <c r="A951" s="61"/>
      <c r="B951" s="61"/>
      <c r="C951" s="61"/>
      <c r="D951" s="56"/>
      <c r="E951" s="56"/>
      <c r="F951" s="56"/>
      <c r="G951" s="56"/>
      <c r="H951" s="56"/>
      <c r="I951" s="56"/>
      <c r="J951" s="56"/>
      <c r="K951" s="56"/>
      <c r="L951" s="56"/>
      <c r="M951" s="56"/>
      <c r="N951" s="56"/>
      <c r="O951" s="56"/>
      <c r="P951" s="56"/>
      <c r="Q951" s="56"/>
      <c r="R951" s="56"/>
      <c r="S951" s="56"/>
      <c r="T951" s="56"/>
      <c r="U951" s="56"/>
      <c r="V951" s="56"/>
      <c r="W951" s="56"/>
      <c r="X951" s="56"/>
      <c r="Y951" s="56"/>
      <c r="Z951" s="56"/>
      <c r="AA951" s="56"/>
    </row>
    <row r="952" spans="1:27" ht="15.75" customHeight="1" x14ac:dyDescent="0.25">
      <c r="A952" s="61"/>
      <c r="B952" s="61"/>
      <c r="C952" s="61"/>
      <c r="D952" s="56"/>
      <c r="E952" s="56"/>
      <c r="F952" s="56"/>
      <c r="G952" s="56"/>
      <c r="H952" s="56"/>
      <c r="I952" s="56"/>
      <c r="J952" s="56"/>
      <c r="K952" s="56"/>
      <c r="L952" s="56"/>
      <c r="M952" s="56"/>
      <c r="N952" s="56"/>
      <c r="O952" s="56"/>
      <c r="P952" s="56"/>
      <c r="Q952" s="56"/>
      <c r="R952" s="56"/>
      <c r="S952" s="56"/>
      <c r="T952" s="56"/>
      <c r="U952" s="56"/>
      <c r="V952" s="56"/>
      <c r="W952" s="56"/>
      <c r="X952" s="56"/>
      <c r="Y952" s="56"/>
      <c r="Z952" s="56"/>
      <c r="AA952" s="56"/>
    </row>
    <row r="953" spans="1:27" ht="15.75" customHeight="1" x14ac:dyDescent="0.25">
      <c r="A953" s="61"/>
      <c r="B953" s="61"/>
      <c r="C953" s="61"/>
      <c r="D953" s="56"/>
      <c r="E953" s="56"/>
      <c r="F953" s="56"/>
      <c r="G953" s="56"/>
      <c r="H953" s="56"/>
      <c r="I953" s="56"/>
      <c r="J953" s="56"/>
      <c r="K953" s="56"/>
      <c r="L953" s="56"/>
      <c r="M953" s="56"/>
      <c r="N953" s="56"/>
      <c r="O953" s="56"/>
      <c r="P953" s="56"/>
      <c r="Q953" s="56"/>
      <c r="R953" s="56"/>
      <c r="S953" s="56"/>
      <c r="T953" s="56"/>
      <c r="U953" s="56"/>
      <c r="V953" s="56"/>
      <c r="W953" s="56"/>
      <c r="X953" s="56"/>
      <c r="Y953" s="56"/>
      <c r="Z953" s="56"/>
      <c r="AA953" s="56"/>
    </row>
    <row r="954" spans="1:27" ht="15.75" customHeight="1" x14ac:dyDescent="0.25">
      <c r="A954" s="61"/>
      <c r="B954" s="61"/>
      <c r="C954" s="61"/>
      <c r="D954" s="56"/>
      <c r="E954" s="56"/>
      <c r="F954" s="56"/>
      <c r="G954" s="56"/>
      <c r="H954" s="56"/>
      <c r="I954" s="56"/>
      <c r="J954" s="56"/>
      <c r="K954" s="56"/>
      <c r="L954" s="56"/>
      <c r="M954" s="56"/>
      <c r="N954" s="56"/>
      <c r="O954" s="56"/>
      <c r="P954" s="56"/>
      <c r="Q954" s="56"/>
      <c r="R954" s="56"/>
      <c r="S954" s="56"/>
      <c r="T954" s="56"/>
      <c r="U954" s="56"/>
      <c r="V954" s="56"/>
      <c r="W954" s="56"/>
      <c r="X954" s="56"/>
      <c r="Y954" s="56"/>
      <c r="Z954" s="56"/>
      <c r="AA954" s="56"/>
    </row>
    <row r="955" spans="1:27" ht="15.75" customHeight="1" x14ac:dyDescent="0.25">
      <c r="A955" s="61"/>
      <c r="B955" s="61"/>
      <c r="C955" s="61"/>
      <c r="D955" s="56"/>
      <c r="E955" s="56"/>
      <c r="F955" s="56"/>
      <c r="G955" s="56"/>
      <c r="H955" s="56"/>
      <c r="I955" s="56"/>
      <c r="J955" s="56"/>
      <c r="K955" s="56"/>
      <c r="L955" s="56"/>
      <c r="M955" s="56"/>
      <c r="N955" s="56"/>
      <c r="O955" s="56"/>
      <c r="P955" s="56"/>
      <c r="Q955" s="56"/>
      <c r="R955" s="56"/>
      <c r="S955" s="56"/>
      <c r="T955" s="56"/>
      <c r="U955" s="56"/>
      <c r="V955" s="56"/>
      <c r="W955" s="56"/>
      <c r="X955" s="56"/>
      <c r="Y955" s="56"/>
      <c r="Z955" s="56"/>
      <c r="AA955" s="56"/>
    </row>
    <row r="956" spans="1:27" ht="15.75" customHeight="1" x14ac:dyDescent="0.25">
      <c r="A956" s="61"/>
      <c r="B956" s="61"/>
      <c r="C956" s="61"/>
      <c r="D956" s="56"/>
      <c r="E956" s="56"/>
      <c r="F956" s="56"/>
      <c r="G956" s="56"/>
      <c r="H956" s="56"/>
      <c r="I956" s="56"/>
      <c r="J956" s="56"/>
      <c r="K956" s="56"/>
      <c r="L956" s="56"/>
      <c r="M956" s="56"/>
      <c r="N956" s="56"/>
      <c r="O956" s="56"/>
      <c r="P956" s="56"/>
      <c r="Q956" s="56"/>
      <c r="R956" s="56"/>
      <c r="S956" s="56"/>
      <c r="T956" s="56"/>
      <c r="U956" s="56"/>
      <c r="V956" s="56"/>
      <c r="W956" s="56"/>
      <c r="X956" s="56"/>
      <c r="Y956" s="56"/>
      <c r="Z956" s="56"/>
      <c r="AA956" s="56"/>
    </row>
    <row r="957" spans="1:27" ht="15.75" customHeight="1" x14ac:dyDescent="0.25">
      <c r="A957" s="61"/>
      <c r="B957" s="61"/>
      <c r="C957" s="61"/>
      <c r="D957" s="56"/>
      <c r="E957" s="56"/>
      <c r="F957" s="56"/>
      <c r="G957" s="56"/>
      <c r="H957" s="56"/>
      <c r="I957" s="56"/>
      <c r="J957" s="56"/>
      <c r="K957" s="56"/>
      <c r="L957" s="56"/>
      <c r="M957" s="56"/>
      <c r="N957" s="56"/>
      <c r="O957" s="56"/>
      <c r="P957" s="56"/>
      <c r="Q957" s="56"/>
      <c r="R957" s="56"/>
      <c r="S957" s="56"/>
      <c r="T957" s="56"/>
      <c r="U957" s="56"/>
      <c r="V957" s="56"/>
      <c r="W957" s="56"/>
      <c r="X957" s="56"/>
      <c r="Y957" s="56"/>
      <c r="Z957" s="56"/>
      <c r="AA957" s="56"/>
    </row>
    <row r="958" spans="1:27" ht="15.75" customHeight="1" x14ac:dyDescent="0.25">
      <c r="A958" s="61"/>
      <c r="B958" s="61"/>
      <c r="C958" s="61"/>
      <c r="D958" s="56"/>
      <c r="E958" s="56"/>
      <c r="F958" s="56"/>
      <c r="G958" s="56"/>
      <c r="H958" s="56"/>
      <c r="I958" s="56"/>
      <c r="J958" s="56"/>
      <c r="K958" s="56"/>
      <c r="L958" s="56"/>
      <c r="M958" s="56"/>
      <c r="N958" s="56"/>
      <c r="O958" s="56"/>
      <c r="P958" s="56"/>
      <c r="Q958" s="56"/>
      <c r="R958" s="56"/>
      <c r="S958" s="56"/>
      <c r="T958" s="56"/>
      <c r="U958" s="56"/>
      <c r="V958" s="56"/>
      <c r="W958" s="56"/>
      <c r="X958" s="56"/>
      <c r="Y958" s="56"/>
      <c r="Z958" s="56"/>
      <c r="AA958" s="56"/>
    </row>
    <row r="959" spans="1:27" ht="15.75" customHeight="1" x14ac:dyDescent="0.25">
      <c r="A959" s="61"/>
      <c r="B959" s="61"/>
      <c r="C959" s="61"/>
      <c r="D959" s="56"/>
      <c r="E959" s="56"/>
      <c r="F959" s="56"/>
      <c r="G959" s="56"/>
      <c r="H959" s="56"/>
      <c r="I959" s="56"/>
      <c r="J959" s="56"/>
      <c r="K959" s="56"/>
      <c r="L959" s="56"/>
      <c r="M959" s="56"/>
      <c r="N959" s="56"/>
      <c r="O959" s="56"/>
      <c r="P959" s="56"/>
      <c r="Q959" s="56"/>
      <c r="R959" s="56"/>
      <c r="S959" s="56"/>
      <c r="T959" s="56"/>
      <c r="U959" s="56"/>
      <c r="V959" s="56"/>
      <c r="W959" s="56"/>
      <c r="X959" s="56"/>
      <c r="Y959" s="56"/>
      <c r="Z959" s="56"/>
      <c r="AA959" s="56"/>
    </row>
    <row r="960" spans="1:27" ht="15.75" customHeight="1" x14ac:dyDescent="0.25">
      <c r="A960" s="61"/>
      <c r="B960" s="61"/>
      <c r="C960" s="61"/>
      <c r="D960" s="56"/>
      <c r="E960" s="56"/>
      <c r="F960" s="56"/>
      <c r="G960" s="56"/>
      <c r="H960" s="56"/>
      <c r="I960" s="56"/>
      <c r="J960" s="56"/>
      <c r="K960" s="56"/>
      <c r="L960" s="56"/>
      <c r="M960" s="56"/>
      <c r="N960" s="56"/>
      <c r="O960" s="56"/>
      <c r="P960" s="56"/>
      <c r="Q960" s="56"/>
      <c r="R960" s="56"/>
      <c r="S960" s="56"/>
      <c r="T960" s="56"/>
      <c r="U960" s="56"/>
      <c r="V960" s="56"/>
      <c r="W960" s="56"/>
      <c r="X960" s="56"/>
      <c r="Y960" s="56"/>
      <c r="Z960" s="56"/>
      <c r="AA960" s="56"/>
    </row>
    <row r="961" spans="1:27" ht="15.75" customHeight="1" x14ac:dyDescent="0.25">
      <c r="A961" s="61"/>
      <c r="B961" s="61"/>
      <c r="C961" s="61"/>
      <c r="D961" s="56"/>
      <c r="E961" s="56"/>
      <c r="F961" s="56"/>
      <c r="G961" s="56"/>
      <c r="H961" s="56"/>
      <c r="I961" s="56"/>
      <c r="J961" s="56"/>
      <c r="K961" s="56"/>
      <c r="L961" s="56"/>
      <c r="M961" s="56"/>
      <c r="N961" s="56"/>
      <c r="O961" s="56"/>
      <c r="P961" s="56"/>
      <c r="Q961" s="56"/>
      <c r="R961" s="56"/>
      <c r="S961" s="56"/>
      <c r="T961" s="56"/>
      <c r="U961" s="56"/>
      <c r="V961" s="56"/>
      <c r="W961" s="56"/>
      <c r="X961" s="56"/>
      <c r="Y961" s="56"/>
      <c r="Z961" s="56"/>
      <c r="AA961" s="56"/>
    </row>
    <row r="962" spans="1:27" ht="15.75" customHeight="1" x14ac:dyDescent="0.25">
      <c r="A962" s="61"/>
      <c r="B962" s="61"/>
      <c r="C962" s="61"/>
      <c r="D962" s="56"/>
      <c r="E962" s="56"/>
      <c r="F962" s="56"/>
      <c r="G962" s="56"/>
      <c r="H962" s="56"/>
      <c r="I962" s="56"/>
      <c r="J962" s="56"/>
      <c r="K962" s="56"/>
      <c r="L962" s="56"/>
      <c r="M962" s="56"/>
      <c r="N962" s="56"/>
      <c r="O962" s="56"/>
      <c r="P962" s="56"/>
      <c r="Q962" s="56"/>
      <c r="R962" s="56"/>
      <c r="S962" s="56"/>
      <c r="T962" s="56"/>
      <c r="U962" s="56"/>
      <c r="V962" s="56"/>
      <c r="W962" s="56"/>
      <c r="X962" s="56"/>
      <c r="Y962" s="56"/>
      <c r="Z962" s="56"/>
      <c r="AA962" s="56"/>
    </row>
    <row r="963" spans="1:27" ht="15.75" customHeight="1" x14ac:dyDescent="0.25">
      <c r="A963" s="61"/>
      <c r="B963" s="61"/>
      <c r="C963" s="61"/>
      <c r="D963" s="56"/>
      <c r="E963" s="56"/>
      <c r="F963" s="56"/>
      <c r="G963" s="56"/>
      <c r="H963" s="56"/>
      <c r="I963" s="56"/>
      <c r="J963" s="56"/>
      <c r="K963" s="56"/>
      <c r="L963" s="56"/>
      <c r="M963" s="56"/>
      <c r="N963" s="56"/>
      <c r="O963" s="56"/>
      <c r="P963" s="56"/>
      <c r="Q963" s="56"/>
      <c r="R963" s="56"/>
      <c r="S963" s="56"/>
      <c r="T963" s="56"/>
      <c r="U963" s="56"/>
      <c r="V963" s="56"/>
      <c r="W963" s="56"/>
      <c r="X963" s="56"/>
      <c r="Y963" s="56"/>
      <c r="Z963" s="56"/>
      <c r="AA963" s="56"/>
    </row>
    <row r="964" spans="1:27" ht="15.75" customHeight="1" x14ac:dyDescent="0.25">
      <c r="A964" s="61"/>
      <c r="B964" s="61"/>
      <c r="C964" s="61"/>
      <c r="D964" s="56"/>
      <c r="E964" s="56"/>
      <c r="F964" s="56"/>
      <c r="G964" s="56"/>
      <c r="H964" s="56"/>
      <c r="I964" s="56"/>
      <c r="J964" s="56"/>
      <c r="K964" s="56"/>
      <c r="L964" s="56"/>
      <c r="M964" s="56"/>
      <c r="N964" s="56"/>
      <c r="O964" s="56"/>
      <c r="P964" s="56"/>
      <c r="Q964" s="56"/>
      <c r="R964" s="56"/>
      <c r="S964" s="56"/>
      <c r="T964" s="56"/>
      <c r="U964" s="56"/>
      <c r="V964" s="56"/>
      <c r="W964" s="56"/>
      <c r="X964" s="56"/>
      <c r="Y964" s="56"/>
      <c r="Z964" s="56"/>
      <c r="AA964" s="56"/>
    </row>
    <row r="965" spans="1:27" ht="15.75" customHeight="1" x14ac:dyDescent="0.25">
      <c r="A965" s="61"/>
      <c r="B965" s="61"/>
      <c r="C965" s="61"/>
      <c r="D965" s="56"/>
      <c r="E965" s="56"/>
      <c r="F965" s="56"/>
      <c r="G965" s="56"/>
      <c r="H965" s="56"/>
      <c r="I965" s="56"/>
      <c r="J965" s="56"/>
      <c r="K965" s="56"/>
      <c r="L965" s="56"/>
      <c r="M965" s="56"/>
      <c r="N965" s="56"/>
      <c r="O965" s="56"/>
      <c r="P965" s="56"/>
      <c r="Q965" s="56"/>
      <c r="R965" s="56"/>
      <c r="S965" s="56"/>
      <c r="T965" s="56"/>
      <c r="U965" s="56"/>
      <c r="V965" s="56"/>
      <c r="W965" s="56"/>
      <c r="X965" s="56"/>
      <c r="Y965" s="56"/>
      <c r="Z965" s="56"/>
      <c r="AA965" s="56"/>
    </row>
    <row r="966" spans="1:27" ht="15.75" customHeight="1" x14ac:dyDescent="0.25">
      <c r="A966" s="61"/>
      <c r="B966" s="61"/>
      <c r="C966" s="61"/>
      <c r="D966" s="56"/>
      <c r="E966" s="56"/>
      <c r="F966" s="56"/>
      <c r="G966" s="56"/>
      <c r="H966" s="56"/>
      <c r="I966" s="56"/>
      <c r="J966" s="56"/>
      <c r="K966" s="56"/>
      <c r="L966" s="56"/>
      <c r="M966" s="56"/>
      <c r="N966" s="56"/>
      <c r="O966" s="56"/>
      <c r="P966" s="56"/>
      <c r="Q966" s="56"/>
      <c r="R966" s="56"/>
      <c r="S966" s="56"/>
      <c r="T966" s="56"/>
      <c r="U966" s="56"/>
      <c r="V966" s="56"/>
      <c r="W966" s="56"/>
      <c r="X966" s="56"/>
      <c r="Y966" s="56"/>
      <c r="Z966" s="56"/>
      <c r="AA966" s="56"/>
    </row>
    <row r="967" spans="1:27" ht="15.75" customHeight="1" x14ac:dyDescent="0.25">
      <c r="A967" s="61"/>
      <c r="B967" s="61"/>
      <c r="C967" s="61"/>
      <c r="D967" s="56"/>
      <c r="E967" s="56"/>
      <c r="F967" s="56"/>
      <c r="G967" s="56"/>
      <c r="H967" s="56"/>
      <c r="I967" s="56"/>
      <c r="J967" s="56"/>
      <c r="K967" s="56"/>
      <c r="L967" s="56"/>
      <c r="M967" s="56"/>
      <c r="N967" s="56"/>
      <c r="O967" s="56"/>
      <c r="P967" s="56"/>
      <c r="Q967" s="56"/>
      <c r="R967" s="56"/>
      <c r="S967" s="56"/>
      <c r="T967" s="56"/>
      <c r="U967" s="56"/>
      <c r="V967" s="56"/>
      <c r="W967" s="56"/>
      <c r="X967" s="56"/>
      <c r="Y967" s="56"/>
      <c r="Z967" s="56"/>
      <c r="AA967" s="56"/>
    </row>
    <row r="968" spans="1:27" ht="15.75" customHeight="1" x14ac:dyDescent="0.25">
      <c r="A968" s="61"/>
      <c r="B968" s="61"/>
      <c r="C968" s="61"/>
      <c r="D968" s="56"/>
      <c r="E968" s="56"/>
      <c r="F968" s="56"/>
      <c r="G968" s="56"/>
      <c r="H968" s="56"/>
      <c r="I968" s="56"/>
      <c r="J968" s="56"/>
      <c r="K968" s="56"/>
      <c r="L968" s="56"/>
      <c r="M968" s="56"/>
      <c r="N968" s="56"/>
      <c r="O968" s="56"/>
      <c r="P968" s="56"/>
      <c r="Q968" s="56"/>
      <c r="R968" s="56"/>
      <c r="S968" s="56"/>
      <c r="T968" s="56"/>
      <c r="U968" s="56"/>
      <c r="V968" s="56"/>
      <c r="W968" s="56"/>
      <c r="X968" s="56"/>
      <c r="Y968" s="56"/>
      <c r="Z968" s="56"/>
      <c r="AA968" s="56"/>
    </row>
    <row r="969" spans="1:27" ht="15.75" customHeight="1" x14ac:dyDescent="0.25">
      <c r="A969" s="61"/>
      <c r="B969" s="61"/>
      <c r="C969" s="61"/>
      <c r="D969" s="56"/>
      <c r="E969" s="56"/>
      <c r="F969" s="56"/>
      <c r="G969" s="56"/>
      <c r="H969" s="56"/>
      <c r="I969" s="56"/>
      <c r="J969" s="56"/>
      <c r="K969" s="56"/>
      <c r="L969" s="56"/>
      <c r="M969" s="56"/>
      <c r="N969" s="56"/>
      <c r="O969" s="56"/>
      <c r="P969" s="56"/>
      <c r="Q969" s="56"/>
      <c r="R969" s="56"/>
      <c r="S969" s="56"/>
      <c r="T969" s="56"/>
      <c r="U969" s="56"/>
      <c r="V969" s="56"/>
      <c r="W969" s="56"/>
      <c r="X969" s="56"/>
      <c r="Y969" s="56"/>
      <c r="Z969" s="56"/>
      <c r="AA969" s="56"/>
    </row>
    <row r="970" spans="1:27" ht="15.75" customHeight="1" x14ac:dyDescent="0.25">
      <c r="A970" s="61"/>
      <c r="B970" s="61"/>
      <c r="C970" s="61"/>
      <c r="D970" s="56"/>
      <c r="E970" s="56"/>
      <c r="F970" s="56"/>
      <c r="G970" s="56"/>
      <c r="H970" s="56"/>
      <c r="I970" s="56"/>
      <c r="J970" s="56"/>
      <c r="K970" s="56"/>
      <c r="L970" s="56"/>
      <c r="M970" s="56"/>
      <c r="N970" s="56"/>
      <c r="O970" s="56"/>
      <c r="P970" s="56"/>
      <c r="Q970" s="56"/>
      <c r="R970" s="56"/>
      <c r="S970" s="56"/>
      <c r="T970" s="56"/>
      <c r="U970" s="56"/>
      <c r="V970" s="56"/>
      <c r="W970" s="56"/>
      <c r="X970" s="56"/>
      <c r="Y970" s="56"/>
      <c r="Z970" s="56"/>
      <c r="AA970" s="56"/>
    </row>
    <row r="971" spans="1:27" ht="15.75" customHeight="1" x14ac:dyDescent="0.25">
      <c r="A971" s="61"/>
      <c r="B971" s="61"/>
      <c r="C971" s="61"/>
      <c r="D971" s="56"/>
      <c r="E971" s="56"/>
      <c r="F971" s="56"/>
      <c r="G971" s="56"/>
      <c r="H971" s="56"/>
      <c r="I971" s="56"/>
      <c r="J971" s="56"/>
      <c r="K971" s="56"/>
      <c r="L971" s="56"/>
      <c r="M971" s="56"/>
      <c r="N971" s="56"/>
      <c r="O971" s="56"/>
      <c r="P971" s="56"/>
      <c r="Q971" s="56"/>
      <c r="R971" s="56"/>
      <c r="S971" s="56"/>
      <c r="T971" s="56"/>
      <c r="U971" s="56"/>
      <c r="V971" s="56"/>
      <c r="W971" s="56"/>
      <c r="X971" s="56"/>
      <c r="Y971" s="56"/>
      <c r="Z971" s="56"/>
      <c r="AA971" s="56"/>
    </row>
    <row r="972" spans="1:27" ht="15.75" customHeight="1" x14ac:dyDescent="0.25">
      <c r="A972" s="61"/>
      <c r="B972" s="61"/>
      <c r="C972" s="61"/>
      <c r="D972" s="56"/>
      <c r="E972" s="56"/>
      <c r="F972" s="56"/>
      <c r="G972" s="56"/>
      <c r="H972" s="56"/>
      <c r="I972" s="56"/>
      <c r="J972" s="56"/>
      <c r="K972" s="56"/>
      <c r="L972" s="56"/>
      <c r="M972" s="56"/>
      <c r="N972" s="56"/>
      <c r="O972" s="56"/>
      <c r="P972" s="56"/>
      <c r="Q972" s="56"/>
      <c r="R972" s="56"/>
      <c r="S972" s="56"/>
      <c r="T972" s="56"/>
      <c r="U972" s="56"/>
      <c r="V972" s="56"/>
      <c r="W972" s="56"/>
      <c r="X972" s="56"/>
      <c r="Y972" s="56"/>
      <c r="Z972" s="56"/>
      <c r="AA972" s="56"/>
    </row>
    <row r="973" spans="1:27" ht="15.75" customHeight="1" x14ac:dyDescent="0.25">
      <c r="A973" s="61"/>
      <c r="B973" s="61"/>
      <c r="C973" s="61"/>
      <c r="D973" s="56"/>
      <c r="E973" s="56"/>
      <c r="F973" s="56"/>
      <c r="G973" s="56"/>
      <c r="H973" s="56"/>
      <c r="I973" s="56"/>
      <c r="J973" s="56"/>
      <c r="K973" s="56"/>
      <c r="L973" s="56"/>
      <c r="M973" s="56"/>
      <c r="N973" s="56"/>
      <c r="O973" s="56"/>
      <c r="P973" s="56"/>
      <c r="Q973" s="56"/>
      <c r="R973" s="56"/>
      <c r="S973" s="56"/>
      <c r="T973" s="56"/>
      <c r="U973" s="56"/>
      <c r="V973" s="56"/>
      <c r="W973" s="56"/>
      <c r="X973" s="56"/>
      <c r="Y973" s="56"/>
      <c r="Z973" s="56"/>
      <c r="AA973" s="56"/>
    </row>
    <row r="974" spans="1:27" ht="15.75" customHeight="1" x14ac:dyDescent="0.25">
      <c r="A974" s="61"/>
      <c r="B974" s="61"/>
      <c r="C974" s="61"/>
      <c r="D974" s="56"/>
      <c r="E974" s="56"/>
      <c r="F974" s="56"/>
      <c r="G974" s="56"/>
      <c r="H974" s="56"/>
      <c r="I974" s="56"/>
      <c r="J974" s="56"/>
      <c r="K974" s="56"/>
      <c r="L974" s="56"/>
      <c r="M974" s="56"/>
      <c r="N974" s="56"/>
      <c r="O974" s="56"/>
      <c r="P974" s="56"/>
      <c r="Q974" s="56"/>
      <c r="R974" s="56"/>
      <c r="S974" s="56"/>
      <c r="T974" s="56"/>
      <c r="U974" s="56"/>
      <c r="V974" s="56"/>
      <c r="W974" s="56"/>
      <c r="X974" s="56"/>
      <c r="Y974" s="56"/>
      <c r="Z974" s="56"/>
      <c r="AA974" s="56"/>
    </row>
    <row r="975" spans="1:27" ht="15.75" customHeight="1" x14ac:dyDescent="0.25">
      <c r="A975" s="61"/>
      <c r="B975" s="61"/>
      <c r="C975" s="61"/>
      <c r="D975" s="56"/>
      <c r="E975" s="56"/>
      <c r="F975" s="56"/>
      <c r="G975" s="56"/>
      <c r="H975" s="56"/>
      <c r="I975" s="56"/>
      <c r="J975" s="56"/>
      <c r="K975" s="56"/>
      <c r="L975" s="56"/>
      <c r="M975" s="56"/>
      <c r="N975" s="56"/>
      <c r="O975" s="56"/>
      <c r="P975" s="56"/>
      <c r="Q975" s="56"/>
      <c r="R975" s="56"/>
      <c r="S975" s="56"/>
      <c r="T975" s="56"/>
      <c r="U975" s="56"/>
      <c r="V975" s="56"/>
      <c r="W975" s="56"/>
      <c r="X975" s="56"/>
      <c r="Y975" s="56"/>
      <c r="Z975" s="56"/>
      <c r="AA975" s="56"/>
    </row>
    <row r="976" spans="1:27" ht="15.75" customHeight="1" x14ac:dyDescent="0.25">
      <c r="A976" s="61"/>
      <c r="B976" s="61"/>
      <c r="C976" s="61"/>
      <c r="D976" s="56"/>
      <c r="E976" s="56"/>
      <c r="F976" s="56"/>
      <c r="G976" s="56"/>
      <c r="H976" s="56"/>
      <c r="I976" s="56"/>
      <c r="J976" s="56"/>
      <c r="K976" s="56"/>
      <c r="L976" s="56"/>
      <c r="M976" s="56"/>
      <c r="N976" s="56"/>
      <c r="O976" s="56"/>
      <c r="P976" s="56"/>
      <c r="Q976" s="56"/>
      <c r="R976" s="56"/>
      <c r="S976" s="56"/>
      <c r="T976" s="56"/>
      <c r="U976" s="56"/>
      <c r="V976" s="56"/>
      <c r="W976" s="56"/>
      <c r="X976" s="56"/>
      <c r="Y976" s="56"/>
      <c r="Z976" s="56"/>
      <c r="AA976" s="56"/>
    </row>
    <row r="977" spans="1:27" ht="15.75" customHeight="1" x14ac:dyDescent="0.25">
      <c r="A977" s="61"/>
      <c r="B977" s="61"/>
      <c r="C977" s="61"/>
      <c r="D977" s="56"/>
      <c r="E977" s="56"/>
      <c r="F977" s="56"/>
      <c r="G977" s="56"/>
      <c r="H977" s="56"/>
      <c r="I977" s="56"/>
      <c r="J977" s="56"/>
      <c r="K977" s="56"/>
      <c r="L977" s="56"/>
      <c r="M977" s="56"/>
      <c r="N977" s="56"/>
      <c r="O977" s="56"/>
      <c r="P977" s="56"/>
      <c r="Q977" s="56"/>
      <c r="R977" s="56"/>
      <c r="S977" s="56"/>
      <c r="T977" s="56"/>
      <c r="U977" s="56"/>
      <c r="V977" s="56"/>
      <c r="W977" s="56"/>
      <c r="X977" s="56"/>
      <c r="Y977" s="56"/>
      <c r="Z977" s="56"/>
      <c r="AA977" s="56"/>
    </row>
    <row r="978" spans="1:27" ht="15.75" customHeight="1" x14ac:dyDescent="0.25">
      <c r="A978" s="61"/>
      <c r="B978" s="61"/>
      <c r="C978" s="61"/>
      <c r="D978" s="56"/>
      <c r="E978" s="56"/>
      <c r="F978" s="56"/>
      <c r="G978" s="56"/>
      <c r="H978" s="56"/>
      <c r="I978" s="56"/>
      <c r="J978" s="56"/>
      <c r="K978" s="56"/>
      <c r="L978" s="56"/>
      <c r="M978" s="56"/>
      <c r="N978" s="56"/>
      <c r="O978" s="56"/>
      <c r="P978" s="56"/>
      <c r="Q978" s="56"/>
      <c r="R978" s="56"/>
      <c r="S978" s="56"/>
      <c r="T978" s="56"/>
      <c r="U978" s="56"/>
      <c r="V978" s="56"/>
      <c r="W978" s="56"/>
      <c r="X978" s="56"/>
      <c r="Y978" s="56"/>
      <c r="Z978" s="56"/>
      <c r="AA978" s="56"/>
    </row>
    <row r="979" spans="1:27" ht="15.75" customHeight="1" x14ac:dyDescent="0.25">
      <c r="A979" s="61"/>
      <c r="B979" s="61"/>
      <c r="C979" s="61"/>
      <c r="D979" s="56"/>
      <c r="E979" s="56"/>
      <c r="F979" s="56"/>
      <c r="G979" s="56"/>
      <c r="H979" s="56"/>
      <c r="I979" s="56"/>
      <c r="J979" s="56"/>
      <c r="K979" s="56"/>
      <c r="L979" s="56"/>
      <c r="M979" s="56"/>
      <c r="N979" s="56"/>
      <c r="O979" s="56"/>
      <c r="P979" s="56"/>
      <c r="Q979" s="56"/>
      <c r="R979" s="56"/>
      <c r="S979" s="56"/>
      <c r="T979" s="56"/>
      <c r="U979" s="56"/>
      <c r="V979" s="56"/>
      <c r="W979" s="56"/>
      <c r="X979" s="56"/>
      <c r="Y979" s="56"/>
      <c r="Z979" s="56"/>
      <c r="AA979" s="56"/>
    </row>
    <row r="980" spans="1:27" ht="15.75" customHeight="1" x14ac:dyDescent="0.25">
      <c r="A980" s="61"/>
      <c r="B980" s="61"/>
      <c r="C980" s="61"/>
      <c r="D980" s="56"/>
      <c r="E980" s="56"/>
      <c r="F980" s="56"/>
      <c r="G980" s="56"/>
      <c r="H980" s="56"/>
      <c r="I980" s="56"/>
      <c r="J980" s="56"/>
      <c r="K980" s="56"/>
      <c r="L980" s="56"/>
      <c r="M980" s="56"/>
      <c r="N980" s="56"/>
      <c r="O980" s="56"/>
      <c r="P980" s="56"/>
      <c r="Q980" s="56"/>
      <c r="R980" s="56"/>
      <c r="S980" s="56"/>
      <c r="T980" s="56"/>
      <c r="U980" s="56"/>
      <c r="V980" s="56"/>
      <c r="W980" s="56"/>
      <c r="X980" s="56"/>
      <c r="Y980" s="56"/>
      <c r="Z980" s="56"/>
      <c r="AA980" s="56"/>
    </row>
    <row r="981" spans="1:27" ht="15.75" customHeight="1" x14ac:dyDescent="0.25">
      <c r="A981" s="61"/>
      <c r="B981" s="61"/>
      <c r="C981" s="61"/>
      <c r="D981" s="56"/>
      <c r="E981" s="56"/>
      <c r="F981" s="56"/>
      <c r="G981" s="56"/>
      <c r="H981" s="56"/>
      <c r="I981" s="56"/>
      <c r="J981" s="56"/>
      <c r="K981" s="56"/>
      <c r="L981" s="56"/>
      <c r="M981" s="56"/>
      <c r="N981" s="56"/>
      <c r="O981" s="56"/>
      <c r="P981" s="56"/>
      <c r="Q981" s="56"/>
      <c r="R981" s="56"/>
      <c r="S981" s="56"/>
      <c r="T981" s="56"/>
      <c r="U981" s="56"/>
      <c r="V981" s="56"/>
      <c r="W981" s="56"/>
      <c r="X981" s="56"/>
      <c r="Y981" s="56"/>
      <c r="Z981" s="56"/>
      <c r="AA981" s="56"/>
    </row>
    <row r="982" spans="1:27" ht="15.75" customHeight="1" x14ac:dyDescent="0.25">
      <c r="A982" s="61"/>
      <c r="B982" s="61"/>
      <c r="C982" s="61"/>
      <c r="D982" s="56"/>
      <c r="E982" s="56"/>
      <c r="F982" s="56"/>
      <c r="G982" s="56"/>
      <c r="H982" s="56"/>
      <c r="I982" s="56"/>
      <c r="J982" s="56"/>
      <c r="K982" s="56"/>
      <c r="L982" s="56"/>
      <c r="M982" s="56"/>
      <c r="N982" s="56"/>
      <c r="O982" s="56"/>
      <c r="P982" s="56"/>
      <c r="Q982" s="56"/>
      <c r="R982" s="56"/>
      <c r="S982" s="56"/>
      <c r="T982" s="56"/>
      <c r="U982" s="56"/>
      <c r="V982" s="56"/>
      <c r="W982" s="56"/>
      <c r="X982" s="56"/>
      <c r="Y982" s="56"/>
      <c r="Z982" s="56"/>
      <c r="AA982" s="56"/>
    </row>
    <row r="983" spans="1:27" ht="15.75" customHeight="1" x14ac:dyDescent="0.25">
      <c r="A983" s="61"/>
      <c r="B983" s="61"/>
      <c r="C983" s="61"/>
      <c r="D983" s="56"/>
      <c r="E983" s="56"/>
      <c r="F983" s="56"/>
      <c r="G983" s="56"/>
      <c r="H983" s="56"/>
      <c r="I983" s="56"/>
      <c r="J983" s="56"/>
      <c r="K983" s="56"/>
      <c r="L983" s="56"/>
      <c r="M983" s="56"/>
      <c r="N983" s="56"/>
      <c r="O983" s="56"/>
      <c r="P983" s="56"/>
      <c r="Q983" s="56"/>
      <c r="R983" s="56"/>
      <c r="S983" s="56"/>
      <c r="T983" s="56"/>
      <c r="U983" s="56"/>
      <c r="V983" s="56"/>
      <c r="W983" s="56"/>
      <c r="X983" s="56"/>
      <c r="Y983" s="56"/>
      <c r="Z983" s="56"/>
      <c r="AA983" s="56"/>
    </row>
    <row r="984" spans="1:27" ht="15.75" customHeight="1" x14ac:dyDescent="0.25">
      <c r="A984" s="61"/>
      <c r="B984" s="61"/>
      <c r="C984" s="61"/>
      <c r="D984" s="56"/>
      <c r="E984" s="56"/>
      <c r="F984" s="56"/>
      <c r="G984" s="56"/>
      <c r="H984" s="56"/>
      <c r="I984" s="56"/>
      <c r="J984" s="56"/>
      <c r="K984" s="56"/>
      <c r="L984" s="56"/>
      <c r="M984" s="56"/>
      <c r="N984" s="56"/>
      <c r="O984" s="56"/>
      <c r="P984" s="56"/>
      <c r="Q984" s="56"/>
      <c r="R984" s="56"/>
      <c r="S984" s="56"/>
      <c r="T984" s="56"/>
      <c r="U984" s="56"/>
      <c r="V984" s="56"/>
      <c r="W984" s="56"/>
      <c r="X984" s="56"/>
      <c r="Y984" s="56"/>
      <c r="Z984" s="56"/>
      <c r="AA984" s="56"/>
    </row>
    <row r="985" spans="1:27" ht="15.75" customHeight="1" x14ac:dyDescent="0.25">
      <c r="A985" s="61"/>
      <c r="B985" s="61"/>
      <c r="C985" s="61"/>
      <c r="D985" s="56"/>
      <c r="E985" s="56"/>
      <c r="F985" s="56"/>
      <c r="G985" s="56"/>
      <c r="H985" s="56"/>
      <c r="I985" s="56"/>
      <c r="J985" s="56"/>
      <c r="K985" s="56"/>
      <c r="L985" s="56"/>
      <c r="M985" s="56"/>
      <c r="N985" s="56"/>
      <c r="O985" s="56"/>
      <c r="P985" s="56"/>
      <c r="Q985" s="56"/>
      <c r="R985" s="56"/>
      <c r="S985" s="56"/>
      <c r="T985" s="56"/>
      <c r="U985" s="56"/>
      <c r="V985" s="56"/>
      <c r="W985" s="56"/>
      <c r="X985" s="56"/>
      <c r="Y985" s="56"/>
      <c r="Z985" s="56"/>
      <c r="AA985" s="56"/>
    </row>
    <row r="986" spans="1:27" ht="15.75" customHeight="1" x14ac:dyDescent="0.25">
      <c r="A986" s="61"/>
      <c r="B986" s="61"/>
      <c r="C986" s="61"/>
      <c r="D986" s="56"/>
      <c r="E986" s="56"/>
      <c r="F986" s="56"/>
      <c r="G986" s="56"/>
      <c r="H986" s="56"/>
      <c r="I986" s="56"/>
      <c r="J986" s="56"/>
      <c r="K986" s="56"/>
      <c r="L986" s="56"/>
      <c r="M986" s="56"/>
      <c r="N986" s="56"/>
      <c r="O986" s="56"/>
      <c r="P986" s="56"/>
      <c r="Q986" s="56"/>
      <c r="R986" s="56"/>
      <c r="S986" s="56"/>
      <c r="T986" s="56"/>
      <c r="U986" s="56"/>
      <c r="V986" s="56"/>
      <c r="W986" s="56"/>
      <c r="X986" s="56"/>
      <c r="Y986" s="56"/>
      <c r="Z986" s="56"/>
      <c r="AA986" s="56"/>
    </row>
    <row r="987" spans="1:27" ht="15.75" customHeight="1" x14ac:dyDescent="0.25">
      <c r="A987" s="61"/>
      <c r="B987" s="61"/>
      <c r="C987" s="61"/>
      <c r="D987" s="56"/>
      <c r="E987" s="56"/>
      <c r="F987" s="56"/>
      <c r="G987" s="56"/>
      <c r="H987" s="56"/>
      <c r="I987" s="56"/>
      <c r="J987" s="56"/>
      <c r="K987" s="56"/>
      <c r="L987" s="56"/>
      <c r="M987" s="56"/>
      <c r="N987" s="56"/>
      <c r="O987" s="56"/>
      <c r="P987" s="56"/>
      <c r="Q987" s="56"/>
      <c r="R987" s="56"/>
      <c r="S987" s="56"/>
      <c r="T987" s="56"/>
      <c r="U987" s="56"/>
      <c r="V987" s="56"/>
      <c r="W987" s="56"/>
      <c r="X987" s="56"/>
      <c r="Y987" s="56"/>
      <c r="Z987" s="56"/>
      <c r="AA987" s="56"/>
    </row>
    <row r="988" spans="1:27" ht="15.75" customHeight="1" x14ac:dyDescent="0.25">
      <c r="A988" s="61"/>
      <c r="B988" s="61"/>
      <c r="C988" s="61"/>
      <c r="D988" s="56"/>
      <c r="E988" s="56"/>
      <c r="F988" s="56"/>
      <c r="G988" s="56"/>
      <c r="H988" s="56"/>
      <c r="I988" s="56"/>
      <c r="J988" s="56"/>
      <c r="K988" s="56"/>
      <c r="L988" s="56"/>
      <c r="M988" s="56"/>
      <c r="N988" s="56"/>
      <c r="O988" s="56"/>
      <c r="P988" s="56"/>
      <c r="Q988" s="56"/>
      <c r="R988" s="56"/>
      <c r="S988" s="56"/>
      <c r="T988" s="56"/>
      <c r="U988" s="56"/>
      <c r="V988" s="56"/>
      <c r="W988" s="56"/>
      <c r="X988" s="56"/>
      <c r="Y988" s="56"/>
      <c r="Z988" s="56"/>
      <c r="AA988" s="56"/>
    </row>
    <row r="989" spans="1:27" ht="15.75" customHeight="1" x14ac:dyDescent="0.25">
      <c r="A989" s="61"/>
      <c r="B989" s="61"/>
      <c r="C989" s="61"/>
      <c r="D989" s="56"/>
      <c r="E989" s="56"/>
      <c r="F989" s="56"/>
      <c r="G989" s="56"/>
      <c r="H989" s="56"/>
      <c r="I989" s="56"/>
      <c r="J989" s="56"/>
      <c r="K989" s="56"/>
      <c r="L989" s="56"/>
      <c r="M989" s="56"/>
      <c r="N989" s="56"/>
      <c r="O989" s="56"/>
      <c r="P989" s="56"/>
      <c r="Q989" s="56"/>
      <c r="R989" s="56"/>
      <c r="S989" s="56"/>
      <c r="T989" s="56"/>
      <c r="U989" s="56"/>
      <c r="V989" s="56"/>
      <c r="W989" s="56"/>
      <c r="X989" s="56"/>
      <c r="Y989" s="56"/>
      <c r="Z989" s="56"/>
      <c r="AA989" s="56"/>
    </row>
    <row r="990" spans="1:27" ht="15.75" customHeight="1" x14ac:dyDescent="0.25">
      <c r="A990" s="61"/>
      <c r="B990" s="61"/>
      <c r="C990" s="61"/>
      <c r="D990" s="56"/>
      <c r="E990" s="56"/>
      <c r="F990" s="56"/>
      <c r="G990" s="56"/>
      <c r="H990" s="56"/>
      <c r="I990" s="56"/>
      <c r="J990" s="56"/>
      <c r="K990" s="56"/>
      <c r="L990" s="56"/>
      <c r="M990" s="56"/>
      <c r="N990" s="56"/>
      <c r="O990" s="56"/>
      <c r="P990" s="56"/>
      <c r="Q990" s="56"/>
      <c r="R990" s="56"/>
      <c r="S990" s="56"/>
      <c r="T990" s="56"/>
      <c r="U990" s="56"/>
      <c r="V990" s="56"/>
      <c r="W990" s="56"/>
      <c r="X990" s="56"/>
      <c r="Y990" s="56"/>
      <c r="Z990" s="56"/>
      <c r="AA990" s="56"/>
    </row>
    <row r="991" spans="1:27" ht="15.75" customHeight="1" x14ac:dyDescent="0.25">
      <c r="A991" s="61"/>
      <c r="B991" s="61"/>
      <c r="C991" s="61"/>
      <c r="D991" s="56"/>
      <c r="E991" s="56"/>
      <c r="F991" s="56"/>
      <c r="G991" s="56"/>
      <c r="H991" s="56"/>
      <c r="I991" s="56"/>
      <c r="J991" s="56"/>
      <c r="K991" s="56"/>
      <c r="L991" s="56"/>
      <c r="M991" s="56"/>
      <c r="N991" s="56"/>
      <c r="O991" s="56"/>
      <c r="P991" s="56"/>
      <c r="Q991" s="56"/>
      <c r="R991" s="56"/>
      <c r="S991" s="56"/>
      <c r="T991" s="56"/>
      <c r="U991" s="56"/>
      <c r="V991" s="56"/>
      <c r="W991" s="56"/>
      <c r="X991" s="56"/>
      <c r="Y991" s="56"/>
      <c r="Z991" s="56"/>
      <c r="AA991" s="56"/>
    </row>
    <row r="992" spans="1:27" ht="15.75" customHeight="1" x14ac:dyDescent="0.25">
      <c r="A992" s="61"/>
      <c r="B992" s="61"/>
      <c r="C992" s="61"/>
      <c r="D992" s="56"/>
      <c r="E992" s="56"/>
      <c r="F992" s="56"/>
      <c r="G992" s="56"/>
      <c r="H992" s="56"/>
      <c r="I992" s="56"/>
      <c r="J992" s="56"/>
      <c r="K992" s="56"/>
      <c r="L992" s="56"/>
      <c r="M992" s="56"/>
      <c r="N992" s="56"/>
      <c r="O992" s="56"/>
      <c r="P992" s="56"/>
      <c r="Q992" s="56"/>
      <c r="R992" s="56"/>
      <c r="S992" s="56"/>
      <c r="T992" s="56"/>
      <c r="U992" s="56"/>
      <c r="V992" s="56"/>
      <c r="W992" s="56"/>
      <c r="X992" s="56"/>
      <c r="Y992" s="56"/>
      <c r="Z992" s="56"/>
      <c r="AA992" s="56"/>
    </row>
    <row r="993" spans="1:27" ht="15.75" customHeight="1" x14ac:dyDescent="0.25">
      <c r="A993" s="61"/>
      <c r="B993" s="61"/>
      <c r="C993" s="61"/>
      <c r="D993" s="56"/>
      <c r="E993" s="56"/>
      <c r="F993" s="56"/>
      <c r="G993" s="56"/>
      <c r="H993" s="56"/>
      <c r="I993" s="56"/>
      <c r="J993" s="56"/>
      <c r="K993" s="56"/>
      <c r="L993" s="56"/>
      <c r="M993" s="56"/>
      <c r="N993" s="56"/>
      <c r="O993" s="56"/>
      <c r="P993" s="56"/>
      <c r="Q993" s="56"/>
      <c r="R993" s="56"/>
      <c r="S993" s="56"/>
      <c r="T993" s="56"/>
      <c r="U993" s="56"/>
      <c r="V993" s="56"/>
      <c r="W993" s="56"/>
      <c r="X993" s="56"/>
      <c r="Y993" s="56"/>
      <c r="Z993" s="56"/>
      <c r="AA993" s="56"/>
    </row>
    <row r="994" spans="1:27" ht="15.75" customHeight="1" x14ac:dyDescent="0.25">
      <c r="A994" s="61"/>
      <c r="B994" s="61"/>
      <c r="C994" s="61"/>
      <c r="D994" s="56"/>
      <c r="E994" s="56"/>
      <c r="F994" s="56"/>
      <c r="G994" s="56"/>
      <c r="H994" s="56"/>
      <c r="I994" s="56"/>
      <c r="J994" s="56"/>
      <c r="K994" s="56"/>
      <c r="L994" s="56"/>
      <c r="M994" s="56"/>
      <c r="N994" s="56"/>
      <c r="O994" s="56"/>
      <c r="P994" s="56"/>
      <c r="Q994" s="56"/>
      <c r="R994" s="56"/>
      <c r="S994" s="56"/>
      <c r="T994" s="56"/>
      <c r="U994" s="56"/>
      <c r="V994" s="56"/>
      <c r="W994" s="56"/>
      <c r="X994" s="56"/>
      <c r="Y994" s="56"/>
      <c r="Z994" s="56"/>
      <c r="AA994" s="56"/>
    </row>
    <row r="995" spans="1:27" ht="15.75" customHeight="1" x14ac:dyDescent="0.25">
      <c r="A995" s="61"/>
      <c r="B995" s="61"/>
      <c r="C995" s="61"/>
      <c r="D995" s="56"/>
      <c r="E995" s="56"/>
      <c r="F995" s="56"/>
      <c r="G995" s="56"/>
      <c r="H995" s="56"/>
      <c r="I995" s="56"/>
      <c r="J995" s="56"/>
      <c r="K995" s="56"/>
      <c r="L995" s="56"/>
      <c r="M995" s="56"/>
      <c r="N995" s="56"/>
      <c r="O995" s="56"/>
      <c r="P995" s="56"/>
      <c r="Q995" s="56"/>
      <c r="R995" s="56"/>
      <c r="S995" s="56"/>
      <c r="T995" s="56"/>
      <c r="U995" s="56"/>
      <c r="V995" s="56"/>
      <c r="W995" s="56"/>
      <c r="X995" s="56"/>
      <c r="Y995" s="56"/>
      <c r="Z995" s="56"/>
      <c r="AA995" s="56"/>
    </row>
  </sheetData>
  <autoFilter ref="A1:AA154" xr:uid="{00000000-0009-0000-0000-000002000000}"/>
  <dataValidations count="1">
    <dataValidation type="list" allowBlank="1" showErrorMessage="1" sqref="I2:I995" xr:uid="{00000000-0002-0000-0200-000003000000}">
      <formula1>"Cultural,Gastronómica,Histórica,Natural,CAVE"</formula1>
    </dataValidation>
  </dataValidations>
  <hyperlinks>
    <hyperlink ref="N3" r:id="rId1" xr:uid="{00000000-0004-0000-0200-000001000000}"/>
    <hyperlink ref="N4" r:id="rId2" xr:uid="{00000000-0004-0000-0200-000002000000}"/>
    <hyperlink ref="N5" r:id="rId3" xr:uid="{00000000-0004-0000-0200-000003000000}"/>
    <hyperlink ref="N6" r:id="rId4" xr:uid="{00000000-0004-0000-0200-000004000000}"/>
    <hyperlink ref="N7" r:id="rId5" xr:uid="{00000000-0004-0000-0200-000005000000}"/>
    <hyperlink ref="N8" r:id="rId6" xr:uid="{00000000-0004-0000-0200-000006000000}"/>
    <hyperlink ref="N9" r:id="rId7" xr:uid="{00000000-0004-0000-0200-000007000000}"/>
    <hyperlink ref="N10" r:id="rId8" xr:uid="{00000000-0004-0000-0200-000008000000}"/>
    <hyperlink ref="N11" r:id="rId9" xr:uid="{00000000-0004-0000-0200-000009000000}"/>
    <hyperlink ref="N12" r:id="rId10" xr:uid="{00000000-0004-0000-0200-00000A000000}"/>
    <hyperlink ref="N13" r:id="rId11" xr:uid="{00000000-0004-0000-0200-00000B000000}"/>
    <hyperlink ref="N14" r:id="rId12" xr:uid="{00000000-0004-0000-0200-00000C000000}"/>
    <hyperlink ref="N15" r:id="rId13" xr:uid="{00000000-0004-0000-0200-00000D000000}"/>
    <hyperlink ref="N16" r:id="rId14" xr:uid="{00000000-0004-0000-0200-00000E000000}"/>
    <hyperlink ref="N17" r:id="rId15" xr:uid="{00000000-0004-0000-0200-00000F000000}"/>
    <hyperlink ref="N18" r:id="rId16" xr:uid="{00000000-0004-0000-0200-000010000000}"/>
    <hyperlink ref="N19" r:id="rId17" xr:uid="{00000000-0004-0000-0200-000011000000}"/>
    <hyperlink ref="N20" r:id="rId18" xr:uid="{00000000-0004-0000-0200-000012000000}"/>
    <hyperlink ref="N21" r:id="rId19" xr:uid="{00000000-0004-0000-0200-000013000000}"/>
    <hyperlink ref="N22" r:id="rId20" xr:uid="{00000000-0004-0000-0200-000014000000}"/>
    <hyperlink ref="N23" r:id="rId21" xr:uid="{00000000-0004-0000-0200-000015000000}"/>
    <hyperlink ref="N24" r:id="rId22" xr:uid="{00000000-0004-0000-0200-000016000000}"/>
    <hyperlink ref="N25" r:id="rId23" xr:uid="{00000000-0004-0000-0200-000017000000}"/>
    <hyperlink ref="N26" r:id="rId24" xr:uid="{00000000-0004-0000-0200-000018000000}"/>
    <hyperlink ref="N27" r:id="rId25" xr:uid="{00000000-0004-0000-0200-000019000000}"/>
    <hyperlink ref="N28" r:id="rId26" xr:uid="{00000000-0004-0000-0200-00001A000000}"/>
    <hyperlink ref="N29" r:id="rId27" xr:uid="{00000000-0004-0000-0200-00001B000000}"/>
    <hyperlink ref="N30" r:id="rId28" xr:uid="{00000000-0004-0000-0200-00001C000000}"/>
    <hyperlink ref="N31" r:id="rId29" xr:uid="{00000000-0004-0000-0200-00001D000000}"/>
    <hyperlink ref="N32" r:id="rId30" xr:uid="{00000000-0004-0000-0200-00001E000000}"/>
    <hyperlink ref="N33" r:id="rId31" xr:uid="{00000000-0004-0000-0200-00001F000000}"/>
    <hyperlink ref="N34" r:id="rId32" xr:uid="{00000000-0004-0000-0200-000020000000}"/>
    <hyperlink ref="N35" r:id="rId33" xr:uid="{00000000-0004-0000-0200-000021000000}"/>
    <hyperlink ref="N36" r:id="rId34" xr:uid="{00000000-0004-0000-0200-000022000000}"/>
    <hyperlink ref="N37" r:id="rId35" xr:uid="{00000000-0004-0000-0200-000023000000}"/>
    <hyperlink ref="N38" r:id="rId36" xr:uid="{00000000-0004-0000-0200-000024000000}"/>
    <hyperlink ref="N39" r:id="rId37" xr:uid="{00000000-0004-0000-0200-000025000000}"/>
    <hyperlink ref="N40" r:id="rId38" xr:uid="{00000000-0004-0000-0200-000026000000}"/>
    <hyperlink ref="N41" r:id="rId39" xr:uid="{00000000-0004-0000-0200-000027000000}"/>
    <hyperlink ref="N42" r:id="rId40" xr:uid="{00000000-0004-0000-0200-000028000000}"/>
    <hyperlink ref="N43" r:id="rId41" xr:uid="{00000000-0004-0000-0200-000029000000}"/>
    <hyperlink ref="N44" r:id="rId42" xr:uid="{00000000-0004-0000-0200-00002A000000}"/>
    <hyperlink ref="N45" r:id="rId43" xr:uid="{00000000-0004-0000-0200-00002B000000}"/>
    <hyperlink ref="N46" r:id="rId44" xr:uid="{00000000-0004-0000-0200-00002C000000}"/>
    <hyperlink ref="N47" r:id="rId45" xr:uid="{00000000-0004-0000-0200-00002D000000}"/>
    <hyperlink ref="N48" r:id="rId46" xr:uid="{00000000-0004-0000-0200-00002E000000}"/>
    <hyperlink ref="N49" r:id="rId47" xr:uid="{00000000-0004-0000-0200-00002F000000}"/>
    <hyperlink ref="N50" r:id="rId48" xr:uid="{00000000-0004-0000-0200-000030000000}"/>
    <hyperlink ref="N51" r:id="rId49" xr:uid="{00000000-0004-0000-0200-000031000000}"/>
    <hyperlink ref="N52" r:id="rId50" xr:uid="{00000000-0004-0000-0200-000032000000}"/>
    <hyperlink ref="N53" r:id="rId51" xr:uid="{00000000-0004-0000-0200-000033000000}"/>
    <hyperlink ref="N54" r:id="rId52" xr:uid="{00000000-0004-0000-0200-000034000000}"/>
    <hyperlink ref="N55" r:id="rId53" xr:uid="{00000000-0004-0000-0200-000035000000}"/>
    <hyperlink ref="N56" r:id="rId54" xr:uid="{00000000-0004-0000-0200-000036000000}"/>
    <hyperlink ref="N57" r:id="rId55" xr:uid="{00000000-0004-0000-0200-000037000000}"/>
    <hyperlink ref="N58" r:id="rId56" xr:uid="{00000000-0004-0000-0200-000038000000}"/>
    <hyperlink ref="N59" r:id="rId57" xr:uid="{00000000-0004-0000-0200-000039000000}"/>
    <hyperlink ref="N60" r:id="rId58" xr:uid="{00000000-0004-0000-0200-00003A000000}"/>
    <hyperlink ref="N61" r:id="rId59" xr:uid="{00000000-0004-0000-0200-00003B000000}"/>
    <hyperlink ref="N62" r:id="rId60" xr:uid="{00000000-0004-0000-0200-00003C000000}"/>
    <hyperlink ref="N63" r:id="rId61" xr:uid="{00000000-0004-0000-0200-00003D000000}"/>
    <hyperlink ref="N64" r:id="rId62" xr:uid="{00000000-0004-0000-0200-00003E000000}"/>
    <hyperlink ref="N65" r:id="rId63" xr:uid="{00000000-0004-0000-0200-00003F000000}"/>
    <hyperlink ref="N66" r:id="rId64" xr:uid="{00000000-0004-0000-0200-000040000000}"/>
    <hyperlink ref="N67" r:id="rId65" xr:uid="{00000000-0004-0000-0200-000041000000}"/>
    <hyperlink ref="N68" r:id="rId66" xr:uid="{00000000-0004-0000-0200-000042000000}"/>
    <hyperlink ref="N69" r:id="rId67" xr:uid="{00000000-0004-0000-0200-000043000000}"/>
    <hyperlink ref="H70" r:id="rId68" xr:uid="{00000000-0004-0000-0200-000044000000}"/>
    <hyperlink ref="N70" r:id="rId69" xr:uid="{00000000-0004-0000-0200-000045000000}"/>
    <hyperlink ref="N71" r:id="rId70" xr:uid="{00000000-0004-0000-0200-000046000000}"/>
    <hyperlink ref="N72" r:id="rId71" xr:uid="{00000000-0004-0000-0200-000047000000}"/>
    <hyperlink ref="N73" r:id="rId72" xr:uid="{00000000-0004-0000-0200-000048000000}"/>
    <hyperlink ref="N74" r:id="rId73" xr:uid="{00000000-0004-0000-0200-000049000000}"/>
    <hyperlink ref="N75" r:id="rId74" xr:uid="{00000000-0004-0000-0200-00004A000000}"/>
    <hyperlink ref="N76" r:id="rId75" xr:uid="{00000000-0004-0000-0200-00004B000000}"/>
    <hyperlink ref="N77" r:id="rId76" xr:uid="{00000000-0004-0000-0200-00004C000000}"/>
    <hyperlink ref="N78" r:id="rId77" xr:uid="{00000000-0004-0000-0200-00004D000000}"/>
    <hyperlink ref="N79" r:id="rId78" xr:uid="{00000000-0004-0000-0200-00004E000000}"/>
    <hyperlink ref="N80" r:id="rId79" xr:uid="{00000000-0004-0000-0200-00004F000000}"/>
    <hyperlink ref="N81" r:id="rId80" xr:uid="{00000000-0004-0000-0200-000050000000}"/>
    <hyperlink ref="N82" r:id="rId81" xr:uid="{00000000-0004-0000-0200-000051000000}"/>
    <hyperlink ref="N83" r:id="rId82" xr:uid="{00000000-0004-0000-0200-000052000000}"/>
    <hyperlink ref="N84" r:id="rId83" xr:uid="{00000000-0004-0000-0200-000053000000}"/>
    <hyperlink ref="N85" r:id="rId84" xr:uid="{00000000-0004-0000-0200-000054000000}"/>
    <hyperlink ref="N86" r:id="rId85" xr:uid="{00000000-0004-0000-0200-000055000000}"/>
    <hyperlink ref="N87" r:id="rId86" xr:uid="{00000000-0004-0000-0200-000056000000}"/>
    <hyperlink ref="N88" r:id="rId87" xr:uid="{00000000-0004-0000-0200-000057000000}"/>
    <hyperlink ref="N89" r:id="rId88" xr:uid="{00000000-0004-0000-0200-000058000000}"/>
    <hyperlink ref="N90" r:id="rId89" xr:uid="{00000000-0004-0000-0200-000059000000}"/>
    <hyperlink ref="N91" r:id="rId90" xr:uid="{00000000-0004-0000-0200-00005A000000}"/>
    <hyperlink ref="N92" r:id="rId91" xr:uid="{00000000-0004-0000-0200-00005B000000}"/>
    <hyperlink ref="N93" r:id="rId92" xr:uid="{00000000-0004-0000-0200-00005C000000}"/>
    <hyperlink ref="N94" r:id="rId93" xr:uid="{00000000-0004-0000-0200-00005D000000}"/>
    <hyperlink ref="N95" r:id="rId94" xr:uid="{00000000-0004-0000-0200-00005E000000}"/>
    <hyperlink ref="N96" r:id="rId95" xr:uid="{00000000-0004-0000-0200-00005F000000}"/>
    <hyperlink ref="N97" r:id="rId96" xr:uid="{00000000-0004-0000-0200-000060000000}"/>
    <hyperlink ref="N98" r:id="rId97" xr:uid="{00000000-0004-0000-0200-000061000000}"/>
    <hyperlink ref="N99" r:id="rId98" xr:uid="{00000000-0004-0000-0200-000062000000}"/>
    <hyperlink ref="N100" r:id="rId99" xr:uid="{00000000-0004-0000-0200-000063000000}"/>
    <hyperlink ref="N101" r:id="rId100" xr:uid="{00000000-0004-0000-0200-000064000000}"/>
    <hyperlink ref="N102" r:id="rId101" xr:uid="{00000000-0004-0000-0200-000065000000}"/>
    <hyperlink ref="N103" r:id="rId102" xr:uid="{00000000-0004-0000-0200-000066000000}"/>
    <hyperlink ref="N104" r:id="rId103" xr:uid="{00000000-0004-0000-0200-000067000000}"/>
    <hyperlink ref="N105" r:id="rId104" xr:uid="{00000000-0004-0000-0200-000068000000}"/>
    <hyperlink ref="N106" r:id="rId105" xr:uid="{00000000-0004-0000-0200-000069000000}"/>
    <hyperlink ref="N107" r:id="rId106" xr:uid="{00000000-0004-0000-0200-00006A000000}"/>
    <hyperlink ref="N108" r:id="rId107" xr:uid="{00000000-0004-0000-0200-00006B000000}"/>
    <hyperlink ref="N109" r:id="rId108" xr:uid="{00000000-0004-0000-0200-00006C000000}"/>
    <hyperlink ref="N110" r:id="rId109" xr:uid="{00000000-0004-0000-0200-00006D000000}"/>
    <hyperlink ref="N111" r:id="rId110" xr:uid="{00000000-0004-0000-0200-00006E000000}"/>
    <hyperlink ref="N112" r:id="rId111" xr:uid="{00000000-0004-0000-0200-00006F000000}"/>
    <hyperlink ref="N113" r:id="rId112" xr:uid="{00000000-0004-0000-0200-000070000000}"/>
    <hyperlink ref="N114" r:id="rId113" xr:uid="{00000000-0004-0000-0200-000071000000}"/>
    <hyperlink ref="N115" r:id="rId114" xr:uid="{00000000-0004-0000-0200-000072000000}"/>
    <hyperlink ref="N116" r:id="rId115" xr:uid="{00000000-0004-0000-0200-000073000000}"/>
    <hyperlink ref="N117" r:id="rId116" xr:uid="{00000000-0004-0000-0200-000074000000}"/>
    <hyperlink ref="N118" r:id="rId117" xr:uid="{00000000-0004-0000-0200-000075000000}"/>
    <hyperlink ref="N119" r:id="rId118" xr:uid="{00000000-0004-0000-0200-000076000000}"/>
    <hyperlink ref="N120" r:id="rId119" xr:uid="{00000000-0004-0000-0200-000077000000}"/>
    <hyperlink ref="N121" r:id="rId120" xr:uid="{00000000-0004-0000-0200-000078000000}"/>
    <hyperlink ref="N122" r:id="rId121" xr:uid="{00000000-0004-0000-0200-000079000000}"/>
    <hyperlink ref="N123" r:id="rId122" xr:uid="{00000000-0004-0000-0200-00007A000000}"/>
    <hyperlink ref="N124" r:id="rId123" xr:uid="{00000000-0004-0000-0200-00007B000000}"/>
    <hyperlink ref="N125" r:id="rId124" xr:uid="{00000000-0004-0000-0200-00007C000000}"/>
    <hyperlink ref="N126" r:id="rId125" xr:uid="{00000000-0004-0000-0200-00007D000000}"/>
    <hyperlink ref="N127" r:id="rId126" xr:uid="{00000000-0004-0000-0200-00007E000000}"/>
    <hyperlink ref="N128" r:id="rId127" xr:uid="{00000000-0004-0000-0200-00007F000000}"/>
    <hyperlink ref="N129" r:id="rId128" xr:uid="{00000000-0004-0000-0200-000080000000}"/>
    <hyperlink ref="N130" r:id="rId129" xr:uid="{00000000-0004-0000-0200-000081000000}"/>
    <hyperlink ref="N131" r:id="rId130" xr:uid="{00000000-0004-0000-0200-000082000000}"/>
    <hyperlink ref="N132" r:id="rId131" xr:uid="{00000000-0004-0000-0200-000083000000}"/>
    <hyperlink ref="N133" r:id="rId132" xr:uid="{00000000-0004-0000-0200-000084000000}"/>
    <hyperlink ref="N134" r:id="rId133" xr:uid="{00000000-0004-0000-0200-000085000000}"/>
    <hyperlink ref="N135" r:id="rId134" xr:uid="{00000000-0004-0000-0200-000086000000}"/>
    <hyperlink ref="N136" r:id="rId135" xr:uid="{00000000-0004-0000-0200-000087000000}"/>
    <hyperlink ref="N137" r:id="rId136" xr:uid="{00000000-0004-0000-0200-000088000000}"/>
    <hyperlink ref="N138" r:id="rId137" xr:uid="{00000000-0004-0000-0200-000089000000}"/>
    <hyperlink ref="N139" r:id="rId138" xr:uid="{00000000-0004-0000-0200-00008A000000}"/>
    <hyperlink ref="N140" r:id="rId139" xr:uid="{00000000-0004-0000-0200-00008B000000}"/>
    <hyperlink ref="N141" r:id="rId140" xr:uid="{00000000-0004-0000-0200-00008C000000}"/>
    <hyperlink ref="N142" r:id="rId141" xr:uid="{00000000-0004-0000-0200-00008D000000}"/>
    <hyperlink ref="N143" r:id="rId142" xr:uid="{00000000-0004-0000-0200-00008E000000}"/>
    <hyperlink ref="N144" r:id="rId143" xr:uid="{00000000-0004-0000-0200-00008F000000}"/>
    <hyperlink ref="N145" r:id="rId144" xr:uid="{00000000-0004-0000-0200-000090000000}"/>
    <hyperlink ref="N146" r:id="rId145" xr:uid="{00000000-0004-0000-0200-000091000000}"/>
    <hyperlink ref="N147" r:id="rId146" xr:uid="{00000000-0004-0000-0200-000092000000}"/>
    <hyperlink ref="N148" r:id="rId147" xr:uid="{00000000-0004-0000-0200-000093000000}"/>
    <hyperlink ref="N149" r:id="rId148" xr:uid="{00000000-0004-0000-0200-000094000000}"/>
    <hyperlink ref="N150" r:id="rId149" xr:uid="{00000000-0004-0000-0200-000095000000}"/>
    <hyperlink ref="N151" r:id="rId150" xr:uid="{00000000-0004-0000-0200-000096000000}"/>
    <hyperlink ref="N152" r:id="rId151" xr:uid="{00000000-0004-0000-0200-000097000000}"/>
    <hyperlink ref="N153" r:id="rId152" xr:uid="{00000000-0004-0000-0200-000098000000}"/>
    <hyperlink ref="N154" r:id="rId153" xr:uid="{00000000-0004-0000-0200-000099000000}"/>
    <hyperlink ref="N2" r:id="rId154" xr:uid="{00000000-0004-0000-02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0200-000000000000}">
          <x14:formula1>
            <xm:f>CODIFICACIÓN_RUTA!$B$2:$B$3</xm:f>
          </x14:formula1>
          <xm:sqref>D2:D995</xm:sqref>
        </x14:dataValidation>
        <x14:dataValidation type="list" allowBlank="1" showErrorMessage="1" xr:uid="{00000000-0002-0000-0200-000001000000}">
          <x14:formula1>
            <xm:f>CODIFICACIÓN_RUTA!$E$2:$E$10</xm:f>
          </x14:formula1>
          <xm:sqref>E2:E995</xm:sqref>
        </x14:dataValidation>
        <x14:dataValidation type="list" allowBlank="1" showErrorMessage="1" xr:uid="{00000000-0002-0000-0200-000002000000}">
          <x14:formula1>
            <xm:f>CODIFICACIÓN_RUTA!$H$2:$H$3</xm:f>
          </x14:formula1>
          <xm:sqref>B2:B995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D900B-1119-41A4-888E-4679B1350CBD}">
  <dimension ref="C1:M156"/>
  <sheetViews>
    <sheetView topLeftCell="A37" zoomScale="40" zoomScaleNormal="40" workbookViewId="0">
      <pane ySplit="1" topLeftCell="A144" activePane="bottomLeft" state="frozen"/>
      <selection activeCell="O37" sqref="O37"/>
      <selection pane="bottomLeft" activeCell="V38" sqref="V38"/>
    </sheetView>
  </sheetViews>
  <sheetFormatPr baseColWidth="10" defaultRowHeight="12.75" x14ac:dyDescent="0.2"/>
  <cols>
    <col min="3" max="3" width="7.5703125" customWidth="1"/>
    <col min="5" max="5" width="53.28515625" customWidth="1"/>
    <col min="6" max="6" width="21" customWidth="1"/>
    <col min="7" max="8" width="22.85546875" customWidth="1"/>
    <col min="9" max="9" width="15.28515625" customWidth="1"/>
    <col min="10" max="11" width="38.140625" customWidth="1"/>
    <col min="12" max="12" width="47.5703125" customWidth="1"/>
    <col min="13" max="13" width="28.5703125" customWidth="1"/>
  </cols>
  <sheetData>
    <row r="1" spans="3:13" ht="32.1" customHeight="1" x14ac:dyDescent="0.2">
      <c r="C1" s="74" t="s">
        <v>1418</v>
      </c>
      <c r="D1" s="75" t="s">
        <v>1419</v>
      </c>
      <c r="E1" s="75" t="s">
        <v>1420</v>
      </c>
      <c r="F1" s="75" t="s">
        <v>46</v>
      </c>
      <c r="G1" s="75" t="s">
        <v>1421</v>
      </c>
      <c r="H1" s="75" t="s">
        <v>1422</v>
      </c>
      <c r="I1" s="75" t="s">
        <v>1423</v>
      </c>
      <c r="J1" s="75" t="s">
        <v>1424</v>
      </c>
      <c r="K1" s="75" t="s">
        <v>1425</v>
      </c>
      <c r="L1" s="75" t="s">
        <v>1426</v>
      </c>
      <c r="M1" s="76" t="s">
        <v>1427</v>
      </c>
    </row>
    <row r="2" spans="3:13" ht="113.25" customHeight="1" x14ac:dyDescent="0.2">
      <c r="C2" s="72">
        <f t="shared" ref="C2:C33" si="0">ROW()-1</f>
        <v>1</v>
      </c>
      <c r="D2" s="67" t="s">
        <v>1061</v>
      </c>
      <c r="E2" s="67" t="s">
        <v>1062</v>
      </c>
      <c r="F2" s="67" t="s">
        <v>1063</v>
      </c>
      <c r="G2" s="68">
        <v>46140.3840277778</v>
      </c>
      <c r="H2" s="68">
        <v>46140.377777777801</v>
      </c>
      <c r="I2" s="67" t="s">
        <v>1064</v>
      </c>
      <c r="J2" s="67" t="s">
        <v>1065</v>
      </c>
      <c r="K2" s="67" t="s">
        <v>1066</v>
      </c>
      <c r="L2" s="67" t="s">
        <v>1067</v>
      </c>
      <c r="M2" s="73"/>
    </row>
    <row r="3" spans="3:13" ht="25.5" x14ac:dyDescent="0.2">
      <c r="C3" s="66">
        <f t="shared" si="0"/>
        <v>2</v>
      </c>
      <c r="D3" s="69" t="s">
        <v>1068</v>
      </c>
      <c r="E3" s="70" t="s">
        <v>1069</v>
      </c>
      <c r="F3" s="69" t="s">
        <v>1070</v>
      </c>
      <c r="G3" s="71">
        <v>46140.361111111109</v>
      </c>
      <c r="H3" s="71">
        <v>46140.349305555559</v>
      </c>
      <c r="I3" s="69" t="s">
        <v>1064</v>
      </c>
      <c r="J3" s="70" t="s">
        <v>1071</v>
      </c>
      <c r="K3" s="70" t="s">
        <v>1072</v>
      </c>
      <c r="L3" s="69" t="s">
        <v>1073</v>
      </c>
      <c r="M3" s="65"/>
    </row>
    <row r="4" spans="3:13" ht="28.5" x14ac:dyDescent="0.2">
      <c r="C4" s="66">
        <f t="shared" si="0"/>
        <v>3</v>
      </c>
      <c r="D4" s="69" t="s">
        <v>1074</v>
      </c>
      <c r="E4" s="70" t="s">
        <v>1075</v>
      </c>
      <c r="F4" s="69" t="s">
        <v>1076</v>
      </c>
      <c r="G4" s="71">
        <v>46139.713888888888</v>
      </c>
      <c r="H4" s="71">
        <v>46139.713888888888</v>
      </c>
      <c r="I4" s="69" t="s">
        <v>1064</v>
      </c>
      <c r="J4" s="70" t="s">
        <v>1077</v>
      </c>
      <c r="K4" s="70" t="s">
        <v>1072</v>
      </c>
      <c r="L4" s="69" t="s">
        <v>1078</v>
      </c>
      <c r="M4" s="65"/>
    </row>
    <row r="5" spans="3:13" ht="14.25" x14ac:dyDescent="0.2">
      <c r="C5" s="66">
        <f t="shared" si="0"/>
        <v>4</v>
      </c>
      <c r="D5" s="69" t="s">
        <v>1079</v>
      </c>
      <c r="E5" s="70" t="s">
        <v>1080</v>
      </c>
      <c r="F5" s="69" t="s">
        <v>1070</v>
      </c>
      <c r="G5" s="71">
        <v>46139.6875</v>
      </c>
      <c r="H5" s="71">
        <v>46139.661111111112</v>
      </c>
      <c r="I5" s="69" t="s">
        <v>1064</v>
      </c>
      <c r="J5" s="70" t="s">
        <v>1081</v>
      </c>
      <c r="K5" s="70" t="s">
        <v>1072</v>
      </c>
      <c r="L5" s="69" t="s">
        <v>1073</v>
      </c>
      <c r="M5" s="65"/>
    </row>
    <row r="6" spans="3:13" ht="14.25" x14ac:dyDescent="0.2">
      <c r="C6" s="66">
        <f t="shared" si="0"/>
        <v>5</v>
      </c>
      <c r="D6" s="69" t="s">
        <v>1082</v>
      </c>
      <c r="E6" s="70" t="s">
        <v>1083</v>
      </c>
      <c r="F6" s="69" t="s">
        <v>1063</v>
      </c>
      <c r="G6" s="71">
        <v>46139.647222222222</v>
      </c>
      <c r="H6" s="71">
        <v>46139.597916666666</v>
      </c>
      <c r="I6" s="69" t="s">
        <v>1064</v>
      </c>
      <c r="J6" s="70" t="s">
        <v>1084</v>
      </c>
      <c r="K6" s="70" t="s">
        <v>1066</v>
      </c>
      <c r="L6" s="69" t="s">
        <v>1067</v>
      </c>
      <c r="M6" s="65"/>
    </row>
    <row r="7" spans="3:13" ht="25.5" x14ac:dyDescent="0.2">
      <c r="C7" s="66">
        <f t="shared" si="0"/>
        <v>6</v>
      </c>
      <c r="D7" s="69" t="s">
        <v>1085</v>
      </c>
      <c r="E7" s="70" t="s">
        <v>1086</v>
      </c>
      <c r="F7" s="69" t="s">
        <v>1087</v>
      </c>
      <c r="G7" s="71">
        <v>46139.466666666667</v>
      </c>
      <c r="H7" s="71">
        <v>46139.449305555558</v>
      </c>
      <c r="I7" s="69" t="s">
        <v>1064</v>
      </c>
      <c r="J7" s="70" t="s">
        <v>1088</v>
      </c>
      <c r="K7" s="70" t="s">
        <v>1066</v>
      </c>
      <c r="L7" s="69" t="s">
        <v>1067</v>
      </c>
      <c r="M7" s="65"/>
    </row>
    <row r="8" spans="3:13" ht="14.25" x14ac:dyDescent="0.2">
      <c r="C8" s="66">
        <f t="shared" si="0"/>
        <v>7</v>
      </c>
      <c r="D8" s="69" t="s">
        <v>1089</v>
      </c>
      <c r="E8" s="70" t="s">
        <v>1080</v>
      </c>
      <c r="F8" s="69" t="s">
        <v>1070</v>
      </c>
      <c r="G8" s="71">
        <v>46139.450694444444</v>
      </c>
      <c r="H8" s="71">
        <v>46139.42083333333</v>
      </c>
      <c r="I8" s="69" t="s">
        <v>1064</v>
      </c>
      <c r="J8" s="70" t="s">
        <v>1081</v>
      </c>
      <c r="K8" s="70" t="s">
        <v>1072</v>
      </c>
      <c r="L8" s="69" t="s">
        <v>1073</v>
      </c>
      <c r="M8" s="65"/>
    </row>
    <row r="9" spans="3:13" ht="28.5" x14ac:dyDescent="0.2">
      <c r="C9" s="66">
        <f t="shared" si="0"/>
        <v>8</v>
      </c>
      <c r="D9" s="69" t="s">
        <v>1090</v>
      </c>
      <c r="E9" s="70" t="s">
        <v>1091</v>
      </c>
      <c r="F9" s="69" t="s">
        <v>1063</v>
      </c>
      <c r="G9" s="71">
        <v>46139.401388888888</v>
      </c>
      <c r="H9" s="71">
        <v>46139.35833333333</v>
      </c>
      <c r="I9" s="69" t="s">
        <v>1064</v>
      </c>
      <c r="J9" s="70" t="s">
        <v>1088</v>
      </c>
      <c r="K9" s="70" t="s">
        <v>1066</v>
      </c>
      <c r="L9" s="69" t="s">
        <v>1092</v>
      </c>
      <c r="M9" s="65"/>
    </row>
    <row r="10" spans="3:13" ht="28.5" x14ac:dyDescent="0.2">
      <c r="C10" s="66">
        <f t="shared" si="0"/>
        <v>9</v>
      </c>
      <c r="D10" s="69" t="s">
        <v>1093</v>
      </c>
      <c r="E10" s="70" t="s">
        <v>1094</v>
      </c>
      <c r="F10" s="69" t="s">
        <v>1070</v>
      </c>
      <c r="G10" s="71">
        <v>46139.374305555553</v>
      </c>
      <c r="H10" s="71">
        <v>46139.370138888888</v>
      </c>
      <c r="I10" s="69" t="s">
        <v>1064</v>
      </c>
      <c r="J10" s="70" t="s">
        <v>1088</v>
      </c>
      <c r="K10" s="70" t="s">
        <v>1066</v>
      </c>
      <c r="L10" s="69" t="s">
        <v>1095</v>
      </c>
      <c r="M10" s="65"/>
    </row>
    <row r="11" spans="3:13" ht="14.25" x14ac:dyDescent="0.2">
      <c r="C11" s="66">
        <f t="shared" si="0"/>
        <v>10</v>
      </c>
      <c r="D11" s="69" t="s">
        <v>1096</v>
      </c>
      <c r="E11" s="70" t="s">
        <v>1097</v>
      </c>
      <c r="F11" s="69" t="s">
        <v>1063</v>
      </c>
      <c r="G11" s="71">
        <v>46139.356249999997</v>
      </c>
      <c r="H11" s="71">
        <v>46136.497916666667</v>
      </c>
      <c r="I11" s="69" t="s">
        <v>1064</v>
      </c>
      <c r="J11" s="70" t="s">
        <v>1098</v>
      </c>
      <c r="K11" s="70" t="s">
        <v>1099</v>
      </c>
      <c r="L11" s="69" t="s">
        <v>1067</v>
      </c>
      <c r="M11" s="65"/>
    </row>
    <row r="12" spans="3:13" ht="28.5" x14ac:dyDescent="0.2">
      <c r="C12" s="66">
        <f t="shared" si="0"/>
        <v>11</v>
      </c>
      <c r="D12" s="69" t="s">
        <v>1100</v>
      </c>
      <c r="E12" s="70" t="s">
        <v>1101</v>
      </c>
      <c r="F12" s="69" t="s">
        <v>1070</v>
      </c>
      <c r="G12" s="71">
        <v>46139.356249999997</v>
      </c>
      <c r="H12" s="71">
        <v>46136.670138888891</v>
      </c>
      <c r="I12" s="69" t="s">
        <v>1064</v>
      </c>
      <c r="J12" s="70" t="s">
        <v>1102</v>
      </c>
      <c r="K12" s="70" t="s">
        <v>1072</v>
      </c>
      <c r="L12" s="69" t="s">
        <v>1103</v>
      </c>
      <c r="M12" s="65"/>
    </row>
    <row r="13" spans="3:13" ht="28.5" x14ac:dyDescent="0.2">
      <c r="C13" s="66">
        <f t="shared" si="0"/>
        <v>12</v>
      </c>
      <c r="D13" s="69" t="s">
        <v>1104</v>
      </c>
      <c r="E13" s="70" t="s">
        <v>1105</v>
      </c>
      <c r="F13" s="69" t="s">
        <v>1063</v>
      </c>
      <c r="G13" s="71">
        <v>46139.355555555558</v>
      </c>
      <c r="H13" s="71">
        <v>46133.38958333333</v>
      </c>
      <c r="I13" s="69" t="s">
        <v>1064</v>
      </c>
      <c r="J13" s="70" t="s">
        <v>1088</v>
      </c>
      <c r="K13" s="70" t="s">
        <v>1066</v>
      </c>
      <c r="L13" s="69" t="s">
        <v>1078</v>
      </c>
      <c r="M13" s="65"/>
    </row>
    <row r="14" spans="3:13" ht="14.25" x14ac:dyDescent="0.2">
      <c r="C14" s="66">
        <f t="shared" si="0"/>
        <v>13</v>
      </c>
      <c r="D14" s="69" t="s">
        <v>1106</v>
      </c>
      <c r="E14" s="70" t="s">
        <v>1107</v>
      </c>
      <c r="F14" s="69" t="s">
        <v>1063</v>
      </c>
      <c r="G14" s="71">
        <v>46138.665972222225</v>
      </c>
      <c r="H14" s="71">
        <v>46136.645138888889</v>
      </c>
      <c r="I14" s="69" t="s">
        <v>1064</v>
      </c>
      <c r="J14" s="70" t="s">
        <v>1081</v>
      </c>
      <c r="K14" s="69"/>
      <c r="L14" s="69"/>
      <c r="M14" s="65"/>
    </row>
    <row r="15" spans="3:13" ht="14.25" x14ac:dyDescent="0.2">
      <c r="C15" s="66">
        <f t="shared" si="0"/>
        <v>14</v>
      </c>
      <c r="D15" s="69" t="s">
        <v>1108</v>
      </c>
      <c r="E15" s="70" t="s">
        <v>1109</v>
      </c>
      <c r="F15" s="69" t="s">
        <v>1063</v>
      </c>
      <c r="G15" s="71">
        <v>46138.665972222225</v>
      </c>
      <c r="H15" s="71">
        <v>46136.599305555559</v>
      </c>
      <c r="I15" s="69" t="s">
        <v>1064</v>
      </c>
      <c r="J15" s="70" t="s">
        <v>1081</v>
      </c>
      <c r="K15" s="70" t="s">
        <v>1072</v>
      </c>
      <c r="L15" s="69" t="s">
        <v>1073</v>
      </c>
      <c r="M15" s="65"/>
    </row>
    <row r="16" spans="3:13" ht="38.25" x14ac:dyDescent="0.2">
      <c r="C16" s="66">
        <f t="shared" si="0"/>
        <v>15</v>
      </c>
      <c r="D16" s="69" t="s">
        <v>1110</v>
      </c>
      <c r="E16" s="70" t="s">
        <v>1111</v>
      </c>
      <c r="F16" s="69" t="s">
        <v>1063</v>
      </c>
      <c r="G16" s="71">
        <v>46136.497916666667</v>
      </c>
      <c r="H16" s="71">
        <v>46135.40347222222</v>
      </c>
      <c r="I16" s="69" t="s">
        <v>1064</v>
      </c>
      <c r="J16" s="70" t="s">
        <v>1098</v>
      </c>
      <c r="K16" s="69"/>
      <c r="L16" s="69"/>
      <c r="M16" s="65"/>
    </row>
    <row r="17" spans="3:13" ht="14.25" x14ac:dyDescent="0.2">
      <c r="C17" s="66">
        <f t="shared" si="0"/>
        <v>16</v>
      </c>
      <c r="D17" s="69" t="s">
        <v>1112</v>
      </c>
      <c r="E17" s="70" t="s">
        <v>1113</v>
      </c>
      <c r="F17" s="69" t="s">
        <v>1063</v>
      </c>
      <c r="G17" s="71">
        <v>46136.375</v>
      </c>
      <c r="H17" s="71">
        <v>46133.456250000003</v>
      </c>
      <c r="I17" s="69" t="s">
        <v>1064</v>
      </c>
      <c r="J17" s="70" t="s">
        <v>1088</v>
      </c>
      <c r="K17" s="70" t="s">
        <v>1072</v>
      </c>
      <c r="L17" s="69" t="s">
        <v>1073</v>
      </c>
      <c r="M17" s="65"/>
    </row>
    <row r="18" spans="3:13" ht="25.5" x14ac:dyDescent="0.2">
      <c r="C18" s="66">
        <f t="shared" si="0"/>
        <v>17</v>
      </c>
      <c r="D18" s="69" t="s">
        <v>1114</v>
      </c>
      <c r="E18" s="70" t="s">
        <v>1115</v>
      </c>
      <c r="F18" s="69" t="s">
        <v>1063</v>
      </c>
      <c r="G18" s="71">
        <v>46136.375</v>
      </c>
      <c r="H18" s="71">
        <v>46133.536805555559</v>
      </c>
      <c r="I18" s="69" t="s">
        <v>1064</v>
      </c>
      <c r="J18" s="70" t="s">
        <v>1071</v>
      </c>
      <c r="K18" s="70" t="s">
        <v>1072</v>
      </c>
      <c r="L18" s="69" t="s">
        <v>1073</v>
      </c>
      <c r="M18" s="65"/>
    </row>
    <row r="19" spans="3:13" ht="25.5" x14ac:dyDescent="0.2">
      <c r="C19" s="66">
        <f t="shared" si="0"/>
        <v>18</v>
      </c>
      <c r="D19" s="69" t="s">
        <v>1116</v>
      </c>
      <c r="E19" s="70" t="s">
        <v>1080</v>
      </c>
      <c r="F19" s="69" t="s">
        <v>1063</v>
      </c>
      <c r="G19" s="71">
        <v>46136.375</v>
      </c>
      <c r="H19" s="71">
        <v>46133.588888888888</v>
      </c>
      <c r="I19" s="69" t="s">
        <v>1064</v>
      </c>
      <c r="J19" s="70" t="s">
        <v>1071</v>
      </c>
      <c r="K19" s="70" t="s">
        <v>1072</v>
      </c>
      <c r="L19" s="69" t="s">
        <v>1073</v>
      </c>
      <c r="M19" s="65"/>
    </row>
    <row r="20" spans="3:13" ht="14.25" x14ac:dyDescent="0.2">
      <c r="C20" s="66">
        <f t="shared" si="0"/>
        <v>19</v>
      </c>
      <c r="D20" s="69" t="s">
        <v>1117</v>
      </c>
      <c r="E20" s="70" t="s">
        <v>1118</v>
      </c>
      <c r="F20" s="69" t="s">
        <v>1063</v>
      </c>
      <c r="G20" s="71">
        <v>46136.374305555553</v>
      </c>
      <c r="H20" s="71">
        <v>46133.636111111111</v>
      </c>
      <c r="I20" s="69" t="s">
        <v>1064</v>
      </c>
      <c r="J20" s="70" t="s">
        <v>1119</v>
      </c>
      <c r="K20" s="70" t="s">
        <v>1072</v>
      </c>
      <c r="L20" s="69" t="s">
        <v>1073</v>
      </c>
      <c r="M20" s="65"/>
    </row>
    <row r="21" spans="3:13" ht="28.5" x14ac:dyDescent="0.2">
      <c r="C21" s="66">
        <f t="shared" si="0"/>
        <v>20</v>
      </c>
      <c r="D21" s="69" t="s">
        <v>1120</v>
      </c>
      <c r="E21" s="70" t="s">
        <v>1121</v>
      </c>
      <c r="F21" s="69" t="s">
        <v>1063</v>
      </c>
      <c r="G21" s="71">
        <v>46136.374305555553</v>
      </c>
      <c r="H21" s="71">
        <v>46133.675000000003</v>
      </c>
      <c r="I21" s="69" t="s">
        <v>1064</v>
      </c>
      <c r="J21" s="70" t="s">
        <v>1122</v>
      </c>
      <c r="K21" s="70" t="s">
        <v>1072</v>
      </c>
      <c r="L21" s="69" t="s">
        <v>1078</v>
      </c>
      <c r="M21" s="65"/>
    </row>
    <row r="22" spans="3:13" ht="25.5" x14ac:dyDescent="0.2">
      <c r="C22" s="66">
        <f t="shared" si="0"/>
        <v>21</v>
      </c>
      <c r="D22" s="69" t="s">
        <v>1123</v>
      </c>
      <c r="E22" s="70" t="s">
        <v>1124</v>
      </c>
      <c r="F22" s="69" t="s">
        <v>1063</v>
      </c>
      <c r="G22" s="71">
        <v>46136.373611111114</v>
      </c>
      <c r="H22" s="71">
        <v>46133.690972222219</v>
      </c>
      <c r="I22" s="69" t="s">
        <v>1064</v>
      </c>
      <c r="J22" s="70" t="s">
        <v>1071</v>
      </c>
      <c r="K22" s="70" t="s">
        <v>1072</v>
      </c>
      <c r="L22" s="69" t="s">
        <v>1073</v>
      </c>
      <c r="M22" s="65"/>
    </row>
    <row r="23" spans="3:13" ht="28.5" x14ac:dyDescent="0.2">
      <c r="C23" s="66">
        <f t="shared" si="0"/>
        <v>22</v>
      </c>
      <c r="D23" s="69" t="s">
        <v>1125</v>
      </c>
      <c r="E23" s="70" t="s">
        <v>1126</v>
      </c>
      <c r="F23" s="69" t="s">
        <v>1063</v>
      </c>
      <c r="G23" s="71">
        <v>46136.373611111114</v>
      </c>
      <c r="H23" s="71">
        <v>46133.679861111108</v>
      </c>
      <c r="I23" s="69" t="s">
        <v>1064</v>
      </c>
      <c r="J23" s="70" t="s">
        <v>1127</v>
      </c>
      <c r="K23" s="70" t="s">
        <v>1072</v>
      </c>
      <c r="L23" s="69" t="s">
        <v>1078</v>
      </c>
      <c r="M23" s="65"/>
    </row>
    <row r="24" spans="3:13" ht="25.5" x14ac:dyDescent="0.2">
      <c r="C24" s="66">
        <f t="shared" si="0"/>
        <v>23</v>
      </c>
      <c r="D24" s="69" t="s">
        <v>1128</v>
      </c>
      <c r="E24" s="70" t="s">
        <v>1129</v>
      </c>
      <c r="F24" s="69" t="s">
        <v>1063</v>
      </c>
      <c r="G24" s="71">
        <v>46136.373611111114</v>
      </c>
      <c r="H24" s="71">
        <v>46133.691666666666</v>
      </c>
      <c r="I24" s="69" t="s">
        <v>1064</v>
      </c>
      <c r="J24" s="70" t="s">
        <v>1071</v>
      </c>
      <c r="K24" s="70" t="s">
        <v>1072</v>
      </c>
      <c r="L24" s="69" t="s">
        <v>1073</v>
      </c>
      <c r="M24" s="65"/>
    </row>
    <row r="25" spans="3:13" ht="25.5" x14ac:dyDescent="0.2">
      <c r="C25" s="66">
        <f t="shared" si="0"/>
        <v>24</v>
      </c>
      <c r="D25" s="69" t="s">
        <v>1130</v>
      </c>
      <c r="E25" s="70" t="s">
        <v>1115</v>
      </c>
      <c r="F25" s="69" t="s">
        <v>1063</v>
      </c>
      <c r="G25" s="71">
        <v>46136.373611111114</v>
      </c>
      <c r="H25" s="71">
        <v>46134.473611111112</v>
      </c>
      <c r="I25" s="69" t="s">
        <v>1064</v>
      </c>
      <c r="J25" s="70" t="s">
        <v>1071</v>
      </c>
      <c r="K25" s="70" t="s">
        <v>1072</v>
      </c>
      <c r="L25" s="69" t="s">
        <v>1073</v>
      </c>
      <c r="M25" s="65"/>
    </row>
    <row r="26" spans="3:13" ht="25.5" x14ac:dyDescent="0.2">
      <c r="C26" s="66">
        <f t="shared" si="0"/>
        <v>25</v>
      </c>
      <c r="D26" s="69" t="s">
        <v>1131</v>
      </c>
      <c r="E26" s="70" t="s">
        <v>1132</v>
      </c>
      <c r="F26" s="69" t="s">
        <v>1063</v>
      </c>
      <c r="G26" s="71">
        <v>46136.372916666667</v>
      </c>
      <c r="H26" s="71">
        <v>46134.551388888889</v>
      </c>
      <c r="I26" s="69" t="s">
        <v>1064</v>
      </c>
      <c r="J26" s="70" t="s">
        <v>1071</v>
      </c>
      <c r="K26" s="70" t="s">
        <v>1072</v>
      </c>
      <c r="L26" s="69" t="s">
        <v>1073</v>
      </c>
      <c r="M26" s="65"/>
    </row>
    <row r="27" spans="3:13" ht="25.5" x14ac:dyDescent="0.2">
      <c r="C27" s="66">
        <f t="shared" si="0"/>
        <v>26</v>
      </c>
      <c r="D27" s="69" t="s">
        <v>1133</v>
      </c>
      <c r="E27" s="70" t="s">
        <v>1134</v>
      </c>
      <c r="F27" s="69" t="s">
        <v>1063</v>
      </c>
      <c r="G27" s="71">
        <v>46136.372916666667</v>
      </c>
      <c r="H27" s="71">
        <v>46134.649305555555</v>
      </c>
      <c r="I27" s="69" t="s">
        <v>1064</v>
      </c>
      <c r="J27" s="70" t="s">
        <v>1071</v>
      </c>
      <c r="K27" s="70" t="s">
        <v>1072</v>
      </c>
      <c r="L27" s="69" t="s">
        <v>1073</v>
      </c>
      <c r="M27" s="65"/>
    </row>
    <row r="28" spans="3:13" ht="25.5" x14ac:dyDescent="0.2">
      <c r="C28" s="66">
        <f t="shared" si="0"/>
        <v>27</v>
      </c>
      <c r="D28" s="69" t="s">
        <v>1135</v>
      </c>
      <c r="E28" s="70" t="s">
        <v>1134</v>
      </c>
      <c r="F28" s="69" t="s">
        <v>1063</v>
      </c>
      <c r="G28" s="71">
        <v>46136.372916666667</v>
      </c>
      <c r="H28" s="71">
        <v>46134.649305555555</v>
      </c>
      <c r="I28" s="69" t="s">
        <v>1064</v>
      </c>
      <c r="J28" s="70" t="s">
        <v>1071</v>
      </c>
      <c r="K28" s="70" t="s">
        <v>1072</v>
      </c>
      <c r="L28" s="69" t="s">
        <v>1073</v>
      </c>
      <c r="M28" s="65"/>
    </row>
    <row r="29" spans="3:13" ht="14.25" x14ac:dyDescent="0.2">
      <c r="C29" s="66">
        <f t="shared" si="0"/>
        <v>28</v>
      </c>
      <c r="D29" s="69" t="s">
        <v>1136</v>
      </c>
      <c r="E29" s="70" t="s">
        <v>1109</v>
      </c>
      <c r="F29" s="69" t="s">
        <v>1063</v>
      </c>
      <c r="G29" s="71">
        <v>46136.372916666667</v>
      </c>
      <c r="H29" s="71">
        <v>46135.618055555555</v>
      </c>
      <c r="I29" s="69" t="s">
        <v>1064</v>
      </c>
      <c r="J29" s="70" t="s">
        <v>1081</v>
      </c>
      <c r="K29" s="70" t="s">
        <v>1072</v>
      </c>
      <c r="L29" s="69" t="s">
        <v>1073</v>
      </c>
      <c r="M29" s="65"/>
    </row>
    <row r="30" spans="3:13" ht="14.25" x14ac:dyDescent="0.2">
      <c r="C30" s="66">
        <f t="shared" si="0"/>
        <v>29</v>
      </c>
      <c r="D30" s="69" t="s">
        <v>1137</v>
      </c>
      <c r="E30" s="70" t="s">
        <v>1109</v>
      </c>
      <c r="F30" s="69" t="s">
        <v>1063</v>
      </c>
      <c r="G30" s="71">
        <v>46136.37222222222</v>
      </c>
      <c r="H30" s="71">
        <v>46135.621527777781</v>
      </c>
      <c r="I30" s="69" t="s">
        <v>1064</v>
      </c>
      <c r="J30" s="70" t="s">
        <v>1081</v>
      </c>
      <c r="K30" s="70" t="s">
        <v>1072</v>
      </c>
      <c r="L30" s="69" t="s">
        <v>1073</v>
      </c>
      <c r="M30" s="65"/>
    </row>
    <row r="31" spans="3:13" ht="28.5" x14ac:dyDescent="0.2">
      <c r="C31" s="66">
        <f t="shared" si="0"/>
        <v>30</v>
      </c>
      <c r="D31" s="69" t="s">
        <v>1138</v>
      </c>
      <c r="E31" s="70" t="s">
        <v>1139</v>
      </c>
      <c r="F31" s="69" t="s">
        <v>1063</v>
      </c>
      <c r="G31" s="71">
        <v>46136.37222222222</v>
      </c>
      <c r="H31" s="71">
        <v>46135.72152777778</v>
      </c>
      <c r="I31" s="69" t="s">
        <v>1064</v>
      </c>
      <c r="J31" s="70" t="s">
        <v>1140</v>
      </c>
      <c r="K31" s="70" t="s">
        <v>1072</v>
      </c>
      <c r="L31" s="69" t="s">
        <v>1141</v>
      </c>
      <c r="M31" s="65"/>
    </row>
    <row r="32" spans="3:13" ht="14.25" x14ac:dyDescent="0.2">
      <c r="C32" s="66">
        <f t="shared" si="0"/>
        <v>31</v>
      </c>
      <c r="D32" s="69" t="s">
        <v>1142</v>
      </c>
      <c r="E32" s="70" t="s">
        <v>1143</v>
      </c>
      <c r="F32" s="69" t="s">
        <v>1063</v>
      </c>
      <c r="G32" s="71">
        <v>46136.356944444444</v>
      </c>
      <c r="H32" s="71">
        <v>46135.6875</v>
      </c>
      <c r="I32" s="69" t="s">
        <v>1064</v>
      </c>
      <c r="J32" s="70" t="s">
        <v>1088</v>
      </c>
      <c r="K32" s="70" t="s">
        <v>1066</v>
      </c>
      <c r="L32" s="69" t="s">
        <v>1144</v>
      </c>
      <c r="M32" s="65"/>
    </row>
    <row r="33" spans="3:13" ht="14.25" x14ac:dyDescent="0.2">
      <c r="C33" s="66">
        <f t="shared" si="0"/>
        <v>32</v>
      </c>
      <c r="D33" s="69" t="s">
        <v>1145</v>
      </c>
      <c r="E33" s="70" t="s">
        <v>1146</v>
      </c>
      <c r="F33" s="69" t="s">
        <v>1063</v>
      </c>
      <c r="G33" s="71">
        <v>46134.711111111108</v>
      </c>
      <c r="H33" s="71">
        <v>46134.609722222223</v>
      </c>
      <c r="I33" s="69" t="s">
        <v>1064</v>
      </c>
      <c r="J33" s="70" t="s">
        <v>1147</v>
      </c>
      <c r="K33" s="70" t="s">
        <v>1066</v>
      </c>
      <c r="L33" s="69" t="s">
        <v>1067</v>
      </c>
      <c r="M33" s="65"/>
    </row>
    <row r="34" spans="3:13" ht="38.25" x14ac:dyDescent="0.2">
      <c r="C34" s="66">
        <f t="shared" ref="C34:C65" si="1">ROW()-1</f>
        <v>33</v>
      </c>
      <c r="D34" s="69" t="s">
        <v>1148</v>
      </c>
      <c r="E34" s="70" t="s">
        <v>1149</v>
      </c>
      <c r="F34" s="69" t="s">
        <v>1063</v>
      </c>
      <c r="G34" s="71">
        <v>46134.709027777775</v>
      </c>
      <c r="H34" s="71">
        <v>46133.513888888891</v>
      </c>
      <c r="I34" s="69" t="s">
        <v>1064</v>
      </c>
      <c r="J34" s="70" t="s">
        <v>1147</v>
      </c>
      <c r="K34" s="70" t="s">
        <v>1066</v>
      </c>
      <c r="L34" s="69" t="s">
        <v>1067</v>
      </c>
      <c r="M34" s="65"/>
    </row>
    <row r="35" spans="3:13" ht="25.5" x14ac:dyDescent="0.2">
      <c r="C35" s="66">
        <f t="shared" si="1"/>
        <v>34</v>
      </c>
      <c r="D35" s="69" t="s">
        <v>1150</v>
      </c>
      <c r="E35" s="70" t="s">
        <v>1151</v>
      </c>
      <c r="F35" s="69" t="s">
        <v>1063</v>
      </c>
      <c r="G35" s="71">
        <v>46134.706944444442</v>
      </c>
      <c r="H35" s="71">
        <v>46133.513194444444</v>
      </c>
      <c r="I35" s="69" t="s">
        <v>1064</v>
      </c>
      <c r="J35" s="70" t="s">
        <v>1147</v>
      </c>
      <c r="K35" s="70" t="s">
        <v>1066</v>
      </c>
      <c r="L35" s="69" t="s">
        <v>1067</v>
      </c>
      <c r="M35" s="65"/>
    </row>
    <row r="36" spans="3:13" ht="25.5" x14ac:dyDescent="0.2">
      <c r="C36" s="66">
        <f t="shared" si="1"/>
        <v>35</v>
      </c>
      <c r="D36" s="69" t="s">
        <v>1152</v>
      </c>
      <c r="E36" s="70" t="s">
        <v>1153</v>
      </c>
      <c r="F36" s="69" t="s">
        <v>1063</v>
      </c>
      <c r="G36" s="71">
        <v>46134.703472222223</v>
      </c>
      <c r="H36" s="71">
        <v>46133.512499999997</v>
      </c>
      <c r="I36" s="69" t="s">
        <v>1064</v>
      </c>
      <c r="J36" s="70" t="s">
        <v>1147</v>
      </c>
      <c r="K36" s="70" t="s">
        <v>1066</v>
      </c>
      <c r="L36" s="69" t="s">
        <v>1067</v>
      </c>
      <c r="M36" s="65"/>
    </row>
    <row r="37" spans="3:13" ht="51" x14ac:dyDescent="0.2">
      <c r="C37" s="66">
        <f t="shared" si="1"/>
        <v>36</v>
      </c>
      <c r="D37" s="69" t="s">
        <v>1154</v>
      </c>
      <c r="E37" s="70" t="s">
        <v>1155</v>
      </c>
      <c r="F37" s="69" t="s">
        <v>1063</v>
      </c>
      <c r="G37" s="71">
        <v>46134.68472222222</v>
      </c>
      <c r="H37" s="71">
        <v>46133.510416666664</v>
      </c>
      <c r="I37" s="69" t="s">
        <v>1064</v>
      </c>
      <c r="J37" s="70" t="s">
        <v>1147</v>
      </c>
      <c r="K37" s="70" t="s">
        <v>1066</v>
      </c>
      <c r="L37" s="69" t="s">
        <v>1067</v>
      </c>
      <c r="M37" s="65"/>
    </row>
    <row r="38" spans="3:13" ht="25.5" x14ac:dyDescent="0.2">
      <c r="C38" s="66">
        <f t="shared" si="1"/>
        <v>37</v>
      </c>
      <c r="D38" s="69" t="s">
        <v>1156</v>
      </c>
      <c r="E38" s="70" t="s">
        <v>1157</v>
      </c>
      <c r="F38" s="69" t="s">
        <v>1063</v>
      </c>
      <c r="G38" s="71">
        <v>46134.609722222223</v>
      </c>
      <c r="H38" s="71">
        <v>46129.429166666669</v>
      </c>
      <c r="I38" s="69" t="s">
        <v>1064</v>
      </c>
      <c r="J38" s="70" t="s">
        <v>1147</v>
      </c>
      <c r="K38" s="70" t="s">
        <v>1066</v>
      </c>
      <c r="L38" s="69" t="s">
        <v>1067</v>
      </c>
      <c r="M38" s="65"/>
    </row>
    <row r="39" spans="3:13" ht="38.25" x14ac:dyDescent="0.2">
      <c r="C39" s="66">
        <f t="shared" si="1"/>
        <v>38</v>
      </c>
      <c r="D39" s="69" t="s">
        <v>1158</v>
      </c>
      <c r="E39" s="70" t="s">
        <v>1159</v>
      </c>
      <c r="F39" s="69" t="s">
        <v>1063</v>
      </c>
      <c r="G39" s="71">
        <v>46134.604861111111</v>
      </c>
      <c r="H39" s="71">
        <v>46134.549305555556</v>
      </c>
      <c r="I39" s="69" t="s">
        <v>1064</v>
      </c>
      <c r="J39" s="70" t="s">
        <v>1098</v>
      </c>
      <c r="K39" s="70" t="s">
        <v>1066</v>
      </c>
      <c r="L39" s="69" t="s">
        <v>1067</v>
      </c>
      <c r="M39" s="65"/>
    </row>
    <row r="40" spans="3:13" ht="28.5" x14ac:dyDescent="0.2">
      <c r="C40" s="66">
        <f t="shared" si="1"/>
        <v>39</v>
      </c>
      <c r="D40" s="69" t="s">
        <v>1160</v>
      </c>
      <c r="E40" s="70" t="s">
        <v>1161</v>
      </c>
      <c r="F40" s="69" t="s">
        <v>1063</v>
      </c>
      <c r="G40" s="71">
        <v>46134.509027777778</v>
      </c>
      <c r="H40" s="71">
        <v>46128.512499999997</v>
      </c>
      <c r="I40" s="69" t="s">
        <v>1064</v>
      </c>
      <c r="J40" s="70" t="s">
        <v>1088</v>
      </c>
      <c r="K40" s="70" t="s">
        <v>1066</v>
      </c>
      <c r="L40" s="69" t="s">
        <v>1095</v>
      </c>
      <c r="M40" s="65"/>
    </row>
    <row r="41" spans="3:13" ht="25.5" x14ac:dyDescent="0.2">
      <c r="C41" s="66">
        <f t="shared" si="1"/>
        <v>40</v>
      </c>
      <c r="D41" s="69" t="s">
        <v>1162</v>
      </c>
      <c r="E41" s="70" t="s">
        <v>1163</v>
      </c>
      <c r="F41" s="69" t="s">
        <v>1063</v>
      </c>
      <c r="G41" s="71">
        <v>46133.602777777778</v>
      </c>
      <c r="H41" s="71">
        <v>46133.586111111108</v>
      </c>
      <c r="I41" s="69" t="s">
        <v>1064</v>
      </c>
      <c r="J41" s="70" t="s">
        <v>1164</v>
      </c>
      <c r="K41" s="70" t="s">
        <v>1066</v>
      </c>
      <c r="L41" s="69" t="s">
        <v>1067</v>
      </c>
      <c r="M41" s="65"/>
    </row>
    <row r="42" spans="3:13" ht="25.5" x14ac:dyDescent="0.2">
      <c r="C42" s="66">
        <f t="shared" si="1"/>
        <v>41</v>
      </c>
      <c r="D42" s="69" t="s">
        <v>1165</v>
      </c>
      <c r="E42" s="70" t="s">
        <v>1163</v>
      </c>
      <c r="F42" s="69" t="s">
        <v>1063</v>
      </c>
      <c r="G42" s="71">
        <v>46133.594444444447</v>
      </c>
      <c r="H42" s="71">
        <v>46133.575694444444</v>
      </c>
      <c r="I42" s="69" t="s">
        <v>1064</v>
      </c>
      <c r="J42" s="70" t="s">
        <v>1164</v>
      </c>
      <c r="K42" s="70" t="s">
        <v>1066</v>
      </c>
      <c r="L42" s="69"/>
      <c r="M42" s="65"/>
    </row>
    <row r="43" spans="3:13" ht="25.5" x14ac:dyDescent="0.2">
      <c r="C43" s="66">
        <f t="shared" si="1"/>
        <v>42</v>
      </c>
      <c r="D43" s="69" t="s">
        <v>1166</v>
      </c>
      <c r="E43" s="70" t="s">
        <v>1167</v>
      </c>
      <c r="F43" s="69" t="s">
        <v>1063</v>
      </c>
      <c r="G43" s="71">
        <v>46133.593055555553</v>
      </c>
      <c r="H43" s="71">
        <v>46133.478472222225</v>
      </c>
      <c r="I43" s="69" t="s">
        <v>1064</v>
      </c>
      <c r="J43" s="70" t="s">
        <v>1098</v>
      </c>
      <c r="K43" s="70" t="s">
        <v>1066</v>
      </c>
      <c r="L43" s="69" t="s">
        <v>1067</v>
      </c>
      <c r="M43" s="65"/>
    </row>
    <row r="44" spans="3:13" ht="25.5" x14ac:dyDescent="0.2">
      <c r="C44" s="66">
        <f t="shared" si="1"/>
        <v>43</v>
      </c>
      <c r="D44" s="69" t="s">
        <v>1168</v>
      </c>
      <c r="E44" s="70" t="s">
        <v>1167</v>
      </c>
      <c r="F44" s="69" t="s">
        <v>1063</v>
      </c>
      <c r="G44" s="71">
        <v>46133.592361111114</v>
      </c>
      <c r="H44" s="71">
        <v>46133.51458333333</v>
      </c>
      <c r="I44" s="69" t="s">
        <v>1064</v>
      </c>
      <c r="J44" s="70" t="s">
        <v>1098</v>
      </c>
      <c r="K44" s="69"/>
      <c r="L44" s="69"/>
      <c r="M44" s="65"/>
    </row>
    <row r="45" spans="3:13" ht="14.25" x14ac:dyDescent="0.2">
      <c r="C45" s="66">
        <f t="shared" si="1"/>
        <v>44</v>
      </c>
      <c r="D45" s="69" t="s">
        <v>1169</v>
      </c>
      <c r="E45" s="70" t="s">
        <v>1170</v>
      </c>
      <c r="F45" s="69" t="s">
        <v>1063</v>
      </c>
      <c r="G45" s="71">
        <v>46133.461111111108</v>
      </c>
      <c r="H45" s="71">
        <v>46133.455555555556</v>
      </c>
      <c r="I45" s="69" t="s">
        <v>1064</v>
      </c>
      <c r="J45" s="70" t="s">
        <v>1088</v>
      </c>
      <c r="K45" s="69"/>
      <c r="L45" s="69"/>
      <c r="M45" s="65"/>
    </row>
    <row r="46" spans="3:13" ht="25.5" x14ac:dyDescent="0.2">
      <c r="C46" s="66">
        <f t="shared" si="1"/>
        <v>45</v>
      </c>
      <c r="D46" s="69" t="s">
        <v>1171</v>
      </c>
      <c r="E46" s="70" t="s">
        <v>1115</v>
      </c>
      <c r="F46" s="69" t="s">
        <v>1063</v>
      </c>
      <c r="G46" s="71">
        <v>46133.459027777775</v>
      </c>
      <c r="H46" s="71">
        <v>46132.59652777778</v>
      </c>
      <c r="I46" s="69" t="s">
        <v>1172</v>
      </c>
      <c r="J46" s="70" t="s">
        <v>1071</v>
      </c>
      <c r="K46" s="70" t="s">
        <v>1072</v>
      </c>
      <c r="L46" s="69" t="s">
        <v>1073</v>
      </c>
      <c r="M46" s="65"/>
    </row>
    <row r="47" spans="3:13" ht="14.25" x14ac:dyDescent="0.2">
      <c r="C47" s="66">
        <f t="shared" si="1"/>
        <v>46</v>
      </c>
      <c r="D47" s="69" t="s">
        <v>1173</v>
      </c>
      <c r="E47" s="70" t="s">
        <v>1174</v>
      </c>
      <c r="F47" s="69" t="s">
        <v>1063</v>
      </c>
      <c r="G47" s="71">
        <v>46133.459027777775</v>
      </c>
      <c r="H47" s="71">
        <v>46132.947916666664</v>
      </c>
      <c r="I47" s="69" t="s">
        <v>1064</v>
      </c>
      <c r="J47" s="70" t="s">
        <v>1088</v>
      </c>
      <c r="K47" s="70" t="s">
        <v>1072</v>
      </c>
      <c r="L47" s="69" t="s">
        <v>1175</v>
      </c>
      <c r="M47" s="65"/>
    </row>
    <row r="48" spans="3:13" ht="25.5" x14ac:dyDescent="0.2">
      <c r="C48" s="66">
        <f t="shared" si="1"/>
        <v>47</v>
      </c>
      <c r="D48" s="69" t="s">
        <v>1176</v>
      </c>
      <c r="E48" s="70" t="s">
        <v>1115</v>
      </c>
      <c r="F48" s="69" t="s">
        <v>1063</v>
      </c>
      <c r="G48" s="71">
        <v>46133.455555555556</v>
      </c>
      <c r="H48" s="71">
        <v>46132.683333333334</v>
      </c>
      <c r="I48" s="69" t="s">
        <v>1064</v>
      </c>
      <c r="J48" s="70" t="s">
        <v>1071</v>
      </c>
      <c r="K48" s="70" t="s">
        <v>1072</v>
      </c>
      <c r="L48" s="69" t="s">
        <v>1073</v>
      </c>
      <c r="M48" s="65"/>
    </row>
    <row r="49" spans="3:13" ht="28.5" x14ac:dyDescent="0.2">
      <c r="C49" s="66">
        <f t="shared" si="1"/>
        <v>48</v>
      </c>
      <c r="D49" s="69" t="s">
        <v>1177</v>
      </c>
      <c r="E49" s="70" t="s">
        <v>1178</v>
      </c>
      <c r="F49" s="69" t="s">
        <v>1063</v>
      </c>
      <c r="G49" s="71">
        <v>46133.455555555556</v>
      </c>
      <c r="H49" s="71">
        <v>46132.359027777777</v>
      </c>
      <c r="I49" s="69" t="s">
        <v>1064</v>
      </c>
      <c r="J49" s="70" t="s">
        <v>1179</v>
      </c>
      <c r="K49" s="70" t="s">
        <v>1072</v>
      </c>
      <c r="L49" s="69" t="s">
        <v>1141</v>
      </c>
      <c r="M49" s="65"/>
    </row>
    <row r="50" spans="3:13" ht="28.5" x14ac:dyDescent="0.2">
      <c r="C50" s="66">
        <f t="shared" si="1"/>
        <v>49</v>
      </c>
      <c r="D50" s="69" t="s">
        <v>1180</v>
      </c>
      <c r="E50" s="70" t="s">
        <v>1181</v>
      </c>
      <c r="F50" s="69" t="s">
        <v>1063</v>
      </c>
      <c r="G50" s="71">
        <v>46133.455555555556</v>
      </c>
      <c r="H50" s="71">
        <v>46128.512499999997</v>
      </c>
      <c r="I50" s="69" t="s">
        <v>1064</v>
      </c>
      <c r="J50" s="70" t="s">
        <v>1182</v>
      </c>
      <c r="K50" s="70" t="s">
        <v>1072</v>
      </c>
      <c r="L50" s="69" t="s">
        <v>1141</v>
      </c>
      <c r="M50" s="65"/>
    </row>
    <row r="51" spans="3:13" ht="25.5" x14ac:dyDescent="0.2">
      <c r="C51" s="66">
        <f t="shared" si="1"/>
        <v>50</v>
      </c>
      <c r="D51" s="69" t="s">
        <v>1183</v>
      </c>
      <c r="E51" s="70" t="s">
        <v>1115</v>
      </c>
      <c r="F51" s="69" t="s">
        <v>1063</v>
      </c>
      <c r="G51" s="71">
        <v>46133.454861111109</v>
      </c>
      <c r="H51" s="71">
        <v>46129.629861111112</v>
      </c>
      <c r="I51" s="69" t="s">
        <v>1064</v>
      </c>
      <c r="J51" s="70" t="s">
        <v>1071</v>
      </c>
      <c r="K51" s="70" t="s">
        <v>1072</v>
      </c>
      <c r="L51" s="69" t="s">
        <v>1073</v>
      </c>
      <c r="M51" s="65"/>
    </row>
    <row r="52" spans="3:13" ht="28.5" x14ac:dyDescent="0.2">
      <c r="C52" s="66">
        <f t="shared" si="1"/>
        <v>51</v>
      </c>
      <c r="D52" s="69" t="s">
        <v>1184</v>
      </c>
      <c r="E52" s="70" t="s">
        <v>1185</v>
      </c>
      <c r="F52" s="69" t="s">
        <v>1063</v>
      </c>
      <c r="G52" s="71">
        <v>46133.454861111109</v>
      </c>
      <c r="H52" s="71">
        <v>46128.475694444445</v>
      </c>
      <c r="I52" s="69" t="s">
        <v>1064</v>
      </c>
      <c r="J52" s="70" t="s">
        <v>1186</v>
      </c>
      <c r="K52" s="70" t="s">
        <v>1072</v>
      </c>
      <c r="L52" s="69" t="s">
        <v>1187</v>
      </c>
      <c r="M52" s="65"/>
    </row>
    <row r="53" spans="3:13" ht="28.5" x14ac:dyDescent="0.2">
      <c r="C53" s="66">
        <f t="shared" si="1"/>
        <v>52</v>
      </c>
      <c r="D53" s="69" t="s">
        <v>1188</v>
      </c>
      <c r="E53" s="70" t="s">
        <v>1189</v>
      </c>
      <c r="F53" s="69" t="s">
        <v>1063</v>
      </c>
      <c r="G53" s="71">
        <v>46133.454861111109</v>
      </c>
      <c r="H53" s="71">
        <v>46128.512499999997</v>
      </c>
      <c r="I53" s="69" t="s">
        <v>1064</v>
      </c>
      <c r="J53" s="70" t="s">
        <v>1190</v>
      </c>
      <c r="K53" s="70" t="s">
        <v>1072</v>
      </c>
      <c r="L53" s="69" t="s">
        <v>1191</v>
      </c>
      <c r="M53" s="65"/>
    </row>
    <row r="54" spans="3:13" ht="14.25" x14ac:dyDescent="0.2">
      <c r="C54" s="66">
        <f t="shared" si="1"/>
        <v>53</v>
      </c>
      <c r="D54" s="69" t="s">
        <v>1192</v>
      </c>
      <c r="E54" s="70" t="s">
        <v>1109</v>
      </c>
      <c r="F54" s="69" t="s">
        <v>1063</v>
      </c>
      <c r="G54" s="71">
        <v>46133.45416666667</v>
      </c>
      <c r="H54" s="71">
        <v>46129.606944444444</v>
      </c>
      <c r="I54" s="69" t="s">
        <v>1172</v>
      </c>
      <c r="J54" s="70" t="s">
        <v>1081</v>
      </c>
      <c r="K54" s="70" t="s">
        <v>1072</v>
      </c>
      <c r="L54" s="69" t="s">
        <v>1073</v>
      </c>
      <c r="M54" s="65"/>
    </row>
    <row r="55" spans="3:13" ht="14.25" x14ac:dyDescent="0.2">
      <c r="C55" s="66">
        <f t="shared" si="1"/>
        <v>54</v>
      </c>
      <c r="D55" s="69" t="s">
        <v>1193</v>
      </c>
      <c r="E55" s="70" t="s">
        <v>1194</v>
      </c>
      <c r="F55" s="69" t="s">
        <v>1063</v>
      </c>
      <c r="G55" s="71">
        <v>46133.45416666667</v>
      </c>
      <c r="H55" s="71">
        <v>46129.602083333331</v>
      </c>
      <c r="I55" s="69" t="s">
        <v>1064</v>
      </c>
      <c r="J55" s="70" t="s">
        <v>1190</v>
      </c>
      <c r="K55" s="70" t="s">
        <v>1072</v>
      </c>
      <c r="L55" s="69" t="s">
        <v>1175</v>
      </c>
      <c r="M55" s="65"/>
    </row>
    <row r="56" spans="3:13" ht="14.25" x14ac:dyDescent="0.2">
      <c r="C56" s="66">
        <f t="shared" si="1"/>
        <v>55</v>
      </c>
      <c r="D56" s="69" t="s">
        <v>1195</v>
      </c>
      <c r="E56" s="70" t="s">
        <v>1196</v>
      </c>
      <c r="F56" s="69" t="s">
        <v>1063</v>
      </c>
      <c r="G56" s="71">
        <v>46133.45416666667</v>
      </c>
      <c r="H56" s="71">
        <v>46129.462500000001</v>
      </c>
      <c r="I56" s="69" t="s">
        <v>1064</v>
      </c>
      <c r="J56" s="70" t="s">
        <v>1081</v>
      </c>
      <c r="K56" s="70" t="s">
        <v>1072</v>
      </c>
      <c r="L56" s="69" t="s">
        <v>1073</v>
      </c>
      <c r="M56" s="65"/>
    </row>
    <row r="57" spans="3:13" ht="25.5" x14ac:dyDescent="0.2">
      <c r="C57" s="66">
        <f t="shared" si="1"/>
        <v>56</v>
      </c>
      <c r="D57" s="69" t="s">
        <v>1197</v>
      </c>
      <c r="E57" s="70" t="s">
        <v>1115</v>
      </c>
      <c r="F57" s="69" t="s">
        <v>1063</v>
      </c>
      <c r="G57" s="71">
        <v>46133.45416666667</v>
      </c>
      <c r="H57" s="71">
        <v>46129.420138888891</v>
      </c>
      <c r="I57" s="69" t="s">
        <v>1064</v>
      </c>
      <c r="J57" s="70" t="s">
        <v>1071</v>
      </c>
      <c r="K57" s="70" t="s">
        <v>1072</v>
      </c>
      <c r="L57" s="69" t="s">
        <v>1073</v>
      </c>
      <c r="M57" s="65"/>
    </row>
    <row r="58" spans="3:13" ht="25.5" x14ac:dyDescent="0.2">
      <c r="C58" s="66">
        <f t="shared" si="1"/>
        <v>57</v>
      </c>
      <c r="D58" s="69" t="s">
        <v>1198</v>
      </c>
      <c r="E58" s="70" t="s">
        <v>1115</v>
      </c>
      <c r="F58" s="69" t="s">
        <v>1063</v>
      </c>
      <c r="G58" s="71">
        <v>46133.453472222223</v>
      </c>
      <c r="H58" s="71">
        <v>46128.512499999997</v>
      </c>
      <c r="I58" s="69" t="s">
        <v>1172</v>
      </c>
      <c r="J58" s="70" t="s">
        <v>1071</v>
      </c>
      <c r="K58" s="70" t="s">
        <v>1072</v>
      </c>
      <c r="L58" s="69" t="s">
        <v>1073</v>
      </c>
      <c r="M58" s="65"/>
    </row>
    <row r="59" spans="3:13" ht="25.5" x14ac:dyDescent="0.2">
      <c r="C59" s="66">
        <f t="shared" si="1"/>
        <v>58</v>
      </c>
      <c r="D59" s="69" t="s">
        <v>1199</v>
      </c>
      <c r="E59" s="70" t="s">
        <v>1200</v>
      </c>
      <c r="F59" s="69" t="s">
        <v>1063</v>
      </c>
      <c r="G59" s="71">
        <v>46133.453472222223</v>
      </c>
      <c r="H59" s="71">
        <v>46128.512499999997</v>
      </c>
      <c r="I59" s="69" t="s">
        <v>1172</v>
      </c>
      <c r="J59" s="70" t="s">
        <v>1081</v>
      </c>
      <c r="K59" s="70" t="s">
        <v>1072</v>
      </c>
      <c r="L59" s="69" t="s">
        <v>1073</v>
      </c>
      <c r="M59" s="65"/>
    </row>
    <row r="60" spans="3:13" ht="14.25" x14ac:dyDescent="0.2">
      <c r="C60" s="66">
        <f t="shared" si="1"/>
        <v>59</v>
      </c>
      <c r="D60" s="69" t="s">
        <v>1201</v>
      </c>
      <c r="E60" s="70" t="s">
        <v>1109</v>
      </c>
      <c r="F60" s="69" t="s">
        <v>1063</v>
      </c>
      <c r="G60" s="71">
        <v>46133.453472222223</v>
      </c>
      <c r="H60" s="71">
        <v>46128.512499999997</v>
      </c>
      <c r="I60" s="69" t="s">
        <v>1172</v>
      </c>
      <c r="J60" s="70" t="s">
        <v>1081</v>
      </c>
      <c r="K60" s="70" t="s">
        <v>1072</v>
      </c>
      <c r="L60" s="69" t="s">
        <v>1073</v>
      </c>
      <c r="M60" s="65"/>
    </row>
    <row r="61" spans="3:13" ht="28.5" x14ac:dyDescent="0.2">
      <c r="C61" s="66">
        <f t="shared" si="1"/>
        <v>60</v>
      </c>
      <c r="D61" s="69" t="s">
        <v>1202</v>
      </c>
      <c r="E61" s="70" t="s">
        <v>1203</v>
      </c>
      <c r="F61" s="69" t="s">
        <v>1063</v>
      </c>
      <c r="G61" s="71">
        <v>46133.453472222223</v>
      </c>
      <c r="H61" s="71">
        <v>46128.475694444445</v>
      </c>
      <c r="I61" s="69" t="s">
        <v>1064</v>
      </c>
      <c r="J61" s="70" t="s">
        <v>1204</v>
      </c>
      <c r="K61" s="70" t="s">
        <v>1072</v>
      </c>
      <c r="L61" s="69" t="s">
        <v>1141</v>
      </c>
      <c r="M61" s="65"/>
    </row>
    <row r="62" spans="3:13" ht="25.5" x14ac:dyDescent="0.2">
      <c r="C62" s="66">
        <f t="shared" si="1"/>
        <v>61</v>
      </c>
      <c r="D62" s="69" t="s">
        <v>1205</v>
      </c>
      <c r="E62" s="70" t="s">
        <v>1206</v>
      </c>
      <c r="F62" s="69" t="s">
        <v>1063</v>
      </c>
      <c r="G62" s="71">
        <v>46133.452777777777</v>
      </c>
      <c r="H62" s="71">
        <v>46128.475694444445</v>
      </c>
      <c r="I62" s="69" t="s">
        <v>1172</v>
      </c>
      <c r="J62" s="70" t="s">
        <v>1207</v>
      </c>
      <c r="K62" s="70" t="s">
        <v>1072</v>
      </c>
      <c r="L62" s="69" t="s">
        <v>1073</v>
      </c>
      <c r="M62" s="65"/>
    </row>
    <row r="63" spans="3:13" ht="28.5" x14ac:dyDescent="0.2">
      <c r="C63" s="66">
        <f t="shared" si="1"/>
        <v>62</v>
      </c>
      <c r="D63" s="69" t="s">
        <v>1208</v>
      </c>
      <c r="E63" s="70" t="s">
        <v>1209</v>
      </c>
      <c r="F63" s="69" t="s">
        <v>1063</v>
      </c>
      <c r="G63" s="71">
        <v>46133.452777777777</v>
      </c>
      <c r="H63" s="71">
        <v>46132.414583333331</v>
      </c>
      <c r="I63" s="69" t="s">
        <v>1172</v>
      </c>
      <c r="J63" s="70" t="s">
        <v>1210</v>
      </c>
      <c r="K63" s="70" t="s">
        <v>1066</v>
      </c>
      <c r="L63" s="69" t="s">
        <v>1078</v>
      </c>
      <c r="M63" s="65"/>
    </row>
    <row r="64" spans="3:13" ht="25.5" x14ac:dyDescent="0.2">
      <c r="C64" s="66">
        <f t="shared" si="1"/>
        <v>63</v>
      </c>
      <c r="D64" s="69" t="s">
        <v>1211</v>
      </c>
      <c r="E64" s="70" t="s">
        <v>1212</v>
      </c>
      <c r="F64" s="69" t="s">
        <v>1063</v>
      </c>
      <c r="G64" s="71">
        <v>46133.415277777778</v>
      </c>
      <c r="H64" s="71">
        <v>46133.390277777777</v>
      </c>
      <c r="I64" s="69" t="s">
        <v>1064</v>
      </c>
      <c r="J64" s="70" t="s">
        <v>1213</v>
      </c>
      <c r="K64" s="70" t="s">
        <v>1066</v>
      </c>
      <c r="L64" s="69" t="s">
        <v>1175</v>
      </c>
      <c r="M64" s="65"/>
    </row>
    <row r="65" spans="3:13" ht="14.25" x14ac:dyDescent="0.2">
      <c r="C65" s="66">
        <f t="shared" si="1"/>
        <v>64</v>
      </c>
      <c r="D65" s="69" t="s">
        <v>1214</v>
      </c>
      <c r="E65" s="70" t="s">
        <v>1215</v>
      </c>
      <c r="F65" s="69" t="s">
        <v>1063</v>
      </c>
      <c r="G65" s="71">
        <v>46132.504166666666</v>
      </c>
      <c r="H65" s="71">
        <v>46132.500694444447</v>
      </c>
      <c r="I65" s="69" t="s">
        <v>1064</v>
      </c>
      <c r="J65" s="70" t="s">
        <v>1216</v>
      </c>
      <c r="K65" s="70" t="s">
        <v>1066</v>
      </c>
      <c r="L65" s="69" t="s">
        <v>1217</v>
      </c>
      <c r="M65" s="65"/>
    </row>
    <row r="66" spans="3:13" ht="25.5" x14ac:dyDescent="0.2">
      <c r="C66" s="66">
        <f t="shared" ref="C66:C97" si="2">ROW()-1</f>
        <v>65</v>
      </c>
      <c r="D66" s="69" t="s">
        <v>1218</v>
      </c>
      <c r="E66" s="70" t="s">
        <v>1219</v>
      </c>
      <c r="F66" s="69" t="s">
        <v>1063</v>
      </c>
      <c r="G66" s="71">
        <v>46132.45208333333</v>
      </c>
      <c r="H66" s="71">
        <v>46132.435416666667</v>
      </c>
      <c r="I66" s="69" t="s">
        <v>1172</v>
      </c>
      <c r="J66" s="70" t="s">
        <v>1213</v>
      </c>
      <c r="K66" s="70" t="s">
        <v>1066</v>
      </c>
      <c r="L66" s="69" t="s">
        <v>1067</v>
      </c>
      <c r="M66" s="65"/>
    </row>
    <row r="67" spans="3:13" ht="28.5" x14ac:dyDescent="0.2">
      <c r="C67" s="66">
        <f t="shared" si="2"/>
        <v>66</v>
      </c>
      <c r="D67" s="69" t="s">
        <v>1220</v>
      </c>
      <c r="E67" s="70" t="s">
        <v>1221</v>
      </c>
      <c r="F67" s="69" t="s">
        <v>1063</v>
      </c>
      <c r="G67" s="71">
        <v>46132.439583333333</v>
      </c>
      <c r="H67" s="71">
        <v>46132.433333333334</v>
      </c>
      <c r="I67" s="69" t="s">
        <v>1064</v>
      </c>
      <c r="J67" s="70" t="s">
        <v>1088</v>
      </c>
      <c r="K67" s="70" t="s">
        <v>1066</v>
      </c>
      <c r="L67" s="69" t="s">
        <v>1222</v>
      </c>
      <c r="M67" s="65"/>
    </row>
    <row r="68" spans="3:13" ht="28.5" x14ac:dyDescent="0.2">
      <c r="C68" s="66">
        <f t="shared" si="2"/>
        <v>67</v>
      </c>
      <c r="D68" s="69" t="s">
        <v>1223</v>
      </c>
      <c r="E68" s="70" t="s">
        <v>1224</v>
      </c>
      <c r="F68" s="69" t="s">
        <v>1063</v>
      </c>
      <c r="G68" s="71">
        <v>46132.434027777781</v>
      </c>
      <c r="H68" s="71">
        <v>46129.789583333331</v>
      </c>
      <c r="I68" s="69" t="s">
        <v>1064</v>
      </c>
      <c r="J68" s="70" t="s">
        <v>1225</v>
      </c>
      <c r="K68" s="70" t="s">
        <v>1226</v>
      </c>
      <c r="L68" s="69" t="s">
        <v>1095</v>
      </c>
      <c r="M68" s="65"/>
    </row>
    <row r="69" spans="3:13" ht="28.5" x14ac:dyDescent="0.2">
      <c r="C69" s="66">
        <f t="shared" si="2"/>
        <v>68</v>
      </c>
      <c r="D69" s="69" t="s">
        <v>1227</v>
      </c>
      <c r="E69" s="70" t="s">
        <v>1228</v>
      </c>
      <c r="F69" s="69" t="s">
        <v>1063</v>
      </c>
      <c r="G69" s="71">
        <v>46129.504861111112</v>
      </c>
      <c r="H69" s="71">
        <v>46128.606249999997</v>
      </c>
      <c r="I69" s="69" t="s">
        <v>1064</v>
      </c>
      <c r="J69" s="70" t="s">
        <v>1088</v>
      </c>
      <c r="K69" s="70" t="s">
        <v>1066</v>
      </c>
      <c r="L69" s="69" t="s">
        <v>1229</v>
      </c>
      <c r="M69" s="65"/>
    </row>
    <row r="70" spans="3:13" ht="28.5" x14ac:dyDescent="0.2">
      <c r="C70" s="66">
        <f t="shared" si="2"/>
        <v>69</v>
      </c>
      <c r="D70" s="69" t="s">
        <v>1230</v>
      </c>
      <c r="E70" s="70" t="s">
        <v>1231</v>
      </c>
      <c r="F70" s="69" t="s">
        <v>1070</v>
      </c>
      <c r="G70" s="71">
        <v>46129.493055555555</v>
      </c>
      <c r="H70" s="71">
        <v>46128.512499999997</v>
      </c>
      <c r="I70" s="69" t="s">
        <v>1064</v>
      </c>
      <c r="J70" s="70" t="s">
        <v>1182</v>
      </c>
      <c r="K70" s="70" t="s">
        <v>1066</v>
      </c>
      <c r="L70" s="69" t="s">
        <v>1095</v>
      </c>
      <c r="M70" s="65"/>
    </row>
    <row r="71" spans="3:13" ht="14.25" x14ac:dyDescent="0.2">
      <c r="C71" s="66">
        <f t="shared" si="2"/>
        <v>70</v>
      </c>
      <c r="D71" s="69" t="s">
        <v>1232</v>
      </c>
      <c r="E71" s="70" t="s">
        <v>1233</v>
      </c>
      <c r="F71" s="69" t="s">
        <v>1063</v>
      </c>
      <c r="G71" s="71">
        <v>46129.491666666669</v>
      </c>
      <c r="H71" s="71">
        <v>46129.420138888891</v>
      </c>
      <c r="I71" s="69" t="s">
        <v>1064</v>
      </c>
      <c r="J71" s="70" t="s">
        <v>1084</v>
      </c>
      <c r="K71" s="70" t="s">
        <v>1066</v>
      </c>
      <c r="L71" s="69" t="s">
        <v>1067</v>
      </c>
      <c r="M71" s="65"/>
    </row>
    <row r="72" spans="3:13" ht="25.5" x14ac:dyDescent="0.2">
      <c r="C72" s="66">
        <f t="shared" si="2"/>
        <v>71</v>
      </c>
      <c r="D72" s="69" t="s">
        <v>1234</v>
      </c>
      <c r="E72" s="70" t="s">
        <v>1235</v>
      </c>
      <c r="F72" s="69" t="s">
        <v>1063</v>
      </c>
      <c r="G72" s="71">
        <v>46129.486805555556</v>
      </c>
      <c r="H72" s="71">
        <v>46128.512499999997</v>
      </c>
      <c r="I72" s="69" t="s">
        <v>1064</v>
      </c>
      <c r="J72" s="70" t="s">
        <v>1236</v>
      </c>
      <c r="K72" s="70" t="s">
        <v>1066</v>
      </c>
      <c r="L72" s="69" t="s">
        <v>1067</v>
      </c>
      <c r="M72" s="65"/>
    </row>
    <row r="73" spans="3:13" ht="28.5" x14ac:dyDescent="0.2">
      <c r="C73" s="66">
        <f t="shared" si="2"/>
        <v>72</v>
      </c>
      <c r="D73" s="69" t="s">
        <v>1237</v>
      </c>
      <c r="E73" s="70" t="s">
        <v>1238</v>
      </c>
      <c r="F73" s="69" t="s">
        <v>1063</v>
      </c>
      <c r="G73" s="71">
        <v>46129.478472222225</v>
      </c>
      <c r="H73" s="71">
        <v>46128.606249999997</v>
      </c>
      <c r="I73" s="69" t="s">
        <v>1064</v>
      </c>
      <c r="J73" s="70" t="s">
        <v>1147</v>
      </c>
      <c r="K73" s="70" t="s">
        <v>1066</v>
      </c>
      <c r="L73" s="69" t="s">
        <v>1239</v>
      </c>
      <c r="M73" s="65"/>
    </row>
    <row r="74" spans="3:13" ht="14.25" x14ac:dyDescent="0.2">
      <c r="C74" s="66">
        <f t="shared" si="2"/>
        <v>73</v>
      </c>
      <c r="D74" s="69" t="s">
        <v>1240</v>
      </c>
      <c r="E74" s="70" t="s">
        <v>1241</v>
      </c>
      <c r="F74" s="69" t="s">
        <v>1063</v>
      </c>
      <c r="G74" s="71">
        <v>46129.45416666667</v>
      </c>
      <c r="H74" s="71">
        <v>46129.420138888891</v>
      </c>
      <c r="I74" s="69" t="s">
        <v>1064</v>
      </c>
      <c r="J74" s="70" t="s">
        <v>1186</v>
      </c>
      <c r="K74" s="69"/>
      <c r="L74" s="69"/>
      <c r="M74" s="65"/>
    </row>
    <row r="75" spans="3:13" ht="28.5" x14ac:dyDescent="0.2">
      <c r="C75" s="66">
        <f t="shared" si="2"/>
        <v>74</v>
      </c>
      <c r="D75" s="69" t="s">
        <v>1242</v>
      </c>
      <c r="E75" s="70" t="s">
        <v>1243</v>
      </c>
      <c r="F75" s="69" t="s">
        <v>1063</v>
      </c>
      <c r="G75" s="71">
        <v>46128.643750000003</v>
      </c>
      <c r="H75" s="71">
        <v>46128.640972222223</v>
      </c>
      <c r="I75" s="69" t="s">
        <v>1064</v>
      </c>
      <c r="J75" s="70" t="s">
        <v>1244</v>
      </c>
      <c r="K75" s="70" t="s">
        <v>1066</v>
      </c>
      <c r="L75" s="69" t="s">
        <v>1078</v>
      </c>
      <c r="M75" s="65"/>
    </row>
    <row r="76" spans="3:13" ht="14.25" x14ac:dyDescent="0.2">
      <c r="C76" s="66">
        <f t="shared" si="2"/>
        <v>75</v>
      </c>
      <c r="D76" s="69" t="s">
        <v>1245</v>
      </c>
      <c r="E76" s="70" t="s">
        <v>1246</v>
      </c>
      <c r="F76" s="69" t="s">
        <v>1063</v>
      </c>
      <c r="G76" s="71">
        <v>46128.615277777775</v>
      </c>
      <c r="H76" s="71">
        <v>46128.606249999997</v>
      </c>
      <c r="I76" s="69" t="s">
        <v>1064</v>
      </c>
      <c r="J76" s="70" t="s">
        <v>1247</v>
      </c>
      <c r="K76" s="70" t="s">
        <v>1066</v>
      </c>
      <c r="L76" s="69" t="s">
        <v>1175</v>
      </c>
      <c r="M76" s="65"/>
    </row>
    <row r="77" spans="3:13" ht="14.25" x14ac:dyDescent="0.2">
      <c r="C77" s="66">
        <f t="shared" si="2"/>
        <v>76</v>
      </c>
      <c r="D77" s="69" t="s">
        <v>1248</v>
      </c>
      <c r="E77" s="70" t="s">
        <v>1249</v>
      </c>
      <c r="F77" s="69" t="s">
        <v>1063</v>
      </c>
      <c r="G77" s="71">
        <v>46128.614583333336</v>
      </c>
      <c r="H77" s="71">
        <v>46128.606249999997</v>
      </c>
      <c r="I77" s="69" t="s">
        <v>1172</v>
      </c>
      <c r="J77" s="70" t="s">
        <v>1250</v>
      </c>
      <c r="K77" s="70" t="s">
        <v>1066</v>
      </c>
      <c r="L77" s="69" t="s">
        <v>1067</v>
      </c>
      <c r="M77" s="65"/>
    </row>
    <row r="78" spans="3:13" ht="25.5" x14ac:dyDescent="0.2">
      <c r="C78" s="66">
        <f t="shared" si="2"/>
        <v>77</v>
      </c>
      <c r="D78" s="69" t="s">
        <v>1251</v>
      </c>
      <c r="E78" s="70" t="s">
        <v>1252</v>
      </c>
      <c r="F78" s="69" t="s">
        <v>1063</v>
      </c>
      <c r="G78" s="71">
        <v>46128.604166666664</v>
      </c>
      <c r="H78" s="71">
        <v>46128.512499999997</v>
      </c>
      <c r="I78" s="69" t="s">
        <v>1064</v>
      </c>
      <c r="J78" s="70" t="s">
        <v>1098</v>
      </c>
      <c r="K78" s="70" t="s">
        <v>1066</v>
      </c>
      <c r="L78" s="69" t="s">
        <v>1067</v>
      </c>
      <c r="M78" s="65"/>
    </row>
    <row r="79" spans="3:13" ht="25.5" x14ac:dyDescent="0.2">
      <c r="C79" s="66">
        <f t="shared" si="2"/>
        <v>78</v>
      </c>
      <c r="D79" s="69" t="s">
        <v>1253</v>
      </c>
      <c r="E79" s="70" t="s">
        <v>1254</v>
      </c>
      <c r="F79" s="69" t="s">
        <v>1063</v>
      </c>
      <c r="G79" s="71">
        <v>46128.589583333334</v>
      </c>
      <c r="H79" s="71">
        <v>46128.512499999997</v>
      </c>
      <c r="I79" s="69" t="s">
        <v>1064</v>
      </c>
      <c r="J79" s="70" t="s">
        <v>1182</v>
      </c>
      <c r="K79" s="69"/>
      <c r="L79" s="69"/>
      <c r="M79" s="65"/>
    </row>
    <row r="80" spans="3:13" ht="14.25" x14ac:dyDescent="0.2">
      <c r="C80" s="66">
        <f t="shared" si="2"/>
        <v>79</v>
      </c>
      <c r="D80" s="69" t="s">
        <v>1255</v>
      </c>
      <c r="E80" s="70" t="s">
        <v>1256</v>
      </c>
      <c r="F80" s="69" t="s">
        <v>1063</v>
      </c>
      <c r="G80" s="71">
        <v>46128.505555555559</v>
      </c>
      <c r="H80" s="71">
        <v>46128.504166666666</v>
      </c>
      <c r="I80" s="69" t="s">
        <v>1064</v>
      </c>
      <c r="J80" s="70" t="s">
        <v>1213</v>
      </c>
      <c r="K80" s="70" t="s">
        <v>1066</v>
      </c>
      <c r="L80" s="69" t="s">
        <v>1175</v>
      </c>
      <c r="M80" s="65"/>
    </row>
    <row r="81" spans="3:13" ht="28.5" x14ac:dyDescent="0.2">
      <c r="C81" s="66">
        <f t="shared" si="2"/>
        <v>80</v>
      </c>
      <c r="D81" s="69" t="s">
        <v>1257</v>
      </c>
      <c r="E81" s="70" t="s">
        <v>1258</v>
      </c>
      <c r="F81" s="69" t="s">
        <v>1063</v>
      </c>
      <c r="G81" s="71">
        <v>46128.499305555553</v>
      </c>
      <c r="H81" s="71">
        <v>46128.475694444445</v>
      </c>
      <c r="I81" s="69" t="s">
        <v>1064</v>
      </c>
      <c r="J81" s="70" t="s">
        <v>1147</v>
      </c>
      <c r="K81" s="70" t="s">
        <v>1066</v>
      </c>
      <c r="L81" s="69" t="s">
        <v>1259</v>
      </c>
      <c r="M81" s="65"/>
    </row>
    <row r="82" spans="3:13" ht="28.5" x14ac:dyDescent="0.2">
      <c r="C82" s="66">
        <f t="shared" si="2"/>
        <v>81</v>
      </c>
      <c r="D82" s="69" t="s">
        <v>1260</v>
      </c>
      <c r="E82" s="70" t="s">
        <v>1261</v>
      </c>
      <c r="F82" s="69" t="s">
        <v>1070</v>
      </c>
      <c r="G82" s="71">
        <v>46128.495138888888</v>
      </c>
      <c r="H82" s="71">
        <v>46125.440972222219</v>
      </c>
      <c r="I82" s="69" t="s">
        <v>1064</v>
      </c>
      <c r="J82" s="70" t="s">
        <v>1262</v>
      </c>
      <c r="K82" s="70" t="s">
        <v>1072</v>
      </c>
      <c r="L82" s="69" t="s">
        <v>1095</v>
      </c>
      <c r="M82" s="65"/>
    </row>
    <row r="83" spans="3:13" ht="25.5" x14ac:dyDescent="0.2">
      <c r="C83" s="66">
        <f t="shared" si="2"/>
        <v>82</v>
      </c>
      <c r="D83" s="69" t="s">
        <v>1263</v>
      </c>
      <c r="E83" s="70" t="s">
        <v>1264</v>
      </c>
      <c r="F83" s="69" t="s">
        <v>1063</v>
      </c>
      <c r="G83" s="71">
        <v>46128.493750000001</v>
      </c>
      <c r="H83" s="71">
        <v>46128.475694444445</v>
      </c>
      <c r="I83" s="69" t="s">
        <v>1172</v>
      </c>
      <c r="J83" s="70" t="s">
        <v>1071</v>
      </c>
      <c r="K83" s="70" t="s">
        <v>1072</v>
      </c>
      <c r="L83" s="69" t="s">
        <v>1073</v>
      </c>
      <c r="M83" s="65"/>
    </row>
    <row r="84" spans="3:13" ht="28.5" x14ac:dyDescent="0.2">
      <c r="C84" s="66">
        <f t="shared" si="2"/>
        <v>83</v>
      </c>
      <c r="D84" s="69" t="s">
        <v>1265</v>
      </c>
      <c r="E84" s="70" t="s">
        <v>1266</v>
      </c>
      <c r="F84" s="69" t="s">
        <v>1063</v>
      </c>
      <c r="G84" s="71">
        <v>46128.492361111108</v>
      </c>
      <c r="H84" s="71">
        <v>46127.430555555555</v>
      </c>
      <c r="I84" s="69" t="s">
        <v>1064</v>
      </c>
      <c r="J84" s="70" t="s">
        <v>1267</v>
      </c>
      <c r="K84" s="70" t="s">
        <v>1072</v>
      </c>
      <c r="L84" s="69" t="s">
        <v>1268</v>
      </c>
      <c r="M84" s="65"/>
    </row>
    <row r="85" spans="3:13" ht="14.25" x14ac:dyDescent="0.2">
      <c r="C85" s="66">
        <f t="shared" si="2"/>
        <v>84</v>
      </c>
      <c r="D85" s="69" t="s">
        <v>1269</v>
      </c>
      <c r="E85" s="70" t="s">
        <v>1270</v>
      </c>
      <c r="F85" s="69" t="s">
        <v>1063</v>
      </c>
      <c r="G85" s="71">
        <v>46128.492361111108</v>
      </c>
      <c r="H85" s="71">
        <v>46125.359722222223</v>
      </c>
      <c r="I85" s="69" t="s">
        <v>1172</v>
      </c>
      <c r="J85" s="70" t="s">
        <v>1122</v>
      </c>
      <c r="K85" s="70" t="s">
        <v>1072</v>
      </c>
      <c r="L85" s="69"/>
      <c r="M85" s="65"/>
    </row>
    <row r="86" spans="3:13" ht="14.25" x14ac:dyDescent="0.2">
      <c r="C86" s="66">
        <f t="shared" si="2"/>
        <v>85</v>
      </c>
      <c r="D86" s="69" t="s">
        <v>1271</v>
      </c>
      <c r="E86" s="70" t="s">
        <v>1109</v>
      </c>
      <c r="F86" s="69" t="s">
        <v>1063</v>
      </c>
      <c r="G86" s="71">
        <v>46128.492361111108</v>
      </c>
      <c r="H86" s="71">
        <v>46128.475694444445</v>
      </c>
      <c r="I86" s="69" t="s">
        <v>1172</v>
      </c>
      <c r="J86" s="70" t="s">
        <v>1081</v>
      </c>
      <c r="K86" s="70" t="s">
        <v>1072</v>
      </c>
      <c r="L86" s="69" t="s">
        <v>1073</v>
      </c>
      <c r="M86" s="65"/>
    </row>
    <row r="87" spans="3:13" ht="25.5" x14ac:dyDescent="0.2">
      <c r="C87" s="66">
        <f t="shared" si="2"/>
        <v>86</v>
      </c>
      <c r="D87" s="69" t="s">
        <v>1272</v>
      </c>
      <c r="E87" s="70" t="s">
        <v>1273</v>
      </c>
      <c r="F87" s="69" t="s">
        <v>1063</v>
      </c>
      <c r="G87" s="71">
        <v>46128.491666666669</v>
      </c>
      <c r="H87" s="71">
        <v>46128.475694444445</v>
      </c>
      <c r="I87" s="69" t="s">
        <v>1172</v>
      </c>
      <c r="J87" s="70" t="s">
        <v>1071</v>
      </c>
      <c r="K87" s="70" t="s">
        <v>1072</v>
      </c>
      <c r="L87" s="69" t="s">
        <v>1073</v>
      </c>
      <c r="M87" s="65"/>
    </row>
    <row r="88" spans="3:13" ht="25.5" x14ac:dyDescent="0.2">
      <c r="C88" s="66">
        <f t="shared" si="2"/>
        <v>87</v>
      </c>
      <c r="D88" s="69" t="s">
        <v>1274</v>
      </c>
      <c r="E88" s="70" t="s">
        <v>1115</v>
      </c>
      <c r="F88" s="69" t="s">
        <v>1063</v>
      </c>
      <c r="G88" s="71">
        <v>46128.491666666669</v>
      </c>
      <c r="H88" s="71">
        <v>46128.475694444445</v>
      </c>
      <c r="I88" s="69" t="s">
        <v>1172</v>
      </c>
      <c r="J88" s="70" t="s">
        <v>1071</v>
      </c>
      <c r="K88" s="70" t="s">
        <v>1072</v>
      </c>
      <c r="L88" s="69" t="s">
        <v>1073</v>
      </c>
      <c r="M88" s="65"/>
    </row>
    <row r="89" spans="3:13" ht="14.25" x14ac:dyDescent="0.2">
      <c r="C89" s="66">
        <f t="shared" si="2"/>
        <v>88</v>
      </c>
      <c r="D89" s="69" t="s">
        <v>1275</v>
      </c>
      <c r="E89" s="70" t="s">
        <v>1276</v>
      </c>
      <c r="F89" s="69" t="s">
        <v>1063</v>
      </c>
      <c r="G89" s="71">
        <v>46128.491666666669</v>
      </c>
      <c r="H89" s="71">
        <v>46127.429861111108</v>
      </c>
      <c r="I89" s="69" t="s">
        <v>1064</v>
      </c>
      <c r="J89" s="70" t="s">
        <v>1098</v>
      </c>
      <c r="K89" s="70" t="s">
        <v>1072</v>
      </c>
      <c r="L89" s="69" t="s">
        <v>1277</v>
      </c>
      <c r="M89" s="65"/>
    </row>
    <row r="90" spans="3:13" ht="25.5" x14ac:dyDescent="0.2">
      <c r="C90" s="66">
        <f t="shared" si="2"/>
        <v>89</v>
      </c>
      <c r="D90" s="69" t="s">
        <v>1278</v>
      </c>
      <c r="E90" s="70" t="s">
        <v>1115</v>
      </c>
      <c r="F90" s="69" t="s">
        <v>1063</v>
      </c>
      <c r="G90" s="71">
        <v>46128.490972222222</v>
      </c>
      <c r="H90" s="71">
        <v>46122.6875</v>
      </c>
      <c r="I90" s="69" t="s">
        <v>1064</v>
      </c>
      <c r="J90" s="70" t="s">
        <v>1071</v>
      </c>
      <c r="K90" s="70" t="s">
        <v>1072</v>
      </c>
      <c r="L90" s="69" t="s">
        <v>1073</v>
      </c>
      <c r="M90" s="65"/>
    </row>
    <row r="91" spans="3:13" ht="14.25" x14ac:dyDescent="0.2">
      <c r="C91" s="66">
        <f t="shared" si="2"/>
        <v>90</v>
      </c>
      <c r="D91" s="69" t="s">
        <v>1279</v>
      </c>
      <c r="E91" s="70" t="s">
        <v>1280</v>
      </c>
      <c r="F91" s="69" t="s">
        <v>1063</v>
      </c>
      <c r="G91" s="71">
        <v>46128.490972222222</v>
      </c>
      <c r="H91" s="71">
        <v>46122.454861111109</v>
      </c>
      <c r="I91" s="69" t="s">
        <v>1064</v>
      </c>
      <c r="J91" s="70" t="s">
        <v>1088</v>
      </c>
      <c r="K91" s="70" t="s">
        <v>1072</v>
      </c>
      <c r="L91" s="69" t="s">
        <v>1175</v>
      </c>
      <c r="M91" s="65"/>
    </row>
    <row r="92" spans="3:13" ht="14.25" x14ac:dyDescent="0.2">
      <c r="C92" s="66">
        <f t="shared" si="2"/>
        <v>91</v>
      </c>
      <c r="D92" s="69" t="s">
        <v>1281</v>
      </c>
      <c r="E92" s="70" t="s">
        <v>1282</v>
      </c>
      <c r="F92" s="69" t="s">
        <v>1063</v>
      </c>
      <c r="G92" s="71">
        <v>46128.490972222222</v>
      </c>
      <c r="H92" s="71">
        <v>46121.472222222219</v>
      </c>
      <c r="I92" s="69" t="s">
        <v>1172</v>
      </c>
      <c r="J92" s="70" t="s">
        <v>1081</v>
      </c>
      <c r="K92" s="70" t="s">
        <v>1072</v>
      </c>
      <c r="L92" s="69" t="s">
        <v>1073</v>
      </c>
      <c r="M92" s="65"/>
    </row>
    <row r="93" spans="3:13" ht="28.5" x14ac:dyDescent="0.2">
      <c r="C93" s="66">
        <f t="shared" si="2"/>
        <v>92</v>
      </c>
      <c r="D93" s="69" t="s">
        <v>1283</v>
      </c>
      <c r="E93" s="70" t="s">
        <v>1284</v>
      </c>
      <c r="F93" s="69" t="s">
        <v>1063</v>
      </c>
      <c r="G93" s="71">
        <v>46128.490972222222</v>
      </c>
      <c r="H93" s="71">
        <v>46120.576388888891</v>
      </c>
      <c r="I93" s="69" t="s">
        <v>1064</v>
      </c>
      <c r="J93" s="70" t="s">
        <v>1088</v>
      </c>
      <c r="K93" s="70" t="s">
        <v>1072</v>
      </c>
      <c r="L93" s="69" t="s">
        <v>1092</v>
      </c>
      <c r="M93" s="65"/>
    </row>
    <row r="94" spans="3:13" ht="28.5" x14ac:dyDescent="0.2">
      <c r="C94" s="66">
        <f t="shared" si="2"/>
        <v>93</v>
      </c>
      <c r="D94" s="69" t="s">
        <v>1285</v>
      </c>
      <c r="E94" s="70" t="s">
        <v>1286</v>
      </c>
      <c r="F94" s="69" t="s">
        <v>1063</v>
      </c>
      <c r="G94" s="71">
        <v>46128.490277777775</v>
      </c>
      <c r="H94" s="71">
        <v>46119.380555555559</v>
      </c>
      <c r="I94" s="69" t="s">
        <v>1064</v>
      </c>
      <c r="J94" s="70" t="s">
        <v>1244</v>
      </c>
      <c r="K94" s="70" t="s">
        <v>1072</v>
      </c>
      <c r="L94" s="69" t="s">
        <v>1078</v>
      </c>
      <c r="M94" s="65"/>
    </row>
    <row r="95" spans="3:13" ht="28.5" x14ac:dyDescent="0.2">
      <c r="C95" s="66">
        <f t="shared" si="2"/>
        <v>94</v>
      </c>
      <c r="D95" s="69" t="s">
        <v>1287</v>
      </c>
      <c r="E95" s="70" t="s">
        <v>1288</v>
      </c>
      <c r="F95" s="69" t="s">
        <v>1063</v>
      </c>
      <c r="G95" s="71">
        <v>46128.401388888888</v>
      </c>
      <c r="H95" s="71">
        <v>46128.371527777781</v>
      </c>
      <c r="I95" s="69" t="s">
        <v>1064</v>
      </c>
      <c r="J95" s="70" t="s">
        <v>1289</v>
      </c>
      <c r="K95" s="70" t="s">
        <v>1226</v>
      </c>
      <c r="L95" s="69" t="s">
        <v>1095</v>
      </c>
      <c r="M95" s="65"/>
    </row>
    <row r="96" spans="3:13" ht="14.25" x14ac:dyDescent="0.2">
      <c r="C96" s="66">
        <f t="shared" si="2"/>
        <v>95</v>
      </c>
      <c r="D96" s="69" t="s">
        <v>1290</v>
      </c>
      <c r="E96" s="70" t="s">
        <v>1291</v>
      </c>
      <c r="F96" s="69" t="s">
        <v>1063</v>
      </c>
      <c r="G96" s="71">
        <v>46128.374305555553</v>
      </c>
      <c r="H96" s="71">
        <v>46113.357638888891</v>
      </c>
      <c r="I96" s="69" t="s">
        <v>1064</v>
      </c>
      <c r="J96" s="70" t="s">
        <v>1204</v>
      </c>
      <c r="K96" s="69"/>
      <c r="L96" s="69"/>
      <c r="M96" s="65"/>
    </row>
    <row r="97" spans="3:13" ht="14.25" x14ac:dyDescent="0.2">
      <c r="C97" s="66">
        <f t="shared" si="2"/>
        <v>96</v>
      </c>
      <c r="D97" s="69" t="s">
        <v>1292</v>
      </c>
      <c r="E97" s="70" t="s">
        <v>1293</v>
      </c>
      <c r="F97" s="69" t="s">
        <v>1063</v>
      </c>
      <c r="G97" s="71">
        <v>46125.606249999997</v>
      </c>
      <c r="H97" s="71">
        <v>46121.409722222219</v>
      </c>
      <c r="I97" s="69" t="s">
        <v>1064</v>
      </c>
      <c r="J97" s="70" t="s">
        <v>1294</v>
      </c>
      <c r="K97" s="70" t="s">
        <v>1066</v>
      </c>
      <c r="L97" s="69" t="s">
        <v>1067</v>
      </c>
      <c r="M97" s="65"/>
    </row>
    <row r="98" spans="3:13" ht="28.5" x14ac:dyDescent="0.2">
      <c r="C98" s="66">
        <f t="shared" ref="C98:C129" si="3">ROW()-1</f>
        <v>97</v>
      </c>
      <c r="D98" s="69" t="s">
        <v>1295</v>
      </c>
      <c r="E98" s="70" t="s">
        <v>1296</v>
      </c>
      <c r="F98" s="69" t="s">
        <v>1063</v>
      </c>
      <c r="G98" s="71">
        <v>46125.449305555558</v>
      </c>
      <c r="H98" s="71">
        <v>46122.361111111109</v>
      </c>
      <c r="I98" s="69" t="s">
        <v>1064</v>
      </c>
      <c r="J98" s="70" t="s">
        <v>1186</v>
      </c>
      <c r="K98" s="70" t="s">
        <v>1297</v>
      </c>
      <c r="L98" s="69" t="s">
        <v>1103</v>
      </c>
      <c r="M98" s="65"/>
    </row>
    <row r="99" spans="3:13" ht="28.5" x14ac:dyDescent="0.2">
      <c r="C99" s="66">
        <f t="shared" si="3"/>
        <v>98</v>
      </c>
      <c r="D99" s="69" t="s">
        <v>1298</v>
      </c>
      <c r="E99" s="70" t="s">
        <v>1299</v>
      </c>
      <c r="F99" s="69" t="s">
        <v>1063</v>
      </c>
      <c r="G99" s="71">
        <v>46125.435416666667</v>
      </c>
      <c r="H99" s="71">
        <v>46122.715277777781</v>
      </c>
      <c r="I99" s="69" t="s">
        <v>1064</v>
      </c>
      <c r="J99" s="70" t="s">
        <v>1262</v>
      </c>
      <c r="K99" s="70" t="s">
        <v>1066</v>
      </c>
      <c r="L99" s="69" t="s">
        <v>1300</v>
      </c>
      <c r="M99" s="65"/>
    </row>
    <row r="100" spans="3:13" ht="14.25" x14ac:dyDescent="0.2">
      <c r="C100" s="66">
        <f t="shared" si="3"/>
        <v>99</v>
      </c>
      <c r="D100" s="69" t="s">
        <v>1301</v>
      </c>
      <c r="E100" s="70" t="s">
        <v>1302</v>
      </c>
      <c r="F100" s="69" t="s">
        <v>1063</v>
      </c>
      <c r="G100" s="71">
        <v>46125.434027777781</v>
      </c>
      <c r="H100" s="71">
        <v>46122.628472222219</v>
      </c>
      <c r="I100" s="69" t="s">
        <v>1064</v>
      </c>
      <c r="J100" s="70" t="s">
        <v>1088</v>
      </c>
      <c r="K100" s="70" t="s">
        <v>1066</v>
      </c>
      <c r="L100" s="69" t="s">
        <v>1144</v>
      </c>
      <c r="M100" s="65"/>
    </row>
    <row r="101" spans="3:13" ht="28.5" x14ac:dyDescent="0.2">
      <c r="C101" s="66">
        <f t="shared" si="3"/>
        <v>100</v>
      </c>
      <c r="D101" s="69" t="s">
        <v>1303</v>
      </c>
      <c r="E101" s="70" t="s">
        <v>1304</v>
      </c>
      <c r="F101" s="69" t="s">
        <v>1063</v>
      </c>
      <c r="G101" s="71">
        <v>46122.695833333331</v>
      </c>
      <c r="H101" s="71">
        <v>46111.663194444445</v>
      </c>
      <c r="I101" s="69" t="s">
        <v>1064</v>
      </c>
      <c r="J101" s="70" t="s">
        <v>1088</v>
      </c>
      <c r="K101" s="70" t="s">
        <v>1066</v>
      </c>
      <c r="L101" s="69" t="s">
        <v>1305</v>
      </c>
      <c r="M101" s="65"/>
    </row>
    <row r="102" spans="3:13" ht="28.5" x14ac:dyDescent="0.2">
      <c r="C102" s="66">
        <f t="shared" si="3"/>
        <v>101</v>
      </c>
      <c r="D102" s="69" t="s">
        <v>1306</v>
      </c>
      <c r="E102" s="70" t="s">
        <v>1307</v>
      </c>
      <c r="F102" s="69" t="s">
        <v>1063</v>
      </c>
      <c r="G102" s="71">
        <v>46121.694444444445</v>
      </c>
      <c r="H102" s="71">
        <v>46113.565972222219</v>
      </c>
      <c r="I102" s="69" t="s">
        <v>1064</v>
      </c>
      <c r="J102" s="70" t="s">
        <v>1088</v>
      </c>
      <c r="K102" s="70" t="s">
        <v>1066</v>
      </c>
      <c r="L102" s="69" t="s">
        <v>1229</v>
      </c>
      <c r="M102" s="65"/>
    </row>
    <row r="103" spans="3:13" ht="28.5" x14ac:dyDescent="0.2">
      <c r="C103" s="66">
        <f t="shared" si="3"/>
        <v>102</v>
      </c>
      <c r="D103" s="69" t="s">
        <v>1308</v>
      </c>
      <c r="E103" s="70" t="s">
        <v>1309</v>
      </c>
      <c r="F103" s="69" t="s">
        <v>1063</v>
      </c>
      <c r="G103" s="71">
        <v>46121.692361111112</v>
      </c>
      <c r="H103" s="71">
        <v>46121.397222222222</v>
      </c>
      <c r="I103" s="69" t="s">
        <v>1064</v>
      </c>
      <c r="J103" s="70" t="s">
        <v>1310</v>
      </c>
      <c r="K103" s="70" t="s">
        <v>1066</v>
      </c>
      <c r="L103" s="69" t="s">
        <v>1078</v>
      </c>
      <c r="M103" s="65"/>
    </row>
    <row r="104" spans="3:13" ht="28.5" x14ac:dyDescent="0.2">
      <c r="C104" s="66">
        <f t="shared" si="3"/>
        <v>103</v>
      </c>
      <c r="D104" s="69" t="s">
        <v>1311</v>
      </c>
      <c r="E104" s="70" t="s">
        <v>1312</v>
      </c>
      <c r="F104" s="69" t="s">
        <v>1063</v>
      </c>
      <c r="G104" s="71">
        <v>46121.667361111111</v>
      </c>
      <c r="H104" s="71">
        <v>46121.65625</v>
      </c>
      <c r="I104" s="69" t="s">
        <v>1064</v>
      </c>
      <c r="J104" s="70" t="s">
        <v>1088</v>
      </c>
      <c r="K104" s="70" t="s">
        <v>1066</v>
      </c>
      <c r="L104" s="69" t="s">
        <v>1078</v>
      </c>
      <c r="M104" s="65"/>
    </row>
    <row r="105" spans="3:13" ht="28.5" x14ac:dyDescent="0.2">
      <c r="C105" s="66">
        <f t="shared" si="3"/>
        <v>104</v>
      </c>
      <c r="D105" s="69" t="s">
        <v>1313</v>
      </c>
      <c r="E105" s="70" t="s">
        <v>1314</v>
      </c>
      <c r="F105" s="69" t="s">
        <v>1063</v>
      </c>
      <c r="G105" s="71">
        <v>46121.497916666667</v>
      </c>
      <c r="H105" s="71">
        <v>46121.46875</v>
      </c>
      <c r="I105" s="69" t="s">
        <v>1064</v>
      </c>
      <c r="J105" s="70" t="s">
        <v>1088</v>
      </c>
      <c r="K105" s="70" t="s">
        <v>1066</v>
      </c>
      <c r="L105" s="69" t="s">
        <v>1078</v>
      </c>
      <c r="M105" s="65"/>
    </row>
    <row r="106" spans="3:13" ht="28.5" x14ac:dyDescent="0.2">
      <c r="C106" s="66">
        <f t="shared" si="3"/>
        <v>105</v>
      </c>
      <c r="D106" s="69" t="s">
        <v>1315</v>
      </c>
      <c r="E106" s="70" t="s">
        <v>1316</v>
      </c>
      <c r="F106" s="69" t="s">
        <v>1070</v>
      </c>
      <c r="G106" s="71">
        <v>46121.452777777777</v>
      </c>
      <c r="H106" s="71">
        <v>46121.402777777781</v>
      </c>
      <c r="I106" s="69" t="s">
        <v>1064</v>
      </c>
      <c r="J106" s="70" t="s">
        <v>1088</v>
      </c>
      <c r="K106" s="70" t="s">
        <v>1072</v>
      </c>
      <c r="L106" s="69" t="s">
        <v>1095</v>
      </c>
      <c r="M106" s="65"/>
    </row>
    <row r="107" spans="3:13" ht="14.25" x14ac:dyDescent="0.2">
      <c r="C107" s="66">
        <f t="shared" si="3"/>
        <v>106</v>
      </c>
      <c r="D107" s="69" t="s">
        <v>1317</v>
      </c>
      <c r="E107" s="70" t="s">
        <v>1318</v>
      </c>
      <c r="F107" s="69" t="s">
        <v>1063</v>
      </c>
      <c r="G107" s="71">
        <v>46121.39166666667</v>
      </c>
      <c r="H107" s="71">
        <v>46120.638888888891</v>
      </c>
      <c r="I107" s="69" t="s">
        <v>1064</v>
      </c>
      <c r="J107" s="70" t="s">
        <v>1207</v>
      </c>
      <c r="K107" s="70" t="s">
        <v>1072</v>
      </c>
      <c r="L107" s="69" t="s">
        <v>1073</v>
      </c>
      <c r="M107" s="65"/>
    </row>
    <row r="108" spans="3:13" ht="25.5" x14ac:dyDescent="0.2">
      <c r="C108" s="66">
        <f t="shared" si="3"/>
        <v>107</v>
      </c>
      <c r="D108" s="69" t="s">
        <v>1319</v>
      </c>
      <c r="E108" s="70" t="s">
        <v>1320</v>
      </c>
      <c r="F108" s="69" t="s">
        <v>1063</v>
      </c>
      <c r="G108" s="71">
        <v>46121.39166666667</v>
      </c>
      <c r="H108" s="71">
        <v>46119.645833333336</v>
      </c>
      <c r="I108" s="69" t="s">
        <v>1172</v>
      </c>
      <c r="J108" s="70" t="s">
        <v>1071</v>
      </c>
      <c r="K108" s="70" t="s">
        <v>1072</v>
      </c>
      <c r="L108" s="69" t="s">
        <v>1073</v>
      </c>
      <c r="M108" s="65"/>
    </row>
    <row r="109" spans="3:13" ht="25.5" x14ac:dyDescent="0.2">
      <c r="C109" s="66">
        <f t="shared" si="3"/>
        <v>108</v>
      </c>
      <c r="D109" s="69" t="s">
        <v>1321</v>
      </c>
      <c r="E109" s="70" t="s">
        <v>1115</v>
      </c>
      <c r="F109" s="69" t="s">
        <v>1063</v>
      </c>
      <c r="G109" s="71">
        <v>46121.390972222223</v>
      </c>
      <c r="H109" s="71">
        <v>46119.645833333336</v>
      </c>
      <c r="I109" s="69" t="s">
        <v>1172</v>
      </c>
      <c r="J109" s="70" t="s">
        <v>1071</v>
      </c>
      <c r="K109" s="70" t="s">
        <v>1072</v>
      </c>
      <c r="L109" s="69" t="s">
        <v>1073</v>
      </c>
      <c r="M109" s="65"/>
    </row>
    <row r="110" spans="3:13" ht="25.5" x14ac:dyDescent="0.2">
      <c r="C110" s="66">
        <f t="shared" si="3"/>
        <v>109</v>
      </c>
      <c r="D110" s="69" t="s">
        <v>1322</v>
      </c>
      <c r="E110" s="70" t="s">
        <v>1323</v>
      </c>
      <c r="F110" s="69" t="s">
        <v>1063</v>
      </c>
      <c r="G110" s="71">
        <v>46121.390972222223</v>
      </c>
      <c r="H110" s="71">
        <v>46119.541666666664</v>
      </c>
      <c r="I110" s="69" t="s">
        <v>1172</v>
      </c>
      <c r="J110" s="70" t="s">
        <v>1071</v>
      </c>
      <c r="K110" s="70" t="s">
        <v>1072</v>
      </c>
      <c r="L110" s="69" t="s">
        <v>1073</v>
      </c>
      <c r="M110" s="65"/>
    </row>
    <row r="111" spans="3:13" ht="14.25" x14ac:dyDescent="0.2">
      <c r="C111" s="66">
        <f t="shared" si="3"/>
        <v>110</v>
      </c>
      <c r="D111" s="69" t="s">
        <v>1324</v>
      </c>
      <c r="E111" s="70" t="s">
        <v>1325</v>
      </c>
      <c r="F111" s="69" t="s">
        <v>1063</v>
      </c>
      <c r="G111" s="71">
        <v>46121.390972222223</v>
      </c>
      <c r="H111" s="71">
        <v>46119.510416666664</v>
      </c>
      <c r="I111" s="69" t="s">
        <v>1172</v>
      </c>
      <c r="J111" s="70" t="s">
        <v>1072</v>
      </c>
      <c r="K111" s="70" t="s">
        <v>1072</v>
      </c>
      <c r="L111" s="69" t="s">
        <v>1073</v>
      </c>
      <c r="M111" s="65"/>
    </row>
    <row r="112" spans="3:13" ht="14.25" x14ac:dyDescent="0.2">
      <c r="C112" s="66">
        <f t="shared" si="3"/>
        <v>111</v>
      </c>
      <c r="D112" s="69" t="s">
        <v>1326</v>
      </c>
      <c r="E112" s="70" t="s">
        <v>1318</v>
      </c>
      <c r="F112" s="69" t="s">
        <v>1063</v>
      </c>
      <c r="G112" s="71">
        <v>46121.390277777777</v>
      </c>
      <c r="H112" s="71">
        <v>46119.482638888891</v>
      </c>
      <c r="I112" s="69" t="s">
        <v>1172</v>
      </c>
      <c r="J112" s="70" t="s">
        <v>1207</v>
      </c>
      <c r="K112" s="70" t="s">
        <v>1072</v>
      </c>
      <c r="L112" s="69" t="s">
        <v>1073</v>
      </c>
      <c r="M112" s="65"/>
    </row>
    <row r="113" spans="3:13" ht="14.25" x14ac:dyDescent="0.2">
      <c r="C113" s="66">
        <f t="shared" si="3"/>
        <v>112</v>
      </c>
      <c r="D113" s="69" t="s">
        <v>1327</v>
      </c>
      <c r="E113" s="70" t="s">
        <v>1282</v>
      </c>
      <c r="F113" s="69" t="s">
        <v>1063</v>
      </c>
      <c r="G113" s="71">
        <v>46121.390277777777</v>
      </c>
      <c r="H113" s="71">
        <v>46119.458333333336</v>
      </c>
      <c r="I113" s="69" t="s">
        <v>1172</v>
      </c>
      <c r="J113" s="70" t="s">
        <v>1119</v>
      </c>
      <c r="K113" s="70" t="s">
        <v>1072</v>
      </c>
      <c r="L113" s="69" t="s">
        <v>1073</v>
      </c>
      <c r="M113" s="65"/>
    </row>
    <row r="114" spans="3:13" ht="28.5" x14ac:dyDescent="0.2">
      <c r="C114" s="66">
        <f t="shared" si="3"/>
        <v>113</v>
      </c>
      <c r="D114" s="69" t="s">
        <v>1328</v>
      </c>
      <c r="E114" s="70" t="s">
        <v>1329</v>
      </c>
      <c r="F114" s="69" t="s">
        <v>1063</v>
      </c>
      <c r="G114" s="71">
        <v>46121.38958333333</v>
      </c>
      <c r="H114" s="71">
        <v>46118.625</v>
      </c>
      <c r="I114" s="69" t="s">
        <v>1064</v>
      </c>
      <c r="J114" s="70" t="s">
        <v>1330</v>
      </c>
      <c r="K114" s="70" t="s">
        <v>1072</v>
      </c>
      <c r="L114" s="69" t="s">
        <v>1141</v>
      </c>
      <c r="M114" s="65"/>
    </row>
    <row r="115" spans="3:13" ht="28.5" x14ac:dyDescent="0.2">
      <c r="C115" s="66">
        <f t="shared" si="3"/>
        <v>114</v>
      </c>
      <c r="D115" s="69" t="s">
        <v>1331</v>
      </c>
      <c r="E115" s="70" t="s">
        <v>1332</v>
      </c>
      <c r="F115" s="69" t="s">
        <v>1063</v>
      </c>
      <c r="G115" s="71">
        <v>46121.38958333333</v>
      </c>
      <c r="H115" s="71">
        <v>46114.722222222219</v>
      </c>
      <c r="I115" s="69" t="s">
        <v>1064</v>
      </c>
      <c r="J115" s="70" t="s">
        <v>1088</v>
      </c>
      <c r="K115" s="70" t="s">
        <v>1072</v>
      </c>
      <c r="L115" s="69" t="s">
        <v>1141</v>
      </c>
      <c r="M115" s="65"/>
    </row>
    <row r="116" spans="3:13" ht="25.5" x14ac:dyDescent="0.2">
      <c r="C116" s="66">
        <f t="shared" si="3"/>
        <v>115</v>
      </c>
      <c r="D116" s="69" t="s">
        <v>1333</v>
      </c>
      <c r="E116" s="70" t="s">
        <v>1334</v>
      </c>
      <c r="F116" s="69" t="s">
        <v>1063</v>
      </c>
      <c r="G116" s="71">
        <v>46121.388888888891</v>
      </c>
      <c r="H116" s="71">
        <v>46114.652777777781</v>
      </c>
      <c r="I116" s="69" t="s">
        <v>1172</v>
      </c>
      <c r="J116" s="70" t="s">
        <v>1071</v>
      </c>
      <c r="K116" s="70" t="s">
        <v>1072</v>
      </c>
      <c r="L116" s="69" t="s">
        <v>1073</v>
      </c>
      <c r="M116" s="65"/>
    </row>
    <row r="117" spans="3:13" ht="25.5" x14ac:dyDescent="0.2">
      <c r="C117" s="66">
        <f t="shared" si="3"/>
        <v>116</v>
      </c>
      <c r="D117" s="69" t="s">
        <v>1335</v>
      </c>
      <c r="E117" s="70" t="s">
        <v>1336</v>
      </c>
      <c r="F117" s="69" t="s">
        <v>1063</v>
      </c>
      <c r="G117" s="71">
        <v>46121.388888888891</v>
      </c>
      <c r="H117" s="71">
        <v>46114.652777777781</v>
      </c>
      <c r="I117" s="69" t="s">
        <v>1172</v>
      </c>
      <c r="J117" s="70" t="s">
        <v>1071</v>
      </c>
      <c r="K117" s="70" t="s">
        <v>1072</v>
      </c>
      <c r="L117" s="69" t="s">
        <v>1073</v>
      </c>
      <c r="M117" s="65"/>
    </row>
    <row r="118" spans="3:13" ht="28.5" x14ac:dyDescent="0.2">
      <c r="C118" s="66">
        <f t="shared" si="3"/>
        <v>117</v>
      </c>
      <c r="D118" s="69" t="s">
        <v>1337</v>
      </c>
      <c r="E118" s="70" t="s">
        <v>1338</v>
      </c>
      <c r="F118" s="69" t="s">
        <v>1063</v>
      </c>
      <c r="G118" s="71">
        <v>46121.388888888891</v>
      </c>
      <c r="H118" s="71">
        <v>46114.576388888891</v>
      </c>
      <c r="I118" s="69" t="s">
        <v>1064</v>
      </c>
      <c r="J118" s="70" t="s">
        <v>1204</v>
      </c>
      <c r="K118" s="70" t="s">
        <v>1072</v>
      </c>
      <c r="L118" s="69" t="s">
        <v>1103</v>
      </c>
      <c r="M118" s="65"/>
    </row>
    <row r="119" spans="3:13" ht="28.5" x14ac:dyDescent="0.2">
      <c r="C119" s="66">
        <f t="shared" si="3"/>
        <v>118</v>
      </c>
      <c r="D119" s="69" t="s">
        <v>1339</v>
      </c>
      <c r="E119" s="70" t="s">
        <v>1340</v>
      </c>
      <c r="F119" s="69" t="s">
        <v>1063</v>
      </c>
      <c r="G119" s="71">
        <v>46121.388888888891</v>
      </c>
      <c r="H119" s="71">
        <v>46114.548611111109</v>
      </c>
      <c r="I119" s="69" t="s">
        <v>1064</v>
      </c>
      <c r="J119" s="70" t="s">
        <v>1140</v>
      </c>
      <c r="K119" s="70" t="s">
        <v>1072</v>
      </c>
      <c r="L119" s="69" t="s">
        <v>1141</v>
      </c>
      <c r="M119" s="65"/>
    </row>
    <row r="120" spans="3:13" ht="14.25" x14ac:dyDescent="0.2">
      <c r="C120" s="66">
        <f t="shared" si="3"/>
        <v>119</v>
      </c>
      <c r="D120" s="69" t="s">
        <v>1341</v>
      </c>
      <c r="E120" s="70" t="s">
        <v>1342</v>
      </c>
      <c r="F120" s="69" t="s">
        <v>1063</v>
      </c>
      <c r="G120" s="71">
        <v>46121.388194444444</v>
      </c>
      <c r="H120" s="71">
        <v>46113.704861111109</v>
      </c>
      <c r="I120" s="69" t="s">
        <v>1172</v>
      </c>
      <c r="J120" s="70" t="s">
        <v>1207</v>
      </c>
      <c r="K120" s="70" t="s">
        <v>1072</v>
      </c>
      <c r="L120" s="69" t="s">
        <v>1073</v>
      </c>
      <c r="M120" s="65"/>
    </row>
    <row r="121" spans="3:13" ht="28.5" x14ac:dyDescent="0.2">
      <c r="C121" s="66">
        <f t="shared" si="3"/>
        <v>120</v>
      </c>
      <c r="D121" s="69" t="s">
        <v>1343</v>
      </c>
      <c r="E121" s="70" t="s">
        <v>1344</v>
      </c>
      <c r="F121" s="69" t="s">
        <v>1063</v>
      </c>
      <c r="G121" s="71">
        <v>46121.388194444444</v>
      </c>
      <c r="H121" s="71">
        <v>46113.402777777781</v>
      </c>
      <c r="I121" s="69" t="s">
        <v>1064</v>
      </c>
      <c r="J121" s="70" t="s">
        <v>1088</v>
      </c>
      <c r="K121" s="70" t="s">
        <v>1072</v>
      </c>
      <c r="L121" s="69" t="s">
        <v>1345</v>
      </c>
      <c r="M121" s="65"/>
    </row>
    <row r="122" spans="3:13" ht="25.5" x14ac:dyDescent="0.2">
      <c r="C122" s="66">
        <f t="shared" si="3"/>
        <v>121</v>
      </c>
      <c r="D122" s="69" t="s">
        <v>1346</v>
      </c>
      <c r="E122" s="70" t="s">
        <v>1347</v>
      </c>
      <c r="F122" s="69" t="s">
        <v>1063</v>
      </c>
      <c r="G122" s="71">
        <v>46121.387499999997</v>
      </c>
      <c r="H122" s="71">
        <v>46113.354166666664</v>
      </c>
      <c r="I122" s="69" t="s">
        <v>1064</v>
      </c>
      <c r="J122" s="70" t="s">
        <v>1088</v>
      </c>
      <c r="K122" s="70" t="s">
        <v>1072</v>
      </c>
      <c r="L122" s="69" t="s">
        <v>1073</v>
      </c>
      <c r="M122" s="65"/>
    </row>
    <row r="123" spans="3:13" ht="14.25" x14ac:dyDescent="0.2">
      <c r="C123" s="66">
        <f t="shared" si="3"/>
        <v>122</v>
      </c>
      <c r="D123" s="69" t="s">
        <v>1348</v>
      </c>
      <c r="E123" s="70" t="s">
        <v>1349</v>
      </c>
      <c r="F123" s="69" t="s">
        <v>1063</v>
      </c>
      <c r="G123" s="71">
        <v>46121.386805555558</v>
      </c>
      <c r="H123" s="71">
        <v>46112.689583333333</v>
      </c>
      <c r="I123" s="69" t="s">
        <v>1064</v>
      </c>
      <c r="J123" s="70" t="s">
        <v>1330</v>
      </c>
      <c r="K123" s="70" t="s">
        <v>1072</v>
      </c>
      <c r="L123" s="69" t="s">
        <v>1175</v>
      </c>
      <c r="M123" s="65"/>
    </row>
    <row r="124" spans="3:13" ht="25.5" x14ac:dyDescent="0.2">
      <c r="C124" s="66">
        <f t="shared" si="3"/>
        <v>123</v>
      </c>
      <c r="D124" s="69" t="s">
        <v>1350</v>
      </c>
      <c r="E124" s="70" t="s">
        <v>1351</v>
      </c>
      <c r="F124" s="69" t="s">
        <v>1063</v>
      </c>
      <c r="G124" s="71">
        <v>46121.386805555558</v>
      </c>
      <c r="H124" s="71">
        <v>46112.572916666664</v>
      </c>
      <c r="I124" s="69" t="s">
        <v>1064</v>
      </c>
      <c r="J124" s="70" t="s">
        <v>1207</v>
      </c>
      <c r="K124" s="70" t="s">
        <v>1072</v>
      </c>
      <c r="L124" s="69" t="s">
        <v>1073</v>
      </c>
      <c r="M124" s="65"/>
    </row>
    <row r="125" spans="3:13" ht="14.25" x14ac:dyDescent="0.2">
      <c r="C125" s="66">
        <f t="shared" si="3"/>
        <v>124</v>
      </c>
      <c r="D125" s="69" t="s">
        <v>1352</v>
      </c>
      <c r="E125" s="70" t="s">
        <v>1353</v>
      </c>
      <c r="F125" s="69" t="s">
        <v>1063</v>
      </c>
      <c r="G125" s="71">
        <v>46121.367361111108</v>
      </c>
      <c r="H125" s="71">
        <v>46120.760416666664</v>
      </c>
      <c r="I125" s="69" t="s">
        <v>1064</v>
      </c>
      <c r="J125" s="70" t="s">
        <v>1250</v>
      </c>
      <c r="K125" s="70" t="s">
        <v>1066</v>
      </c>
      <c r="L125" s="69" t="s">
        <v>1067</v>
      </c>
      <c r="M125" s="65"/>
    </row>
    <row r="126" spans="3:13" ht="28.5" x14ac:dyDescent="0.2">
      <c r="C126" s="66">
        <f t="shared" si="3"/>
        <v>125</v>
      </c>
      <c r="D126" s="69" t="s">
        <v>1354</v>
      </c>
      <c r="E126" s="70" t="s">
        <v>1355</v>
      </c>
      <c r="F126" s="69" t="s">
        <v>1063</v>
      </c>
      <c r="G126" s="71">
        <v>46121.361805555556</v>
      </c>
      <c r="H126" s="71">
        <v>46120.725694444445</v>
      </c>
      <c r="I126" s="69" t="s">
        <v>1064</v>
      </c>
      <c r="J126" s="70" t="s">
        <v>1310</v>
      </c>
      <c r="K126" s="70" t="s">
        <v>1066</v>
      </c>
      <c r="L126" s="69" t="s">
        <v>1078</v>
      </c>
      <c r="M126" s="65"/>
    </row>
    <row r="127" spans="3:13" ht="14.25" x14ac:dyDescent="0.2">
      <c r="C127" s="66">
        <f t="shared" si="3"/>
        <v>126</v>
      </c>
      <c r="D127" s="69" t="s">
        <v>1356</v>
      </c>
      <c r="E127" s="70" t="s">
        <v>1357</v>
      </c>
      <c r="F127" s="69" t="s">
        <v>1063</v>
      </c>
      <c r="G127" s="71">
        <v>46121.347916666666</v>
      </c>
      <c r="H127" s="71">
        <v>46120.725694444445</v>
      </c>
      <c r="I127" s="69" t="s">
        <v>1064</v>
      </c>
      <c r="J127" s="70" t="s">
        <v>1310</v>
      </c>
      <c r="K127" s="70" t="s">
        <v>1066</v>
      </c>
      <c r="L127" s="69" t="s">
        <v>1175</v>
      </c>
      <c r="M127" s="65"/>
    </row>
    <row r="128" spans="3:13" ht="14.25" x14ac:dyDescent="0.2">
      <c r="C128" s="66">
        <f t="shared" si="3"/>
        <v>127</v>
      </c>
      <c r="D128" s="69" t="s">
        <v>1358</v>
      </c>
      <c r="E128" s="70" t="s">
        <v>1249</v>
      </c>
      <c r="F128" s="69" t="s">
        <v>1063</v>
      </c>
      <c r="G128" s="71">
        <v>46120.711111111108</v>
      </c>
      <c r="H128" s="71">
        <v>46120.697916666664</v>
      </c>
      <c r="I128" s="69" t="s">
        <v>1172</v>
      </c>
      <c r="J128" s="70" t="s">
        <v>1250</v>
      </c>
      <c r="K128" s="70" t="s">
        <v>1066</v>
      </c>
      <c r="L128" s="69" t="s">
        <v>1067</v>
      </c>
      <c r="M128" s="65"/>
    </row>
    <row r="129" spans="3:13" ht="28.5" x14ac:dyDescent="0.2">
      <c r="C129" s="66">
        <f t="shared" si="3"/>
        <v>128</v>
      </c>
      <c r="D129" s="69" t="s">
        <v>1359</v>
      </c>
      <c r="E129" s="70" t="s">
        <v>1360</v>
      </c>
      <c r="F129" s="69" t="s">
        <v>1063</v>
      </c>
      <c r="G129" s="71">
        <v>46120.709027777775</v>
      </c>
      <c r="H129" s="71">
        <v>46120.513888888891</v>
      </c>
      <c r="I129" s="69" t="s">
        <v>1064</v>
      </c>
      <c r="J129" s="70" t="s">
        <v>1361</v>
      </c>
      <c r="K129" s="70" t="s">
        <v>1066</v>
      </c>
      <c r="L129" s="69" t="s">
        <v>1305</v>
      </c>
      <c r="M129" s="65"/>
    </row>
    <row r="130" spans="3:13" ht="14.25" x14ac:dyDescent="0.2">
      <c r="C130" s="66">
        <f t="shared" ref="C130:C156" si="4">ROW()-1</f>
        <v>129</v>
      </c>
      <c r="D130" s="69" t="s">
        <v>1362</v>
      </c>
      <c r="E130" s="70" t="s">
        <v>1363</v>
      </c>
      <c r="F130" s="69" t="s">
        <v>1063</v>
      </c>
      <c r="G130" s="71">
        <v>46120.7</v>
      </c>
      <c r="H130" s="71">
        <v>46119.493055555555</v>
      </c>
      <c r="I130" s="69" t="s">
        <v>1064</v>
      </c>
      <c r="J130" s="70" t="s">
        <v>1364</v>
      </c>
      <c r="K130" s="70" t="s">
        <v>1066</v>
      </c>
      <c r="L130" s="69" t="s">
        <v>1067</v>
      </c>
      <c r="M130" s="65"/>
    </row>
    <row r="131" spans="3:13" ht="14.25" x14ac:dyDescent="0.2">
      <c r="C131" s="66">
        <f t="shared" si="4"/>
        <v>130</v>
      </c>
      <c r="D131" s="69" t="s">
        <v>1365</v>
      </c>
      <c r="E131" s="70" t="s">
        <v>1249</v>
      </c>
      <c r="F131" s="69" t="s">
        <v>1063</v>
      </c>
      <c r="G131" s="71">
        <v>46120.7</v>
      </c>
      <c r="H131" s="71">
        <v>46119.618055555555</v>
      </c>
      <c r="I131" s="69" t="s">
        <v>1172</v>
      </c>
      <c r="J131" s="70" t="s">
        <v>1250</v>
      </c>
      <c r="K131" s="70" t="s">
        <v>1066</v>
      </c>
      <c r="L131" s="69" t="s">
        <v>1067</v>
      </c>
      <c r="M131" s="65"/>
    </row>
    <row r="132" spans="3:13" ht="14.25" x14ac:dyDescent="0.2">
      <c r="C132" s="66">
        <f t="shared" si="4"/>
        <v>131</v>
      </c>
      <c r="D132" s="69" t="s">
        <v>1366</v>
      </c>
      <c r="E132" s="70" t="s">
        <v>1367</v>
      </c>
      <c r="F132" s="69" t="s">
        <v>1063</v>
      </c>
      <c r="G132" s="71">
        <v>46120.7</v>
      </c>
      <c r="H132" s="71">
        <v>46119.621527777781</v>
      </c>
      <c r="I132" s="69" t="s">
        <v>1172</v>
      </c>
      <c r="J132" s="70" t="s">
        <v>1236</v>
      </c>
      <c r="K132" s="70" t="s">
        <v>1066</v>
      </c>
      <c r="L132" s="69" t="s">
        <v>1067</v>
      </c>
      <c r="M132" s="65"/>
    </row>
    <row r="133" spans="3:13" ht="25.5" x14ac:dyDescent="0.2">
      <c r="C133" s="66">
        <f t="shared" si="4"/>
        <v>132</v>
      </c>
      <c r="D133" s="69" t="s">
        <v>1368</v>
      </c>
      <c r="E133" s="70" t="s">
        <v>1369</v>
      </c>
      <c r="F133" s="69" t="s">
        <v>1063</v>
      </c>
      <c r="G133" s="71">
        <v>46120.7</v>
      </c>
      <c r="H133" s="71">
        <v>46119.645833333336</v>
      </c>
      <c r="I133" s="69" t="s">
        <v>1172</v>
      </c>
      <c r="J133" s="70" t="s">
        <v>1236</v>
      </c>
      <c r="K133" s="70" t="s">
        <v>1066</v>
      </c>
      <c r="L133" s="69" t="s">
        <v>1067</v>
      </c>
      <c r="M133" s="65"/>
    </row>
    <row r="134" spans="3:13" ht="14.25" x14ac:dyDescent="0.2">
      <c r="C134" s="66">
        <f t="shared" si="4"/>
        <v>133</v>
      </c>
      <c r="D134" s="69" t="s">
        <v>1370</v>
      </c>
      <c r="E134" s="70" t="s">
        <v>1371</v>
      </c>
      <c r="F134" s="69" t="s">
        <v>1063</v>
      </c>
      <c r="G134" s="71">
        <v>46120.372916666667</v>
      </c>
      <c r="H134" s="71">
        <v>46120.361111111109</v>
      </c>
      <c r="I134" s="69" t="s">
        <v>1064</v>
      </c>
      <c r="J134" s="70" t="s">
        <v>1372</v>
      </c>
      <c r="K134" s="69"/>
      <c r="L134" s="69"/>
      <c r="M134" s="65"/>
    </row>
    <row r="135" spans="3:13" ht="28.5" x14ac:dyDescent="0.2">
      <c r="C135" s="66">
        <f t="shared" si="4"/>
        <v>134</v>
      </c>
      <c r="D135" s="69" t="s">
        <v>1373</v>
      </c>
      <c r="E135" s="70" t="s">
        <v>1374</v>
      </c>
      <c r="F135" s="69" t="s">
        <v>1063</v>
      </c>
      <c r="G135" s="71">
        <v>46119.70416666667</v>
      </c>
      <c r="H135" s="71">
        <v>46119.464583333334</v>
      </c>
      <c r="I135" s="69" t="s">
        <v>1064</v>
      </c>
      <c r="J135" s="70" t="s">
        <v>1375</v>
      </c>
      <c r="K135" s="70" t="s">
        <v>1066</v>
      </c>
      <c r="L135" s="69" t="s">
        <v>1191</v>
      </c>
      <c r="M135" s="65"/>
    </row>
    <row r="136" spans="3:13" ht="28.5" x14ac:dyDescent="0.2">
      <c r="C136" s="66">
        <f t="shared" si="4"/>
        <v>135</v>
      </c>
      <c r="D136" s="69" t="s">
        <v>1376</v>
      </c>
      <c r="E136" s="70" t="s">
        <v>1377</v>
      </c>
      <c r="F136" s="69" t="s">
        <v>1063</v>
      </c>
      <c r="G136" s="71">
        <v>46119.701388888891</v>
      </c>
      <c r="H136" s="71">
        <v>46119.65625</v>
      </c>
      <c r="I136" s="69" t="s">
        <v>1064</v>
      </c>
      <c r="J136" s="70" t="s">
        <v>1372</v>
      </c>
      <c r="K136" s="69"/>
      <c r="L136" s="69" t="s">
        <v>1191</v>
      </c>
      <c r="M136" s="65"/>
    </row>
    <row r="137" spans="3:13" ht="28.5" x14ac:dyDescent="0.2">
      <c r="C137" s="66">
        <f t="shared" si="4"/>
        <v>136</v>
      </c>
      <c r="D137" s="69" t="s">
        <v>1378</v>
      </c>
      <c r="E137" s="70" t="s">
        <v>1379</v>
      </c>
      <c r="F137" s="69" t="s">
        <v>1063</v>
      </c>
      <c r="G137" s="71">
        <v>46119.492361111108</v>
      </c>
      <c r="H137" s="71">
        <v>46119.457638888889</v>
      </c>
      <c r="I137" s="69" t="s">
        <v>1064</v>
      </c>
      <c r="J137" s="70" t="s">
        <v>1247</v>
      </c>
      <c r="K137" s="70" t="s">
        <v>1066</v>
      </c>
      <c r="L137" s="69" t="s">
        <v>1380</v>
      </c>
      <c r="M137" s="65"/>
    </row>
    <row r="138" spans="3:13" ht="28.5" x14ac:dyDescent="0.2">
      <c r="C138" s="66">
        <f t="shared" si="4"/>
        <v>137</v>
      </c>
      <c r="D138" s="69" t="s">
        <v>1381</v>
      </c>
      <c r="E138" s="70" t="s">
        <v>1382</v>
      </c>
      <c r="F138" s="69" t="s">
        <v>1063</v>
      </c>
      <c r="G138" s="71">
        <v>46119.490277777775</v>
      </c>
      <c r="H138" s="71">
        <v>46119.434027777781</v>
      </c>
      <c r="I138" s="69" t="s">
        <v>1064</v>
      </c>
      <c r="J138" s="70" t="s">
        <v>1088</v>
      </c>
      <c r="K138" s="70" t="s">
        <v>1066</v>
      </c>
      <c r="L138" s="69" t="s">
        <v>1078</v>
      </c>
      <c r="M138" s="65"/>
    </row>
    <row r="139" spans="3:13" ht="14.25" x14ac:dyDescent="0.2">
      <c r="C139" s="66">
        <f t="shared" si="4"/>
        <v>138</v>
      </c>
      <c r="D139" s="69" t="s">
        <v>1383</v>
      </c>
      <c r="E139" s="70" t="s">
        <v>1384</v>
      </c>
      <c r="F139" s="69" t="s">
        <v>1063</v>
      </c>
      <c r="G139" s="71">
        <v>46118.629166666666</v>
      </c>
      <c r="H139" s="71">
        <v>46118.62777777778</v>
      </c>
      <c r="I139" s="69" t="s">
        <v>1064</v>
      </c>
      <c r="J139" s="70" t="s">
        <v>1385</v>
      </c>
      <c r="K139" s="70" t="s">
        <v>1066</v>
      </c>
      <c r="L139" s="69" t="s">
        <v>1067</v>
      </c>
      <c r="M139" s="65"/>
    </row>
    <row r="140" spans="3:13" ht="14.25" x14ac:dyDescent="0.2">
      <c r="C140" s="66">
        <f t="shared" si="4"/>
        <v>139</v>
      </c>
      <c r="D140" s="69" t="s">
        <v>1386</v>
      </c>
      <c r="E140" s="70" t="s">
        <v>1387</v>
      </c>
      <c r="F140" s="69" t="s">
        <v>1063</v>
      </c>
      <c r="G140" s="71">
        <v>46118.59097222222</v>
      </c>
      <c r="H140" s="71">
        <v>46118.479166666664</v>
      </c>
      <c r="I140" s="69" t="s">
        <v>1064</v>
      </c>
      <c r="J140" s="70" t="s">
        <v>1088</v>
      </c>
      <c r="K140" s="70" t="s">
        <v>1066</v>
      </c>
      <c r="L140" s="69"/>
      <c r="M140" s="65"/>
    </row>
    <row r="141" spans="3:13" ht="14.25" x14ac:dyDescent="0.2">
      <c r="C141" s="66">
        <f t="shared" si="4"/>
        <v>140</v>
      </c>
      <c r="D141" s="69" t="s">
        <v>1388</v>
      </c>
      <c r="E141" s="70" t="s">
        <v>1389</v>
      </c>
      <c r="F141" s="69" t="s">
        <v>1063</v>
      </c>
      <c r="G141" s="71">
        <v>46118.470138888886</v>
      </c>
      <c r="H141" s="71">
        <v>46118.458333333336</v>
      </c>
      <c r="I141" s="69" t="s">
        <v>1064</v>
      </c>
      <c r="J141" s="70" t="s">
        <v>1236</v>
      </c>
      <c r="K141" s="70" t="s">
        <v>1066</v>
      </c>
      <c r="L141" s="69" t="s">
        <v>1067</v>
      </c>
      <c r="M141" s="65"/>
    </row>
    <row r="142" spans="3:13" ht="14.25" x14ac:dyDescent="0.2">
      <c r="C142" s="66">
        <f t="shared" si="4"/>
        <v>141</v>
      </c>
      <c r="D142" s="69" t="s">
        <v>1390</v>
      </c>
      <c r="E142" s="70" t="s">
        <v>1391</v>
      </c>
      <c r="F142" s="69" t="s">
        <v>1063</v>
      </c>
      <c r="G142" s="71">
        <v>46118.45</v>
      </c>
      <c r="H142" s="71">
        <v>46118.445833333331</v>
      </c>
      <c r="I142" s="69" t="s">
        <v>1064</v>
      </c>
      <c r="J142" s="70" t="s">
        <v>1250</v>
      </c>
      <c r="K142" s="70" t="s">
        <v>1066</v>
      </c>
      <c r="L142" s="69" t="s">
        <v>1067</v>
      </c>
      <c r="M142" s="65"/>
    </row>
    <row r="143" spans="3:13" ht="25.5" x14ac:dyDescent="0.2">
      <c r="C143" s="66">
        <f t="shared" si="4"/>
        <v>142</v>
      </c>
      <c r="D143" s="69" t="s">
        <v>1392</v>
      </c>
      <c r="E143" s="70" t="s">
        <v>1393</v>
      </c>
      <c r="F143" s="69" t="s">
        <v>1063</v>
      </c>
      <c r="G143" s="71">
        <v>46114.609722222223</v>
      </c>
      <c r="H143" s="71">
        <v>46114.559027777781</v>
      </c>
      <c r="I143" s="69" t="s">
        <v>1064</v>
      </c>
      <c r="J143" s="70" t="s">
        <v>1310</v>
      </c>
      <c r="K143" s="70" t="s">
        <v>1066</v>
      </c>
      <c r="L143" s="69" t="s">
        <v>1175</v>
      </c>
      <c r="M143" s="65"/>
    </row>
    <row r="144" spans="3:13" ht="28.5" x14ac:dyDescent="0.2">
      <c r="C144" s="66">
        <f t="shared" si="4"/>
        <v>143</v>
      </c>
      <c r="D144" s="69" t="s">
        <v>1394</v>
      </c>
      <c r="E144" s="70" t="s">
        <v>1309</v>
      </c>
      <c r="F144" s="69" t="s">
        <v>1063</v>
      </c>
      <c r="G144" s="71">
        <v>46114.472916666666</v>
      </c>
      <c r="H144" s="71">
        <v>46114.378472222219</v>
      </c>
      <c r="I144" s="69" t="s">
        <v>1064</v>
      </c>
      <c r="J144" s="70" t="s">
        <v>1310</v>
      </c>
      <c r="K144" s="70" t="s">
        <v>1066</v>
      </c>
      <c r="L144" s="69" t="s">
        <v>1078</v>
      </c>
      <c r="M144" s="65"/>
    </row>
    <row r="145" spans="3:13" ht="14.25" x14ac:dyDescent="0.2">
      <c r="C145" s="66">
        <f t="shared" si="4"/>
        <v>144</v>
      </c>
      <c r="D145" s="69" t="s">
        <v>1395</v>
      </c>
      <c r="E145" s="70" t="s">
        <v>1396</v>
      </c>
      <c r="F145" s="69" t="s">
        <v>1063</v>
      </c>
      <c r="G145" s="71">
        <v>46114.383333333331</v>
      </c>
      <c r="H145" s="71">
        <v>46113.864583333336</v>
      </c>
      <c r="I145" s="69" t="s">
        <v>1172</v>
      </c>
      <c r="J145" s="70" t="s">
        <v>1236</v>
      </c>
      <c r="K145" s="70" t="s">
        <v>1066</v>
      </c>
      <c r="L145" s="69" t="s">
        <v>1067</v>
      </c>
      <c r="M145" s="65"/>
    </row>
    <row r="146" spans="3:13" ht="25.5" x14ac:dyDescent="0.2">
      <c r="C146" s="66">
        <f t="shared" si="4"/>
        <v>145</v>
      </c>
      <c r="D146" s="69" t="s">
        <v>1397</v>
      </c>
      <c r="E146" s="70" t="s">
        <v>1398</v>
      </c>
      <c r="F146" s="69" t="s">
        <v>1063</v>
      </c>
      <c r="G146" s="71">
        <v>46114.382638888892</v>
      </c>
      <c r="H146" s="71">
        <v>46113.857638888891</v>
      </c>
      <c r="I146" s="69" t="s">
        <v>1172</v>
      </c>
      <c r="J146" s="70" t="s">
        <v>1236</v>
      </c>
      <c r="K146" s="70" t="s">
        <v>1066</v>
      </c>
      <c r="L146" s="69" t="s">
        <v>1067</v>
      </c>
      <c r="M146" s="65"/>
    </row>
    <row r="147" spans="3:13" ht="28.5" x14ac:dyDescent="0.2">
      <c r="C147" s="66">
        <f t="shared" si="4"/>
        <v>146</v>
      </c>
      <c r="D147" s="69" t="s">
        <v>1399</v>
      </c>
      <c r="E147" s="70" t="s">
        <v>1400</v>
      </c>
      <c r="F147" s="69" t="s">
        <v>1063</v>
      </c>
      <c r="G147" s="71">
        <v>46113.802083333336</v>
      </c>
      <c r="H147" s="71">
        <v>46113.475694444445</v>
      </c>
      <c r="I147" s="69" t="s">
        <v>1064</v>
      </c>
      <c r="J147" s="70" t="s">
        <v>1310</v>
      </c>
      <c r="K147" s="70" t="s">
        <v>1066</v>
      </c>
      <c r="L147" s="69" t="s">
        <v>1078</v>
      </c>
      <c r="M147" s="65"/>
    </row>
    <row r="148" spans="3:13" ht="63.75" x14ac:dyDescent="0.2">
      <c r="C148" s="66">
        <f t="shared" si="4"/>
        <v>147</v>
      </c>
      <c r="D148" s="69" t="s">
        <v>1401</v>
      </c>
      <c r="E148" s="70" t="s">
        <v>1402</v>
      </c>
      <c r="F148" s="69" t="s">
        <v>1063</v>
      </c>
      <c r="G148" s="71">
        <v>46113.667361111111</v>
      </c>
      <c r="H148" s="71">
        <v>46111.600694444445</v>
      </c>
      <c r="I148" s="69" t="s">
        <v>1403</v>
      </c>
      <c r="J148" s="70" t="s">
        <v>1330</v>
      </c>
      <c r="K148" s="70" t="s">
        <v>1066</v>
      </c>
      <c r="L148" s="69" t="s">
        <v>1103</v>
      </c>
      <c r="M148" s="65"/>
    </row>
    <row r="149" spans="3:13" ht="25.5" x14ac:dyDescent="0.2">
      <c r="C149" s="66">
        <f t="shared" si="4"/>
        <v>148</v>
      </c>
      <c r="D149" s="69" t="s">
        <v>1404</v>
      </c>
      <c r="E149" s="70" t="s">
        <v>1405</v>
      </c>
      <c r="F149" s="69" t="s">
        <v>1063</v>
      </c>
      <c r="G149" s="71">
        <v>46113.643055555556</v>
      </c>
      <c r="H149" s="71">
        <v>46112.458333333336</v>
      </c>
      <c r="I149" s="69" t="s">
        <v>1064</v>
      </c>
      <c r="J149" s="70" t="s">
        <v>1088</v>
      </c>
      <c r="K149" s="70" t="s">
        <v>1066</v>
      </c>
      <c r="L149" s="69" t="s">
        <v>1067</v>
      </c>
      <c r="M149" s="65"/>
    </row>
    <row r="150" spans="3:13" ht="28.5" x14ac:dyDescent="0.2">
      <c r="C150" s="66">
        <f t="shared" si="4"/>
        <v>149</v>
      </c>
      <c r="D150" s="69" t="s">
        <v>1406</v>
      </c>
      <c r="E150" s="70" t="s">
        <v>1407</v>
      </c>
      <c r="F150" s="69" t="s">
        <v>1063</v>
      </c>
      <c r="G150" s="71">
        <v>46113.411111111112</v>
      </c>
      <c r="H150" s="71">
        <v>46112.659722222219</v>
      </c>
      <c r="I150" s="69" t="s">
        <v>1064</v>
      </c>
      <c r="J150" s="70" t="s">
        <v>1088</v>
      </c>
      <c r="K150" s="70" t="s">
        <v>1066</v>
      </c>
      <c r="L150" s="69" t="s">
        <v>1229</v>
      </c>
      <c r="M150" s="65"/>
    </row>
    <row r="151" spans="3:13" ht="28.5" x14ac:dyDescent="0.2">
      <c r="C151" s="66">
        <f t="shared" si="4"/>
        <v>150</v>
      </c>
      <c r="D151" s="69" t="s">
        <v>1408</v>
      </c>
      <c r="E151" s="70" t="s">
        <v>1309</v>
      </c>
      <c r="F151" s="69" t="s">
        <v>1063</v>
      </c>
      <c r="G151" s="71">
        <v>46113.394444444442</v>
      </c>
      <c r="H151" s="71">
        <v>46113.364583333336</v>
      </c>
      <c r="I151" s="69" t="s">
        <v>1064</v>
      </c>
      <c r="J151" s="70" t="s">
        <v>1310</v>
      </c>
      <c r="K151" s="70" t="s">
        <v>1066</v>
      </c>
      <c r="L151" s="69" t="s">
        <v>1078</v>
      </c>
      <c r="M151" s="65"/>
    </row>
    <row r="152" spans="3:13" ht="14.25" x14ac:dyDescent="0.2">
      <c r="C152" s="66">
        <f t="shared" si="4"/>
        <v>151</v>
      </c>
      <c r="D152" s="69" t="s">
        <v>1409</v>
      </c>
      <c r="E152" s="70" t="s">
        <v>1410</v>
      </c>
      <c r="F152" s="69" t="s">
        <v>1063</v>
      </c>
      <c r="G152" s="71">
        <v>46113.366666666669</v>
      </c>
      <c r="H152" s="71">
        <v>46112.690972222219</v>
      </c>
      <c r="I152" s="69" t="s">
        <v>1064</v>
      </c>
      <c r="J152" s="70" t="s">
        <v>1072</v>
      </c>
      <c r="K152" s="69"/>
      <c r="L152" s="69"/>
      <c r="M152" s="65"/>
    </row>
    <row r="153" spans="3:13" ht="14.25" x14ac:dyDescent="0.2">
      <c r="C153" s="66">
        <f t="shared" si="4"/>
        <v>152</v>
      </c>
      <c r="D153" s="69" t="s">
        <v>1411</v>
      </c>
      <c r="E153" s="70" t="s">
        <v>1412</v>
      </c>
      <c r="F153" s="69" t="s">
        <v>1063</v>
      </c>
      <c r="G153" s="71">
        <v>46113.365972222222</v>
      </c>
      <c r="H153" s="71">
        <v>46112.611111111109</v>
      </c>
      <c r="I153" s="69" t="s">
        <v>1064</v>
      </c>
      <c r="J153" s="70" t="s">
        <v>1088</v>
      </c>
      <c r="K153" s="69"/>
      <c r="L153" s="69"/>
      <c r="M153" s="65"/>
    </row>
    <row r="154" spans="3:13" ht="25.5" x14ac:dyDescent="0.2">
      <c r="C154" s="66">
        <f t="shared" si="4"/>
        <v>153</v>
      </c>
      <c r="D154" s="69" t="s">
        <v>1413</v>
      </c>
      <c r="E154" s="70" t="s">
        <v>1115</v>
      </c>
      <c r="F154" s="69" t="s">
        <v>1063</v>
      </c>
      <c r="G154" s="71">
        <v>46113.365972222222</v>
      </c>
      <c r="H154" s="71">
        <v>46112.569444444445</v>
      </c>
      <c r="I154" s="69" t="s">
        <v>1064</v>
      </c>
      <c r="J154" s="70" t="s">
        <v>1071</v>
      </c>
      <c r="K154" s="69"/>
      <c r="L154" s="69"/>
      <c r="M154" s="65"/>
    </row>
    <row r="155" spans="3:13" ht="25.5" x14ac:dyDescent="0.2">
      <c r="C155" s="66">
        <f t="shared" si="4"/>
        <v>154</v>
      </c>
      <c r="D155" s="69" t="s">
        <v>1414</v>
      </c>
      <c r="E155" s="70" t="s">
        <v>1115</v>
      </c>
      <c r="F155" s="69" t="s">
        <v>1063</v>
      </c>
      <c r="G155" s="71">
        <v>46113.365972222222</v>
      </c>
      <c r="H155" s="71">
        <v>46112.513888888891</v>
      </c>
      <c r="I155" s="69" t="s">
        <v>1064</v>
      </c>
      <c r="J155" s="70" t="s">
        <v>1071</v>
      </c>
      <c r="K155" s="69"/>
      <c r="L155" s="69"/>
      <c r="M155" s="65"/>
    </row>
    <row r="156" spans="3:13" ht="28.5" x14ac:dyDescent="0.2">
      <c r="C156" s="77">
        <f t="shared" si="4"/>
        <v>155</v>
      </c>
      <c r="D156" s="78" t="s">
        <v>1415</v>
      </c>
      <c r="E156" s="79" t="s">
        <v>1416</v>
      </c>
      <c r="F156" s="78" t="s">
        <v>1063</v>
      </c>
      <c r="G156" s="80">
        <v>46113.365972222222</v>
      </c>
      <c r="H156" s="80">
        <v>46105.520833333336</v>
      </c>
      <c r="I156" s="78" t="s">
        <v>1064</v>
      </c>
      <c r="J156" s="79" t="s">
        <v>1417</v>
      </c>
      <c r="K156" s="79" t="s">
        <v>1072</v>
      </c>
      <c r="L156" s="78" t="s">
        <v>1141</v>
      </c>
      <c r="M156" s="81"/>
    </row>
  </sheetData>
  <hyperlinks>
    <hyperlink ref="E3" r:id="rId1" display="https://soporte.quito-turismo.gob.ec/front/ticket.form.php?id=2054" xr:uid="{777132B5-5B4D-4529-B3FC-DB385A44126F}"/>
    <hyperlink ref="J3" r:id="rId2" display="https://soporte.quito-turismo.gob.ec/front/user.form.php?id=32" xr:uid="{4BAE66CD-76DF-4A21-B0A2-4CC70EE641DE}"/>
    <hyperlink ref="K3" r:id="rId3" display="https://soporte.quito-turismo.gob.ec/front/user.form.php?id=31" xr:uid="{F768781A-F9DE-43BB-A642-1915E29859E6}"/>
    <hyperlink ref="E4" r:id="rId4" display="https://soporte.quito-turismo.gob.ec/front/ticket.form.php?id=2053" xr:uid="{56BC72E8-3219-4B86-8213-EF06F4236AD7}"/>
    <hyperlink ref="J4" r:id="rId5" display="https://soporte.quito-turismo.gob.ec/front/user.form.php?id=67" xr:uid="{4E8B19E0-243F-4E29-8921-D014AEEC1401}"/>
    <hyperlink ref="K4" r:id="rId6" display="https://soporte.quito-turismo.gob.ec/front/user.form.php?id=31" xr:uid="{63B0FEDE-0535-484E-A505-C7701B91B0D5}"/>
    <hyperlink ref="E5" r:id="rId7" display="https://soporte.quito-turismo.gob.ec/front/ticket.form.php?id=2052" xr:uid="{B2400E81-CEAF-4D6C-A89E-CA9D79079C1E}"/>
    <hyperlink ref="J5" r:id="rId8" display="https://soporte.quito-turismo.gob.ec/front/user.form.php?id=79" xr:uid="{178A6ACE-292D-4080-B7F3-F7E271611E5D}"/>
    <hyperlink ref="K5" r:id="rId9" display="https://soporte.quito-turismo.gob.ec/front/user.form.php?id=31" xr:uid="{BBA0D163-F5EC-45F1-AC01-45FC58E127AE}"/>
    <hyperlink ref="E6" r:id="rId10" display="https://soporte.quito-turismo.gob.ec/front/ticket.form.php?id=2051" xr:uid="{E148C72F-EAA6-4CA2-8DDB-2617E33934F0}"/>
    <hyperlink ref="J6" r:id="rId11" display="https://soporte.quito-turismo.gob.ec/front/user.form.php?id=12" xr:uid="{9C0635BF-AC4B-481E-BB12-CF19D10D5AB0}"/>
    <hyperlink ref="K6" r:id="rId12" display="https://soporte.quito-turismo.gob.ec/front/user.form.php?id=39" xr:uid="{183FD075-3B76-4130-9A59-FF61B4A798EC}"/>
    <hyperlink ref="E7" r:id="rId13" display="https://soporte.quito-turismo.gob.ec/front/ticket.form.php?id=2050&amp;forcetab=Ticket$2" xr:uid="{60257350-BCB4-4402-A0D1-130B72610B75}"/>
    <hyperlink ref="J7" r:id="rId14" display="https://soporte.quito-turismo.gob.ec/front/user.form.php?id=30" xr:uid="{37E6675C-BFFF-47BC-8EBF-86F238A43408}"/>
    <hyperlink ref="K7" r:id="rId15" display="https://soporte.quito-turismo.gob.ec/front/user.form.php?id=39" xr:uid="{5567DA3E-44C0-4AF1-B75D-F4632CE09115}"/>
    <hyperlink ref="E8" r:id="rId16" display="https://soporte.quito-turismo.gob.ec/front/ticket.form.php?id=2049" xr:uid="{F2BBC4E9-C4A1-408B-B749-4C6D29C45A64}"/>
    <hyperlink ref="J8" r:id="rId17" display="https://soporte.quito-turismo.gob.ec/front/user.form.php?id=79" xr:uid="{DF090383-A4C3-4068-84E8-2365B3E9CB8E}"/>
    <hyperlink ref="K8" r:id="rId18" display="https://soporte.quito-turismo.gob.ec/front/user.form.php?id=31" xr:uid="{8367C220-C853-4472-BD02-C5384C5613AF}"/>
    <hyperlink ref="E9" r:id="rId19" display="https://soporte.quito-turismo.gob.ec/front/ticket.form.php?id=2047" xr:uid="{619D3578-8B8E-49E4-9BB0-E3D572923676}"/>
    <hyperlink ref="J9" r:id="rId20" display="https://soporte.quito-turismo.gob.ec/front/user.form.php?id=30" xr:uid="{51A64C03-87CE-4E8F-AFE5-0CA937C71665}"/>
    <hyperlink ref="K9" r:id="rId21" display="https://soporte.quito-turismo.gob.ec/front/user.form.php?id=39" xr:uid="{FA43AF8C-3545-479B-858B-87320584C860}"/>
    <hyperlink ref="E10" r:id="rId22" display="https://soporte.quito-turismo.gob.ec/front/ticket.form.php?id=2048" xr:uid="{F292E79A-0250-4FC5-AB08-EB8E7EC1A6B6}"/>
    <hyperlink ref="J10" r:id="rId23" display="https://soporte.quito-turismo.gob.ec/front/user.form.php?id=30" xr:uid="{E0BD6510-069D-4D1F-8B87-106635A1B616}"/>
    <hyperlink ref="K10" r:id="rId24" display="https://soporte.quito-turismo.gob.ec/front/user.form.php?id=39" xr:uid="{1F428D27-4539-4293-BEF9-6F968007A7DF}"/>
    <hyperlink ref="E11" r:id="rId25" display="https://soporte.quito-turismo.gob.ec/front/ticket.form.php?id=2043" xr:uid="{07BEBE44-0998-4A08-BCF6-F9D2BE1ABD3C}"/>
    <hyperlink ref="J11" r:id="rId26" display="https://soporte.quito-turismo.gob.ec/front/user.form.php?id=16" xr:uid="{61EE1F18-FCC0-41B2-A12F-80EA9605A024}"/>
    <hyperlink ref="K11" r:id="rId27" display="https://soporte.quito-turismo.gob.ec/front/user.form.php?id=2" xr:uid="{A2CFC062-9748-4A68-BD72-899AA7FCE4E3}"/>
    <hyperlink ref="E12" r:id="rId28" display="https://soporte.quito-turismo.gob.ec/front/ticket.form.php?id=2046" xr:uid="{7D7C3160-1C14-425B-B530-F15B76A307AB}"/>
    <hyperlink ref="J12" r:id="rId29" display="https://soporte.quito-turismo.gob.ec/front/user.form.php?id=110" xr:uid="{C0DBDA91-B5DD-4615-A30E-4F30A22A2359}"/>
    <hyperlink ref="K12" r:id="rId30" display="https://soporte.quito-turismo.gob.ec/front/user.form.php?id=31" xr:uid="{437CCFE1-CED1-4835-83EC-E8D20786DA63}"/>
    <hyperlink ref="E13" r:id="rId31" display="https://soporte.quito-turismo.gob.ec/front/ticket.form.php?id=2011" xr:uid="{166EEFA7-ACD0-4850-B4EC-B61126A86E43}"/>
    <hyperlink ref="J13" r:id="rId32" display="https://soporte.quito-turismo.gob.ec/front/user.form.php?id=30" xr:uid="{88D03C6E-1E2B-43A6-9237-37F769050726}"/>
    <hyperlink ref="K13" r:id="rId33" display="https://soporte.quito-turismo.gob.ec/front/user.form.php?id=39" xr:uid="{B48EA1E0-9DED-47CD-9915-DFBB02E7E4F7}"/>
    <hyperlink ref="E14" r:id="rId34" display="https://soporte.quito-turismo.gob.ec/front/ticket.form.php?id=2045" xr:uid="{39A55BAB-1B1E-44E7-B7E8-19EC9A56A1E2}"/>
    <hyperlink ref="J14" r:id="rId35" display="https://soporte.quito-turismo.gob.ec/front/user.form.php?id=79" xr:uid="{B783CC58-ED46-4D12-B8B5-17F03C0A15D8}"/>
    <hyperlink ref="E15" r:id="rId36" display="https://soporte.quito-turismo.gob.ec/front/ticket.form.php?id=2044" xr:uid="{4D5F1D84-9EA4-4716-B759-7495FE0DD1D9}"/>
    <hyperlink ref="J15" r:id="rId37" display="https://soporte.quito-turismo.gob.ec/front/user.form.php?id=79" xr:uid="{E2E754D7-1BD4-4755-B6B1-BA1C55B60384}"/>
    <hyperlink ref="K15" r:id="rId38" display="https://soporte.quito-turismo.gob.ec/front/user.form.php?id=31" xr:uid="{68BEC36E-A356-45E2-80D0-801240D03EA0}"/>
    <hyperlink ref="E16" r:id="rId39" display="https://soporte.quito-turismo.gob.ec/front/ticket.form.php?id=2038" xr:uid="{65AE7314-4D63-4EAA-AD4A-5912926ACB99}"/>
    <hyperlink ref="J16" r:id="rId40" display="https://soporte.quito-turismo.gob.ec/front/user.form.php?id=16" xr:uid="{6B85934B-7FB1-4CF1-A13A-05816EA7F0DF}"/>
    <hyperlink ref="E17" r:id="rId41" display="https://soporte.quito-turismo.gob.ec/front/ticket.form.php?id=2014" xr:uid="{6ED18C38-9E7C-40FF-B40E-258A151A8139}"/>
    <hyperlink ref="J17" r:id="rId42" display="https://soporte.quito-turismo.gob.ec/front/user.form.php?id=30" xr:uid="{69C5E91C-F8F7-42E9-9158-50F240978EA3}"/>
    <hyperlink ref="K17" r:id="rId43" display="https://soporte.quito-turismo.gob.ec/front/user.form.php?id=31" xr:uid="{D77FC75F-557F-4E05-8CDD-3C130FC00BC8}"/>
    <hyperlink ref="E18" r:id="rId44" display="https://soporte.quito-turismo.gob.ec/front/ticket.form.php?id=2021" xr:uid="{FE255E67-6FFF-4EB3-8686-58781B1DC3C8}"/>
    <hyperlink ref="J18" r:id="rId45" display="https://soporte.quito-turismo.gob.ec/front/user.form.php?id=32" xr:uid="{19A1A272-C193-4EFC-AD04-3C3DF4A28BC4}"/>
    <hyperlink ref="K18" r:id="rId46" display="https://soporte.quito-turismo.gob.ec/front/user.form.php?id=31" xr:uid="{780DDF23-76C9-4DE5-AD19-F78FB77162DF}"/>
    <hyperlink ref="E19" r:id="rId47" display="https://soporte.quito-turismo.gob.ec/front/ticket.form.php?id=2024" xr:uid="{2F591D2D-DCED-425D-A242-8933A77F041E}"/>
    <hyperlink ref="J19" r:id="rId48" display="https://soporte.quito-turismo.gob.ec/front/user.form.php?id=32" xr:uid="{BABAB839-CA77-4B11-80AE-1C2C96D26E27}"/>
    <hyperlink ref="K19" r:id="rId49" display="https://soporte.quito-turismo.gob.ec/front/user.form.php?id=31" xr:uid="{69E60C94-F246-45B0-8255-4630F471BA88}"/>
    <hyperlink ref="E20" r:id="rId50" display="https://soporte.quito-turismo.gob.ec/front/ticket.form.php?id=2025" xr:uid="{4DE8E7A3-5723-4226-99F2-1654BB93030C}"/>
    <hyperlink ref="J20" r:id="rId51" display="https://soporte.quito-turismo.gob.ec/front/user.form.php?id=88" xr:uid="{BF555D20-5E08-4CED-8BDC-4493FC78CAD7}"/>
    <hyperlink ref="K20" r:id="rId52" display="https://soporte.quito-turismo.gob.ec/front/user.form.php?id=31" xr:uid="{40E74034-94BB-47D7-8C3D-3C2BA3623121}"/>
    <hyperlink ref="E21" r:id="rId53" display="https://soporte.quito-turismo.gob.ec/front/ticket.form.php?id=2026" xr:uid="{F83B8E1C-80D5-41D0-86AA-5D3F3E6C17CE}"/>
    <hyperlink ref="J21" r:id="rId54" display="https://soporte.quito-turismo.gob.ec/front/user.form.php?id=54" xr:uid="{3435C05F-D5AF-46D3-AA47-DF85F6FD9380}"/>
    <hyperlink ref="K21" r:id="rId55" display="https://soporte.quito-turismo.gob.ec/front/user.form.php?id=31" xr:uid="{F51FEBA7-A841-4C59-94DD-907CE83A9FAB}"/>
    <hyperlink ref="E22" r:id="rId56" display="https://soporte.quito-turismo.gob.ec/front/ticket.form.php?id=2028" xr:uid="{2FB27DFD-F6BF-49D7-A22B-65AD4EA77CAD}"/>
    <hyperlink ref="J22" r:id="rId57" display="https://soporte.quito-turismo.gob.ec/front/user.form.php?id=32" xr:uid="{C8145EE6-2104-4404-B38D-F532E0ECCFA7}"/>
    <hyperlink ref="K22" r:id="rId58" display="https://soporte.quito-turismo.gob.ec/front/user.form.php?id=31" xr:uid="{83D92F2D-FA6C-499E-B0BB-E56791FEB933}"/>
    <hyperlink ref="E23" r:id="rId59" display="https://soporte.quito-turismo.gob.ec/front/ticket.form.php?id=2027" xr:uid="{D22FAF99-7EF8-4E2A-AED9-7646BC3DA36C}"/>
    <hyperlink ref="J23" r:id="rId60" display="https://soporte.quito-turismo.gob.ec/front/user.form.php?id=108" xr:uid="{E3942E43-4553-4043-A80C-A94AFF64DE9E}"/>
    <hyperlink ref="K23" r:id="rId61" display="https://soporte.quito-turismo.gob.ec/front/user.form.php?id=31" xr:uid="{6D77BFED-B913-44B2-B4F4-6BBE83F58D83}"/>
    <hyperlink ref="E24" r:id="rId62" display="https://soporte.quito-turismo.gob.ec/front/ticket.form.php?id=2029" xr:uid="{F2C14A25-AE06-4FEA-A526-06FB615692F0}"/>
    <hyperlink ref="J24" r:id="rId63" display="https://soporte.quito-turismo.gob.ec/front/user.form.php?id=32" xr:uid="{2BB4E30B-1B85-417B-A8CD-11C8269747B8}"/>
    <hyperlink ref="K24" r:id="rId64" display="https://soporte.quito-turismo.gob.ec/front/user.form.php?id=31" xr:uid="{8FEE5F8D-8027-4476-88DF-21E8C36EAD64}"/>
    <hyperlink ref="E25" r:id="rId65" display="https://soporte.quito-turismo.gob.ec/front/ticket.form.php?id=2030" xr:uid="{A4D516C5-2572-4E10-B448-2589E89DC7C7}"/>
    <hyperlink ref="J25" r:id="rId66" display="https://soporte.quito-turismo.gob.ec/front/user.form.php?id=32" xr:uid="{7CB573C6-C4F1-46BB-BA63-46709B4A6F97}"/>
    <hyperlink ref="K25" r:id="rId67" display="https://soporte.quito-turismo.gob.ec/front/user.form.php?id=31" xr:uid="{BB5145F6-7248-4F1A-912C-F70F3AD426AF}"/>
    <hyperlink ref="E26" r:id="rId68" display="https://soporte.quito-turismo.gob.ec/front/ticket.form.php?id=2033" xr:uid="{6E0C1F72-1276-4B52-AD58-8F6C540CBF5B}"/>
    <hyperlink ref="J26" r:id="rId69" display="https://soporte.quito-turismo.gob.ec/front/user.form.php?id=32" xr:uid="{6FB23293-447E-4728-8F3A-FEE0C72E4E6D}"/>
    <hyperlink ref="K26" r:id="rId70" display="https://soporte.quito-turismo.gob.ec/front/user.form.php?id=31" xr:uid="{B0159B06-7690-4B79-BCAF-FF3C01AB3EAB}"/>
    <hyperlink ref="E27" r:id="rId71" display="https://soporte.quito-turismo.gob.ec/front/ticket.form.php?id=2035" xr:uid="{244D71BA-A95D-4E11-9984-215AA780EDFC}"/>
    <hyperlink ref="J27" r:id="rId72" display="https://soporte.quito-turismo.gob.ec/front/user.form.php?id=32" xr:uid="{EDBBC1B6-80CA-4BF6-868E-AB6318782C3E}"/>
    <hyperlink ref="K27" r:id="rId73" display="https://soporte.quito-turismo.gob.ec/front/user.form.php?id=31" xr:uid="{6F82E7F2-EF89-44D7-B42C-9C1F577E2017}"/>
    <hyperlink ref="E28" r:id="rId74" display="https://soporte.quito-turismo.gob.ec/front/ticket.form.php?id=2036" xr:uid="{7F7F4AAC-2870-4417-AF94-2658A9217017}"/>
    <hyperlink ref="J28" r:id="rId75" display="https://soporte.quito-turismo.gob.ec/front/user.form.php?id=32" xr:uid="{8CB13945-77C6-41A6-BF8E-7E9729DC67C9}"/>
    <hyperlink ref="K28" r:id="rId76" display="https://soporte.quito-turismo.gob.ec/front/user.form.php?id=31" xr:uid="{D6A59881-B5CD-48E6-9475-E552C4B6F1CE}"/>
    <hyperlink ref="E29" r:id="rId77" display="https://soporte.quito-turismo.gob.ec/front/ticket.form.php?id=2039" xr:uid="{9ED2DB7E-B77D-4DB1-BE93-DB68E2BBAF63}"/>
    <hyperlink ref="J29" r:id="rId78" display="https://soporte.quito-turismo.gob.ec/front/user.form.php?id=79" xr:uid="{D0FB2FDA-EAD2-4E64-B373-6CDB2D987BC7}"/>
    <hyperlink ref="K29" r:id="rId79" display="https://soporte.quito-turismo.gob.ec/front/user.form.php?id=31" xr:uid="{4E57CA8C-C81D-40F5-BA14-C6756484D3A0}"/>
    <hyperlink ref="E30" r:id="rId80" display="https://soporte.quito-turismo.gob.ec/front/ticket.form.php?id=2040" xr:uid="{6139A603-718A-4C21-88A3-B6D96A4B89CC}"/>
    <hyperlink ref="J30" r:id="rId81" display="https://soporte.quito-turismo.gob.ec/front/user.form.php?id=79" xr:uid="{EE75FA74-F8FA-4109-9A37-D768E350E812}"/>
    <hyperlink ref="K30" r:id="rId82" display="https://soporte.quito-turismo.gob.ec/front/user.form.php?id=31" xr:uid="{BDD1A7CC-5600-4BBB-B342-5808DE9203BE}"/>
    <hyperlink ref="E31" r:id="rId83" display="https://soporte.quito-turismo.gob.ec/front/ticket.form.php?id=2042" xr:uid="{4CCDD9B5-973D-4971-8089-D69D57BEC98D}"/>
    <hyperlink ref="J31" r:id="rId84" display="https://soporte.quito-turismo.gob.ec/front/user.form.php?id=35" xr:uid="{C85C430C-EB70-491D-98D6-EA14CDD48252}"/>
    <hyperlink ref="K31" r:id="rId85" display="https://soporte.quito-turismo.gob.ec/front/user.form.php?id=31" xr:uid="{18C1C4C3-D2C9-4A18-A3C3-CC7708FF11C4}"/>
    <hyperlink ref="E32" r:id="rId86" display="https://soporte.quito-turismo.gob.ec/front/ticket.form.php?id=2041" xr:uid="{96D6E192-1AA6-4264-ACF7-EADDBF7A6BA6}"/>
    <hyperlink ref="J32" r:id="rId87" display="https://soporte.quito-turismo.gob.ec/front/user.form.php?id=30" xr:uid="{20C54654-CB03-475A-9FF4-9F61FADBD4F3}"/>
    <hyperlink ref="K32" r:id="rId88" display="https://soporte.quito-turismo.gob.ec/front/user.form.php?id=39" xr:uid="{E7FEE5F7-0F09-4AEB-9012-01B9920799FD}"/>
    <hyperlink ref="E33" r:id="rId89" display="https://soporte.quito-turismo.gob.ec/front/ticket.form.php?id=2034" xr:uid="{AFF29ADC-75E4-41F9-9D0F-C9E53DC88023}"/>
    <hyperlink ref="J33" r:id="rId90" display="https://soporte.quito-turismo.gob.ec/front/user.form.php?id=87" xr:uid="{2E75FE52-E7F7-4FD3-B36C-32D7110D5CBE}"/>
    <hyperlink ref="K33" r:id="rId91" display="https://soporte.quito-turismo.gob.ec/front/user.form.php?id=39" xr:uid="{5DD52CAF-83CC-4AAB-BB79-3FD29FF54057}"/>
    <hyperlink ref="E34" r:id="rId92" display="https://soporte.quito-turismo.gob.ec/front/ticket.form.php?id=2019" xr:uid="{740BC470-81C7-4D60-89D9-EAAC21E506C7}"/>
    <hyperlink ref="J34" r:id="rId93" display="https://soporte.quito-turismo.gob.ec/front/user.form.php?id=87" xr:uid="{B62DB752-DCDF-4544-A0A1-762371A38B66}"/>
    <hyperlink ref="K34" r:id="rId94" display="https://soporte.quito-turismo.gob.ec/front/user.form.php?id=39" xr:uid="{67258B38-3B98-4880-9324-CCDB3E2D4B38}"/>
    <hyperlink ref="E35" r:id="rId95" display="https://soporte.quito-turismo.gob.ec/front/ticket.form.php?id=2018" xr:uid="{8E843CCD-A64E-4603-AAD1-3595805A6BEE}"/>
    <hyperlink ref="J35" r:id="rId96" display="https://soporte.quito-turismo.gob.ec/front/user.form.php?id=87" xr:uid="{DEA117A7-7FFB-458E-851A-4CC0806A3F2E}"/>
    <hyperlink ref="K35" r:id="rId97" display="https://soporte.quito-turismo.gob.ec/front/user.form.php?id=39" xr:uid="{01334DD3-0E8B-4DFE-911C-66D0F1FFC803}"/>
    <hyperlink ref="E36" r:id="rId98" display="https://soporte.quito-turismo.gob.ec/front/ticket.form.php?id=2017" xr:uid="{DE78AAE9-BE59-4F83-A9CA-C5B60A618F91}"/>
    <hyperlink ref="J36" r:id="rId99" display="https://soporte.quito-turismo.gob.ec/front/user.form.php?id=87" xr:uid="{9C192EBC-5C2C-49E2-838B-FB8D01B5E2C9}"/>
    <hyperlink ref="K36" r:id="rId100" display="https://soporte.quito-turismo.gob.ec/front/user.form.php?id=39" xr:uid="{E0617A45-5A84-4572-B492-B45D1F03C5DF}"/>
    <hyperlink ref="E37" r:id="rId101" display="https://soporte.quito-turismo.gob.ec/front/ticket.form.php?id=2016" xr:uid="{FA2CDDEF-01AE-4CB5-8C92-5E4039345325}"/>
    <hyperlink ref="J37" r:id="rId102" display="https://soporte.quito-turismo.gob.ec/front/user.form.php?id=87" xr:uid="{6EE9A6A6-80E1-466B-BA37-4D240CC84A30}"/>
    <hyperlink ref="K37" r:id="rId103" display="https://soporte.quito-turismo.gob.ec/front/user.form.php?id=39" xr:uid="{A088DD1E-8AB4-43AE-849E-B09834F44FA6}"/>
    <hyperlink ref="E38" r:id="rId104" display="https://soporte.quito-turismo.gob.ec/front/ticket.form.php?id=1997" xr:uid="{E1BD2707-0D69-4141-A9A2-50BE1807FBEE}"/>
    <hyperlink ref="J38" r:id="rId105" display="https://soporte.quito-turismo.gob.ec/front/user.form.php?id=87" xr:uid="{F83C6383-0CE4-4D2A-8857-26FC6AF51E21}"/>
    <hyperlink ref="K38" r:id="rId106" display="https://soporte.quito-turismo.gob.ec/front/user.form.php?id=39" xr:uid="{FDF49234-5DFB-404F-B762-4580E8E51724}"/>
    <hyperlink ref="E39" r:id="rId107" display="https://soporte.quito-turismo.gob.ec/front/ticket.form.php?id=2032" xr:uid="{7674A8E3-F467-488D-92BC-9D8ED99A8304}"/>
    <hyperlink ref="J39" r:id="rId108" display="https://soporte.quito-turismo.gob.ec/front/user.form.php?id=16" xr:uid="{BB3673F9-9C60-410C-BFEE-16EE47216047}"/>
    <hyperlink ref="K39" r:id="rId109" display="https://soporte.quito-turismo.gob.ec/front/user.form.php?id=39" xr:uid="{62B6A524-7BBC-4211-9F11-5653477034D4}"/>
    <hyperlink ref="E40" r:id="rId110" display="https://soporte.quito-turismo.gob.ec/front/ticket.form.php?id=1987" xr:uid="{45381318-0036-4CA5-9759-DE5CD8220450}"/>
    <hyperlink ref="J40" r:id="rId111" display="https://soporte.quito-turismo.gob.ec/front/user.form.php?id=30" xr:uid="{69EF9ABA-575B-4ABA-8835-1B033A833194}"/>
    <hyperlink ref="K40" r:id="rId112" display="https://soporte.quito-turismo.gob.ec/front/user.form.php?id=39" xr:uid="{DA0C8BAE-8DF3-4F12-BCB9-11A9D643CA89}"/>
    <hyperlink ref="E41" r:id="rId113" display="https://soporte.quito-turismo.gob.ec/front/ticket.form.php?id=2023" xr:uid="{22ADC633-64B6-40E6-AB44-BE7D16E15617}"/>
    <hyperlink ref="J41" r:id="rId114" display="https://soporte.quito-turismo.gob.ec/front/user.form.php?id=109" xr:uid="{BD767672-C189-42C5-BF25-15AB27F39A5D}"/>
    <hyperlink ref="K41" r:id="rId115" display="https://soporte.quito-turismo.gob.ec/front/user.form.php?id=39" xr:uid="{8C72F9BB-7CE0-47A6-BF96-A899BF34E428}"/>
    <hyperlink ref="E42" r:id="rId116" display="https://soporte.quito-turismo.gob.ec/front/ticket.form.php?id=2022" xr:uid="{41D65A1F-F922-4748-AF5C-77A13B9287BC}"/>
    <hyperlink ref="J42" r:id="rId117" display="https://soporte.quito-turismo.gob.ec/front/user.form.php?id=109" xr:uid="{CEC43F49-15ED-4B00-B9D2-3FBA6793DA66}"/>
    <hyperlink ref="K42" r:id="rId118" display="https://soporte.quito-turismo.gob.ec/front/user.form.php?id=39" xr:uid="{C2AB5441-3A21-475E-AA12-1DBBE0D4124C}"/>
    <hyperlink ref="E43" r:id="rId119" display="https://soporte.quito-turismo.gob.ec/front/ticket.form.php?id=2015" xr:uid="{A87E99C7-CCFE-44A7-93A1-DDC5F337664C}"/>
    <hyperlink ref="J43" r:id="rId120" display="https://soporte.quito-turismo.gob.ec/front/user.form.php?id=16" xr:uid="{190376EA-20B2-49EB-8961-C5A3B9CB598A}"/>
    <hyperlink ref="K43" r:id="rId121" display="https://soporte.quito-turismo.gob.ec/front/user.form.php?id=39" xr:uid="{A170DD7B-747B-4DF6-AC24-E5614BDB7ED6}"/>
    <hyperlink ref="E44" r:id="rId122" display="https://soporte.quito-turismo.gob.ec/front/ticket.form.php?id=2020" xr:uid="{06B20497-6C4F-4B68-BA46-573F0EA03747}"/>
    <hyperlink ref="J44" r:id="rId123" display="https://soporte.quito-turismo.gob.ec/front/user.form.php?id=16" xr:uid="{B79E56E0-19A3-4A79-9D29-CC53DDF69F63}"/>
    <hyperlink ref="E45" r:id="rId124" display="https://soporte.quito-turismo.gob.ec/front/ticket.form.php?id=2013" xr:uid="{7A6B734D-CB45-4216-BA1C-C049904CD3F2}"/>
    <hyperlink ref="J45" r:id="rId125" display="https://soporte.quito-turismo.gob.ec/front/user.form.php?id=30" xr:uid="{55A38513-9C66-4CC9-B473-166F27805DB7}"/>
    <hyperlink ref="E46" r:id="rId126" display="https://soporte.quito-turismo.gob.ec/front/ticket.form.php?id=2008" xr:uid="{3A8B1A2F-F3A8-49E4-BD5E-94CAD2C05C6E}"/>
    <hyperlink ref="J46" r:id="rId127" display="https://soporte.quito-turismo.gob.ec/front/user.form.php?id=32" xr:uid="{2DDF0901-C527-4F08-8FB9-DAB659C2AE09}"/>
    <hyperlink ref="K46" r:id="rId128" display="https://soporte.quito-turismo.gob.ec/front/user.form.php?id=31" xr:uid="{C74B893D-B8EC-4E00-B8E8-8E952375A8DA}"/>
    <hyperlink ref="E47" r:id="rId129" display="https://soporte.quito-turismo.gob.ec/front/ticket.form.php?id=2010" xr:uid="{178248CD-39CA-4374-8545-2128C1254A73}"/>
    <hyperlink ref="J47" r:id="rId130" display="https://soporte.quito-turismo.gob.ec/front/user.form.php?id=30" xr:uid="{82003C3D-3594-416A-BE3D-971E53F72646}"/>
    <hyperlink ref="K47" r:id="rId131" display="https://soporte.quito-turismo.gob.ec/front/user.form.php?id=31" xr:uid="{74515667-6DAC-482A-84CC-FFB1AC329410}"/>
    <hyperlink ref="E48" r:id="rId132" display="https://soporte.quito-turismo.gob.ec/front/ticket.form.php?id=2009" xr:uid="{74250723-5564-4ECA-ACD9-212DC742D89F}"/>
    <hyperlink ref="J48" r:id="rId133" display="https://soporte.quito-turismo.gob.ec/front/user.form.php?id=32" xr:uid="{54E16735-CA6F-492C-A36C-72706CBC8267}"/>
    <hyperlink ref="K48" r:id="rId134" display="https://soporte.quito-turismo.gob.ec/front/user.form.php?id=31" xr:uid="{87EE6EA6-004A-4A94-BE47-736079D3B57B}"/>
    <hyperlink ref="E49" r:id="rId135" display="https://soporte.quito-turismo.gob.ec/front/ticket.form.php?id=2003" xr:uid="{F1739889-EC70-4F84-9D5B-33A714DCB276}"/>
    <hyperlink ref="J49" r:id="rId136" display="https://soporte.quito-turismo.gob.ec/front/user.form.php?id=26" xr:uid="{C464FA9E-BC22-4E8B-A1B4-106FF8BDDF68}"/>
    <hyperlink ref="K49" r:id="rId137" display="https://soporte.quito-turismo.gob.ec/front/user.form.php?id=31" xr:uid="{447DC278-1BE8-49BF-9387-1A05E45E8674}"/>
    <hyperlink ref="E50" r:id="rId138" display="https://soporte.quito-turismo.gob.ec/front/ticket.form.php?id=1985" xr:uid="{E0A44820-C309-4F96-A54A-0D79DF8251B9}"/>
    <hyperlink ref="J50" r:id="rId139" display="https://soporte.quito-turismo.gob.ec/front/user.form.php?id=52" xr:uid="{8E201091-5313-4F9B-BDF6-A6B051E1017B}"/>
    <hyperlink ref="K50" r:id="rId140" display="https://soporte.quito-turismo.gob.ec/front/user.form.php?id=31" xr:uid="{016F365E-4463-4BED-B90D-3FB1DA939D68}"/>
    <hyperlink ref="E51" r:id="rId141" display="https://soporte.quito-turismo.gob.ec/front/ticket.form.php?id=2001" xr:uid="{7FF393F9-302B-4A18-B7F2-517C6246D167}"/>
    <hyperlink ref="J51" r:id="rId142" display="https://soporte.quito-turismo.gob.ec/front/user.form.php?id=32" xr:uid="{1A4EE499-DD24-4628-B1BA-FA7CE1AC3DAA}"/>
    <hyperlink ref="K51" r:id="rId143" display="https://soporte.quito-turismo.gob.ec/front/user.form.php?id=31" xr:uid="{4BFC06C1-C64C-4BF1-9031-72CDFF8C4DBE}"/>
    <hyperlink ref="E52" r:id="rId144" display="https://soporte.quito-turismo.gob.ec/front/ticket.form.php?id=1969" xr:uid="{9EC8FF01-8172-4246-8E52-40EBB5AF9D62}"/>
    <hyperlink ref="J52" r:id="rId145" display="https://soporte.quito-turismo.gob.ec/front/user.form.php?id=50" xr:uid="{23C00847-C8A5-4B50-A27C-302BF64EE6F0}"/>
    <hyperlink ref="K52" r:id="rId146" display="https://soporte.quito-turismo.gob.ec/front/user.form.php?id=31" xr:uid="{C428DB16-DA0B-479D-ABF7-9E97E7EFF2FD}"/>
    <hyperlink ref="E53" r:id="rId147" display="https://soporte.quito-turismo.gob.ec/front/ticket.form.php?id=1984" xr:uid="{64E9AF9D-9496-4AAF-A262-9FC7432E6674}"/>
    <hyperlink ref="J53" r:id="rId148" display="https://soporte.quito-turismo.gob.ec/front/user.form.php?id=47" xr:uid="{EC91148F-FF37-4CBA-8DC7-B36F87120D80}"/>
    <hyperlink ref="K53" r:id="rId149" display="https://soporte.quito-turismo.gob.ec/front/user.form.php?id=31" xr:uid="{785CE468-D60D-4A0F-AAC7-7B5A36B51F0E}"/>
    <hyperlink ref="E54" r:id="rId150" display="https://soporte.quito-turismo.gob.ec/front/ticket.form.php?id=2000" xr:uid="{6AAB6A3B-315A-4A10-A9A0-BB903953249E}"/>
    <hyperlink ref="J54" r:id="rId151" display="https://soporte.quito-turismo.gob.ec/front/user.form.php?id=79" xr:uid="{BC6FBC4F-32F7-45A4-B4C9-F43AF1515A43}"/>
    <hyperlink ref="K54" r:id="rId152" display="https://soporte.quito-turismo.gob.ec/front/user.form.php?id=31" xr:uid="{233A24CC-9FC8-4DA7-9D9A-2C3E6F7BBB87}"/>
    <hyperlink ref="E55" r:id="rId153" display="https://soporte.quito-turismo.gob.ec/front/ticket.form.php?id=1999" xr:uid="{D08BD190-8C27-42B4-A259-699C1DA90EEC}"/>
    <hyperlink ref="J55" r:id="rId154" display="https://soporte.quito-turismo.gob.ec/front/user.form.php?id=47" xr:uid="{E1DB6055-E0F8-43D2-AA39-6F3DF1D1DED0}"/>
    <hyperlink ref="K55" r:id="rId155" display="https://soporte.quito-turismo.gob.ec/front/user.form.php?id=31" xr:uid="{F27D36D5-6449-4BA1-AF05-D5E85E81C51C}"/>
    <hyperlink ref="E56" r:id="rId156" display="https://soporte.quito-turismo.gob.ec/front/ticket.form.php?id=1998" xr:uid="{D059B886-D254-4CB2-BA84-4348CE598C97}"/>
    <hyperlink ref="J56" r:id="rId157" display="https://soporte.quito-turismo.gob.ec/front/user.form.php?id=79" xr:uid="{3EAD095B-160C-4606-9FC2-73F49772EB84}"/>
    <hyperlink ref="K56" r:id="rId158" display="https://soporte.quito-turismo.gob.ec/front/user.form.php?id=31" xr:uid="{510B15B8-FD6B-4D56-943F-24EE696AD6DC}"/>
    <hyperlink ref="E57" r:id="rId159" display="https://soporte.quito-turismo.gob.ec/front/ticket.form.php?id=1994" xr:uid="{6A420E04-A4F3-4142-9321-101C31BF2ED2}"/>
    <hyperlink ref="J57" r:id="rId160" display="https://soporte.quito-turismo.gob.ec/front/user.form.php?id=32" xr:uid="{E6013AB7-3D46-4283-A5BE-34083E629630}"/>
    <hyperlink ref="K57" r:id="rId161" display="https://soporte.quito-turismo.gob.ec/front/user.form.php?id=31" xr:uid="{B5EF2BB2-934C-4C77-9F20-BF5D05FEA065}"/>
    <hyperlink ref="E58" r:id="rId162" display="https://soporte.quito-turismo.gob.ec/front/ticket.form.php?id=1981" xr:uid="{5F991736-BE2A-40FE-963F-C8EE84FD6AC3}"/>
    <hyperlink ref="J58" r:id="rId163" display="https://soporte.quito-turismo.gob.ec/front/user.form.php?id=32" xr:uid="{3B517966-978F-41B3-8FDA-15129EF07FA0}"/>
    <hyperlink ref="K58" r:id="rId164" display="https://soporte.quito-turismo.gob.ec/front/user.form.php?id=31" xr:uid="{4573D81F-AA3B-4556-911F-B216C959E7E3}"/>
    <hyperlink ref="E59" r:id="rId165" display="https://soporte.quito-turismo.gob.ec/front/ticket.form.php?id=1979" xr:uid="{C9DCFD0F-CE31-47F0-BBE2-2F26F1FE016B}"/>
    <hyperlink ref="J59" r:id="rId166" display="https://soporte.quito-turismo.gob.ec/front/user.form.php?id=79" xr:uid="{B8100C83-F244-4584-B84C-A9F83D8EB894}"/>
    <hyperlink ref="K59" r:id="rId167" display="https://soporte.quito-turismo.gob.ec/front/user.form.php?id=31" xr:uid="{F2AE43BF-9DBE-4AB0-9225-494891420C2D}"/>
    <hyperlink ref="E60" r:id="rId168" display="https://soporte.quito-turismo.gob.ec/front/ticket.form.php?id=1978" xr:uid="{5A098661-5D08-45E1-9323-C8B8F0CB85D3}"/>
    <hyperlink ref="J60" r:id="rId169" display="https://soporte.quito-turismo.gob.ec/front/user.form.php?id=79" xr:uid="{6754B62F-F2C5-479D-8AB7-DEE9222162D2}"/>
    <hyperlink ref="K60" r:id="rId170" display="https://soporte.quito-turismo.gob.ec/front/user.form.php?id=31" xr:uid="{D63291B6-3115-42A1-A5EE-CED32745A75C}"/>
    <hyperlink ref="E61" r:id="rId171" display="https://soporte.quito-turismo.gob.ec/front/ticket.form.php?id=1971" xr:uid="{B0AD8C1A-C841-4B42-B77A-419B94A1532B}"/>
    <hyperlink ref="J61" r:id="rId172" display="https://soporte.quito-turismo.gob.ec/front/user.form.php?id=75" xr:uid="{E984BFAC-50F2-450A-B77C-6D314817187D}"/>
    <hyperlink ref="K61" r:id="rId173" display="https://soporte.quito-turismo.gob.ec/front/user.form.php?id=31" xr:uid="{6F14C3BA-EA5D-47B4-8B3F-68E42D2D3D85}"/>
    <hyperlink ref="E62" r:id="rId174" display="https://soporte.quito-turismo.gob.ec/front/ticket.form.php?id=1967" xr:uid="{B676284D-3270-44C6-B478-04E4DC0D778B}"/>
    <hyperlink ref="J62" r:id="rId175" display="https://soporte.quito-turismo.gob.ec/front/user.form.php?id=20" xr:uid="{CDEA5DAA-1D81-4529-AD08-0DA1B3BC2BD9}"/>
    <hyperlink ref="K62" r:id="rId176" display="https://soporte.quito-turismo.gob.ec/front/user.form.php?id=31" xr:uid="{B6A3A861-AB17-494B-BBBC-A1CAB5568188}"/>
    <hyperlink ref="E63" r:id="rId177" display="https://soporte.quito-turismo.gob.ec/front/ticket.form.php?id=2004" xr:uid="{93B27E2A-7E32-4489-89E8-95136F8FB99C}"/>
    <hyperlink ref="J63" r:id="rId178" display="https://soporte.quito-turismo.gob.ec/front/user.form.php?id=85" xr:uid="{941D9FDF-7661-4294-AC2A-F7625A6A3EB9}"/>
    <hyperlink ref="K63" r:id="rId179" display="https://soporte.quito-turismo.gob.ec/front/user.form.php?id=39" xr:uid="{1F546515-7569-40AF-B8FC-678B5FCB3414}"/>
    <hyperlink ref="E64" r:id="rId180" display="https://soporte.quito-turismo.gob.ec/front/ticket.form.php?id=2012" xr:uid="{0E54C1B4-CA0B-4194-9CE5-77ADE38D2482}"/>
    <hyperlink ref="J64" r:id="rId181" display="https://soporte.quito-turismo.gob.ec/front/user.form.php?id=37" xr:uid="{B2C8B075-6E3E-453D-88D3-730E16378DF1}"/>
    <hyperlink ref="K64" r:id="rId182" display="https://soporte.quito-turismo.gob.ec/front/user.form.php?id=39" xr:uid="{6D87B86B-0F49-48D3-9A36-C00BD384E2A9}"/>
    <hyperlink ref="E65" r:id="rId183" display="https://soporte.quito-turismo.gob.ec/front/ticket.form.php?id=2007" xr:uid="{55A67616-D2E4-4356-9C08-2CFC4EE6A500}"/>
    <hyperlink ref="J65" r:id="rId184" display="mailto:mvaldiviezo@quito-turismo.gob.ec" xr:uid="{F967047D-B0BF-431E-9920-74466B5EB0C8}"/>
    <hyperlink ref="K65" r:id="rId185" display="https://soporte.quito-turismo.gob.ec/front/user.form.php?id=39" xr:uid="{00400E6C-7E8D-46A6-B0AA-C5238C73664F}"/>
    <hyperlink ref="E66" r:id="rId186" display="https://soporte.quito-turismo.gob.ec/front/ticket.form.php?id=2006" xr:uid="{CF4BDB62-7EFF-43FB-86FB-9285D32417AF}"/>
    <hyperlink ref="J66" r:id="rId187" display="https://soporte.quito-turismo.gob.ec/front/user.form.php?id=37" xr:uid="{F04EE8C0-5485-4F1A-B2ED-5A531DC14AB1}"/>
    <hyperlink ref="K66" r:id="rId188" display="https://soporte.quito-turismo.gob.ec/front/user.form.php?id=39" xr:uid="{51C1B6DD-A932-42D3-812E-6DD8280DB790}"/>
    <hyperlink ref="E67" r:id="rId189" display="https://soporte.quito-turismo.gob.ec/front/ticket.form.php?id=2005" xr:uid="{A3F51BAF-0B97-4DF2-B61E-5DE4253BD0F1}"/>
    <hyperlink ref="J67" r:id="rId190" display="https://soporte.quito-turismo.gob.ec/front/user.form.php?id=30" xr:uid="{6D88B19D-985F-4412-A55E-5D5F9AF14C5A}"/>
    <hyperlink ref="K67" r:id="rId191" display="https://soporte.quito-turismo.gob.ec/front/user.form.php?id=39" xr:uid="{343CC316-1594-4E5B-9882-0D94C1013520}"/>
    <hyperlink ref="E68" r:id="rId192" display="https://soporte.quito-turismo.gob.ec/front/ticket.form.php?id=2002" xr:uid="{DC0EF4BB-B414-4182-901A-394FE374EB1F}"/>
    <hyperlink ref="J68" r:id="rId193" display="mailto:mburbano@quito-turismo.gob.ec" xr:uid="{4854E4E4-60FA-45DF-95C6-52CCE3E13C7C}"/>
    <hyperlink ref="K68" r:id="rId194" display="https://soporte.quito-turismo.gob.ec/front/user.form.php?id=2" xr:uid="{2125F2C7-BD23-4832-A6FD-3D5EF1A1D209}"/>
    <hyperlink ref="E69" r:id="rId195" display="https://soporte.quito-turismo.gob.ec/front/ticket.form.php?id=1992" xr:uid="{CC272C9C-639E-4E67-BDA0-65AB29D6B4DC}"/>
    <hyperlink ref="J69" r:id="rId196" display="https://soporte.quito-turismo.gob.ec/front/user.form.php?id=30" xr:uid="{F05BE066-6E3A-4EC2-927C-CD6A060BE119}"/>
    <hyperlink ref="K69" r:id="rId197" display="https://soporte.quito-turismo.gob.ec/front/user.form.php?id=39" xr:uid="{3F382305-2523-4AB8-B09F-D9405946BBD2}"/>
    <hyperlink ref="E70" r:id="rId198" display="https://soporte.quito-turismo.gob.ec/front/ticket.form.php?id=1983" xr:uid="{4189F29C-02D1-45B2-84BB-725A0FF638CE}"/>
    <hyperlink ref="J70" r:id="rId199" display="https://soporte.quito-turismo.gob.ec/front/user.form.php?id=52" xr:uid="{22C571A2-B202-4EFF-AEAC-5A29E1D4D019}"/>
    <hyperlink ref="K70" r:id="rId200" display="https://soporte.quito-turismo.gob.ec/front/user.form.php?id=39" xr:uid="{8521DDA8-5F49-47B4-A858-3B08C3B26137}"/>
    <hyperlink ref="E71" r:id="rId201" display="https://soporte.quito-turismo.gob.ec/front/ticket.form.php?id=1995" xr:uid="{761136AC-445C-4A0D-98C0-7890268312DF}"/>
    <hyperlink ref="J71" r:id="rId202" display="https://soporte.quito-turismo.gob.ec/front/user.form.php?id=12" xr:uid="{AF640724-1B93-4EF2-AFA1-A907985BBD39}"/>
    <hyperlink ref="K71" r:id="rId203" display="https://soporte.quito-turismo.gob.ec/front/user.form.php?id=39" xr:uid="{61465E52-646F-400A-8E72-7A8EF86870E4}"/>
    <hyperlink ref="E72" r:id="rId204" display="https://soporte.quito-turismo.gob.ec/front/ticket.form.php?id=1980" xr:uid="{6A1B8722-19F1-4691-B075-F9200A667D60}"/>
    <hyperlink ref="J72" r:id="rId205" display="https://soporte.quito-turismo.gob.ec/front/user.form.php?id=61" xr:uid="{942D76FF-F283-4A5B-92B0-4B4C62EA4017}"/>
    <hyperlink ref="K72" r:id="rId206" display="https://soporte.quito-turismo.gob.ec/front/user.form.php?id=39" xr:uid="{DA9B7FC7-A93F-4B1E-8BA5-0EB6A80A1E56}"/>
    <hyperlink ref="E73" r:id="rId207" display="https://soporte.quito-turismo.gob.ec/front/ticket.form.php?id=1991" xr:uid="{935678EA-DBFC-4138-91C2-000FCCED4B0B}"/>
    <hyperlink ref="J73" r:id="rId208" display="https://soporte.quito-turismo.gob.ec/front/user.form.php?id=87" xr:uid="{CDCEB277-DDE2-44A8-8667-CC0E3F81A069}"/>
    <hyperlink ref="K73" r:id="rId209" display="https://soporte.quito-turismo.gob.ec/front/user.form.php?id=39" xr:uid="{AD418B6A-EFB7-4241-82EC-89DB02FA568C}"/>
    <hyperlink ref="E74" r:id="rId210" display="https://soporte.quito-turismo.gob.ec/front/ticket.form.php?id=1996" xr:uid="{689D7654-2289-4031-95ED-5D1DC889DFC3}"/>
    <hyperlink ref="J74" r:id="rId211" display="https://soporte.quito-turismo.gob.ec/front/user.form.php?id=50" xr:uid="{72C13B34-A0B0-42A9-A98D-18E187B8BE3B}"/>
    <hyperlink ref="E75" r:id="rId212" display="https://soporte.quito-turismo.gob.ec/front/ticket.form.php?id=1993" xr:uid="{DD28C1A2-B576-4020-B5FD-98727A46FA05}"/>
    <hyperlink ref="J75" r:id="rId213" display="mailto:bpacheco@quito-turismo.gob.ec" xr:uid="{99B171A2-7B57-4B56-95C6-B47A9CC4B88A}"/>
    <hyperlink ref="K75" r:id="rId214" display="https://soporte.quito-turismo.gob.ec/front/user.form.php?id=39" xr:uid="{6E3BB42A-71D1-4C94-8ABE-86908E801E92}"/>
    <hyperlink ref="E76" r:id="rId215" display="https://soporte.quito-turismo.gob.ec/front/ticket.form.php?id=1988" xr:uid="{0279526E-8ADA-46F1-877C-0DB2C96DFAE7}"/>
    <hyperlink ref="J76" r:id="rId216" display="https://soporte.quito-turismo.gob.ec/front/user.form.php?id=69" xr:uid="{E028BB4A-E5F5-4EB2-B75B-D4599A7C4ED0}"/>
    <hyperlink ref="K76" r:id="rId217" display="https://soporte.quito-turismo.gob.ec/front/user.form.php?id=39" xr:uid="{25FA5B4B-FC8E-41BA-8EF8-802B40F0E948}"/>
    <hyperlink ref="E77" r:id="rId218" display="https://soporte.quito-turismo.gob.ec/front/ticket.form.php?id=1990" xr:uid="{2549EF35-F1DD-4AEC-8019-BC9C9ED14A8F}"/>
    <hyperlink ref="J77" r:id="rId219" display="https://soporte.quito-turismo.gob.ec/front/user.form.php?id=100" xr:uid="{082A6BB9-C587-42EA-BB07-E1FF2651460A}"/>
    <hyperlink ref="K77" r:id="rId220" display="https://soporte.quito-turismo.gob.ec/front/user.form.php?id=39" xr:uid="{1F78DDB5-29F6-4D75-ACDB-86526C8AE1D1}"/>
    <hyperlink ref="E78" r:id="rId221" display="https://soporte.quito-turismo.gob.ec/front/ticket.form.php?id=1986" xr:uid="{76A3A41E-A7F1-41C8-BEA6-51FE309CBD0A}"/>
    <hyperlink ref="J78" r:id="rId222" display="https://soporte.quito-turismo.gob.ec/front/user.form.php?id=16" xr:uid="{0DE573D0-C19A-46D2-B12A-703024EC7EE5}"/>
    <hyperlink ref="K78" r:id="rId223" display="https://soporte.quito-turismo.gob.ec/front/user.form.php?id=39" xr:uid="{314DB361-868B-48F9-B4F4-26281D3CADF3}"/>
    <hyperlink ref="E79" r:id="rId224" display="https://soporte.quito-turismo.gob.ec/front/ticket.form.php?id=1982" xr:uid="{C5A73BD0-3647-4BAC-B52B-284A2EE10317}"/>
    <hyperlink ref="J79" r:id="rId225" display="https://soporte.quito-turismo.gob.ec/front/user.form.php?id=52" xr:uid="{01804E57-592C-48E1-B8DD-D9AF377CDDA5}"/>
    <hyperlink ref="E80" r:id="rId226" display="https://soporte.quito-turismo.gob.ec/front/ticket.form.php?id=1977" xr:uid="{EEAAFDB0-B884-4CD0-8BCA-1167E6FCE0A3}"/>
    <hyperlink ref="J80" r:id="rId227" display="https://soporte.quito-turismo.gob.ec/front/user.form.php?id=37" xr:uid="{C347D1B2-6D3C-4003-8221-8E5D682742AC}"/>
    <hyperlink ref="K80" r:id="rId228" display="https://soporte.quito-turismo.gob.ec/front/user.form.php?id=39" xr:uid="{CBD6AE40-453E-4E42-A4D6-AE7991922446}"/>
    <hyperlink ref="E81" r:id="rId229" display="https://soporte.quito-turismo.gob.ec/front/ticket.form.php?id=1968" xr:uid="{E6827973-C546-4A1B-9F7A-1DBFF27A922D}"/>
    <hyperlink ref="J81" r:id="rId230" display="https://soporte.quito-turismo.gob.ec/front/user.form.php?id=87" xr:uid="{D2039E4D-85D6-4B52-9D30-347A161D0418}"/>
    <hyperlink ref="K81" r:id="rId231" display="https://soporte.quito-turismo.gob.ec/front/user.form.php?id=39" xr:uid="{78110343-E19A-473D-A197-152BAD5A5AE6}"/>
    <hyperlink ref="E82" r:id="rId232" display="https://soporte.quito-turismo.gob.ec/front/ticket.form.php?id=1963" xr:uid="{4673EADC-E5DA-4345-A84F-85C0695B4150}"/>
    <hyperlink ref="J82" r:id="rId233" display="https://soporte.quito-turismo.gob.ec/front/user.form.php?id=107" xr:uid="{08479E22-39DE-41AD-86E2-92E08D7BA217}"/>
    <hyperlink ref="K82" r:id="rId234" display="https://soporte.quito-turismo.gob.ec/front/user.form.php?id=31" xr:uid="{3EA96E69-C94C-49A0-862F-920DBC208040}"/>
    <hyperlink ref="E83" r:id="rId235" display="https://soporte.quito-turismo.gob.ec/front/ticket.form.php?id=1972" xr:uid="{69B335D5-EC22-4357-869A-B65CF74FBE16}"/>
    <hyperlink ref="J83" r:id="rId236" display="https://soporte.quito-turismo.gob.ec/front/user.form.php?id=32" xr:uid="{CC69822C-A13D-49FD-8C42-CD3DA9B47EEE}"/>
    <hyperlink ref="K83" r:id="rId237" display="https://soporte.quito-turismo.gob.ec/front/user.form.php?id=31" xr:uid="{7EF7D107-E864-4C6A-88C0-2E3636A62465}"/>
    <hyperlink ref="E84" r:id="rId238" display="https://soporte.quito-turismo.gob.ec/front/ticket.form.php?id=1965" xr:uid="{5D006C03-5097-4BDF-A274-80367DBAC56F}"/>
    <hyperlink ref="J84" r:id="rId239" display="https://soporte.quito-turismo.gob.ec/front/user.form.php?id=57" xr:uid="{4C5C66B3-A645-4BDD-84BF-C3337E015756}"/>
    <hyperlink ref="K84" r:id="rId240" display="https://soporte.quito-turismo.gob.ec/front/user.form.php?id=31" xr:uid="{520A1807-FB4B-40DF-AA4C-30DE0232D461}"/>
    <hyperlink ref="E85" r:id="rId241" display="https://soporte.quito-turismo.gob.ec/front/ticket.form.php?id=1962" xr:uid="{1574DF2A-C8D7-4142-A372-C5F9A19E1987}"/>
    <hyperlink ref="J85" r:id="rId242" display="https://soporte.quito-turismo.gob.ec/front/user.form.php?id=54" xr:uid="{85BE7330-9F79-46E4-AE4A-52B934F6F356}"/>
    <hyperlink ref="K85" r:id="rId243" display="https://soporte.quito-turismo.gob.ec/front/user.form.php?id=31" xr:uid="{87AA6840-337A-437E-827E-B78518E4EE47}"/>
    <hyperlink ref="E86" r:id="rId244" display="https://soporte.quito-turismo.gob.ec/front/ticket.form.php?id=1975" xr:uid="{AD7B3F51-30A8-42B2-9DAE-E02ECAC9F678}"/>
    <hyperlink ref="J86" r:id="rId245" display="https://soporte.quito-turismo.gob.ec/front/user.form.php?id=79" xr:uid="{5B35A474-5A8D-4AA9-BB52-4B5E3AA28E4C}"/>
    <hyperlink ref="K86" r:id="rId246" display="https://soporte.quito-turismo.gob.ec/front/user.form.php?id=31" xr:uid="{AADCD723-D65C-45EF-9EA3-93161D712E7E}"/>
    <hyperlink ref="E87" r:id="rId247" display="https://soporte.quito-turismo.gob.ec/front/ticket.form.php?id=1976" xr:uid="{64ACA433-84B1-4E97-8346-1CEA0DD91592}"/>
    <hyperlink ref="J87" r:id="rId248" display="https://soporte.quito-turismo.gob.ec/front/user.form.php?id=32" xr:uid="{9EABF685-A356-40B1-B1C4-9809750C3160}"/>
    <hyperlink ref="K87" r:id="rId249" display="https://soporte.quito-turismo.gob.ec/front/user.form.php?id=31" xr:uid="{DA744FC5-FCA6-4D99-8DF3-16EC596117BF}"/>
    <hyperlink ref="E88" r:id="rId250" display="https://soporte.quito-turismo.gob.ec/front/ticket.form.php?id=1974" xr:uid="{3B322D07-7033-49C5-8D45-6EE0E28B0D13}"/>
    <hyperlink ref="J88" r:id="rId251" display="https://soporte.quito-turismo.gob.ec/front/user.form.php?id=32" xr:uid="{83DD713A-8582-4BE5-A780-F80D2CB16AD4}"/>
    <hyperlink ref="K88" r:id="rId252" display="https://soporte.quito-turismo.gob.ec/front/user.form.php?id=31" xr:uid="{A1DEE718-96CE-41DF-8DA8-38A519465CE3}"/>
    <hyperlink ref="E89" r:id="rId253" display="https://soporte.quito-turismo.gob.ec/front/ticket.form.php?id=1964" xr:uid="{1A6D70D7-D93B-4CA6-81A7-1AB08856D8DA}"/>
    <hyperlink ref="J89" r:id="rId254" display="https://soporte.quito-turismo.gob.ec/front/user.form.php?id=16" xr:uid="{CCD3C717-6EC8-4417-A2C2-204AEE859338}"/>
    <hyperlink ref="K89" r:id="rId255" display="https://soporte.quito-turismo.gob.ec/front/user.form.php?id=31" xr:uid="{01BADDA2-412B-4CD9-AFF2-C9BD9EF3F2C8}"/>
    <hyperlink ref="E90" r:id="rId256" display="https://soporte.quito-turismo.gob.ec/front/ticket.form.php?id=1960" xr:uid="{2A2B27FB-9BA5-466F-8020-8CADA3F1FC70}"/>
    <hyperlink ref="J90" r:id="rId257" display="https://soporte.quito-turismo.gob.ec/front/user.form.php?id=32" xr:uid="{B6196789-9316-474E-8336-EFC9A60619BF}"/>
    <hyperlink ref="K90" r:id="rId258" display="https://soporte.quito-turismo.gob.ec/front/user.form.php?id=31" xr:uid="{999DEB30-EA8B-412D-BB49-F5AF294D5996}"/>
    <hyperlink ref="E91" r:id="rId259" display="https://soporte.quito-turismo.gob.ec/front/ticket.form.php?id=1958" xr:uid="{CB810F86-AB76-4571-8935-9C947FC5CA8E}"/>
    <hyperlink ref="J91" r:id="rId260" display="https://soporte.quito-turismo.gob.ec/front/user.form.php?id=30" xr:uid="{B9AF3129-0545-41ED-89EA-641D5EF4AC98}"/>
    <hyperlink ref="K91" r:id="rId261" display="https://soporte.quito-turismo.gob.ec/front/user.form.php?id=31" xr:uid="{D75DF79D-B960-4BD6-AF69-063A4F984A82}"/>
    <hyperlink ref="E92" r:id="rId262" display="https://soporte.quito-turismo.gob.ec/front/ticket.form.php?id=1955" xr:uid="{B73BEB45-5A66-49A1-A47B-4BF31B03B944}"/>
    <hyperlink ref="J92" r:id="rId263" display="https://soporte.quito-turismo.gob.ec/front/user.form.php?id=79" xr:uid="{C6C7A9AA-67A4-40BF-ABAF-D6AD514177F3}"/>
    <hyperlink ref="K92" r:id="rId264" display="https://soporte.quito-turismo.gob.ec/front/user.form.php?id=31" xr:uid="{CC1FCA04-FB64-4907-AA68-E68530A91AB9}"/>
    <hyperlink ref="E93" r:id="rId265" display="https://soporte.quito-turismo.gob.ec/front/ticket.form.php?id=1945" xr:uid="{BC627BD5-4039-4B4D-80EC-3F9EEB27AD1E}"/>
    <hyperlink ref="J93" r:id="rId266" display="https://soporte.quito-turismo.gob.ec/front/user.form.php?id=30" xr:uid="{32771D91-A348-4D7F-8871-D5E02DC9A7B6}"/>
    <hyperlink ref="K93" r:id="rId267" display="https://soporte.quito-turismo.gob.ec/front/user.form.php?id=31" xr:uid="{98A2455B-8006-4212-BB5A-381B19E94301}"/>
    <hyperlink ref="E94" r:id="rId268" display="https://soporte.quito-turismo.gob.ec/front/ticket.form.php?id=1928" xr:uid="{4BBA2D3A-2E4C-4BBE-8913-5B19AA00D27A}"/>
    <hyperlink ref="J94" r:id="rId269" display="mailto:bpacheco@quito-turismo.gob.ec" xr:uid="{57AB4388-B727-48E8-870C-DEBA1BEA5454}"/>
    <hyperlink ref="K94" r:id="rId270" display="https://soporte.quito-turismo.gob.ec/front/user.form.php?id=31" xr:uid="{3FF06397-B5AC-464B-ABCA-FF5FFC211DA3}"/>
    <hyperlink ref="E95" r:id="rId271" display="https://soporte.quito-turismo.gob.ec/front/ticket.form.php?id=1966" xr:uid="{999D1757-5337-4788-8D03-ED7C1755E164}"/>
    <hyperlink ref="J95" r:id="rId272" display="https://soporte.quito-turismo.gob.ec/front/user.form.php?id=10" xr:uid="{69A3CFAB-B22D-4D20-9745-3A443D0F2E97}"/>
    <hyperlink ref="K95" r:id="rId273" display="https://soporte.quito-turismo.gob.ec/front/user.form.php?id=2" xr:uid="{F3F87306-A696-4484-9D1E-F027DEEF220F}"/>
    <hyperlink ref="E96" r:id="rId274" display="https://soporte.quito-turismo.gob.ec/front/ticket.form.php?id=1908" xr:uid="{4609A8E5-7BED-47FE-A503-6E85F1769614}"/>
    <hyperlink ref="J96" r:id="rId275" display="https://soporte.quito-turismo.gob.ec/front/user.form.php?id=75" xr:uid="{7568E16D-B32E-4F48-BC11-B91A028C789C}"/>
    <hyperlink ref="E97" r:id="rId276" display="https://soporte.quito-turismo.gob.ec/front/ticket.form.php?id=1953" xr:uid="{80573065-D683-41EE-BA9A-EFA16B9B39BB}"/>
    <hyperlink ref="J97" r:id="rId277" display="https://soporte.quito-turismo.gob.ec/front/user.form.php?id=106" xr:uid="{59959BFC-7968-4ED7-8314-81F9CE305847}"/>
    <hyperlink ref="K97" r:id="rId278" display="https://soporte.quito-turismo.gob.ec/front/user.form.php?id=39" xr:uid="{65A70AF5-516A-4888-9969-75BFFB00055B}"/>
    <hyperlink ref="E98" r:id="rId279" display="https://soporte.quito-turismo.gob.ec/front/ticket.form.php?id=1957" xr:uid="{CA77BC6E-F61F-4E22-AF29-ACEA690E9FC0}"/>
    <hyperlink ref="J98" r:id="rId280" display="https://soporte.quito-turismo.gob.ec/front/user.form.php?id=50" xr:uid="{A919BB6A-267F-469E-A432-0844AB599A4F}"/>
    <hyperlink ref="K98" r:id="rId281" display="https://soporte.quito-turismo.gob.ec/front/user.form.php?id=98" xr:uid="{0309CD3A-4B89-4994-9AFA-F34297DC0ABC}"/>
    <hyperlink ref="E99" r:id="rId282" display="https://soporte.quito-turismo.gob.ec/front/ticket.form.php?id=1961" xr:uid="{B361BDC4-D450-495D-BCAC-36A0432F68D4}"/>
    <hyperlink ref="J99" r:id="rId283" display="https://soporte.quito-turismo.gob.ec/front/user.form.php?id=107" xr:uid="{3FA8C2CC-CEBA-474B-8DE3-3A0E23FA82C3}"/>
    <hyperlink ref="K99" r:id="rId284" display="https://soporte.quito-turismo.gob.ec/front/user.form.php?id=39" xr:uid="{557E2D20-78A7-4B59-9A8D-91470987D548}"/>
    <hyperlink ref="E100" r:id="rId285" display="https://soporte.quito-turismo.gob.ec/front/ticket.form.php?id=1959" xr:uid="{9C85B609-C28A-41FB-B84C-F21D92B4FB19}"/>
    <hyperlink ref="J100" r:id="rId286" display="https://soporte.quito-turismo.gob.ec/front/user.form.php?id=30" xr:uid="{08E3F070-35D0-42A7-BC3E-096F8A7FB375}"/>
    <hyperlink ref="K100" r:id="rId287" display="https://soporte.quito-turismo.gob.ec/front/user.form.php?id=39" xr:uid="{1579F276-E446-4238-8B27-890035C25E17}"/>
    <hyperlink ref="E101" r:id="rId288" display="https://soporte.quito-turismo.gob.ec/front/ticket.form.php?id=1895" xr:uid="{5B14A8D7-518A-498C-99A9-6B36B63948A7}"/>
    <hyperlink ref="J101" r:id="rId289" display="https://soporte.quito-turismo.gob.ec/front/user.form.php?id=30" xr:uid="{DA5CA1FD-2F77-4FD5-9FE9-13EC1EE3DA7E}"/>
    <hyperlink ref="K101" r:id="rId290" display="https://soporte.quito-turismo.gob.ec/front/user.form.php?id=39" xr:uid="{E67D2EA0-6C44-4D31-8A7D-8A74497C4E6E}"/>
    <hyperlink ref="E102" r:id="rId291" display="https://soporte.quito-turismo.gob.ec/front/ticket.form.php?id=1912" xr:uid="{25F04260-732B-46A8-912B-EBE737BF44B5}"/>
    <hyperlink ref="J102" r:id="rId292" display="https://soporte.quito-turismo.gob.ec/front/user.form.php?id=30" xr:uid="{E47196B1-17AB-4B82-A583-45E46229A8BA}"/>
    <hyperlink ref="K102" r:id="rId293" display="https://soporte.quito-turismo.gob.ec/front/user.form.php?id=39" xr:uid="{D94AB4F4-9489-4DD4-82D2-70664348EE3D}"/>
    <hyperlink ref="E103" r:id="rId294" display="https://soporte.quito-turismo.gob.ec/front/ticket.form.php?id=1951" xr:uid="{C69813C2-5DE5-4449-9E0F-5E639C07AE84}"/>
    <hyperlink ref="J103" r:id="rId295" display="https://soporte.quito-turismo.gob.ec/front/user.form.php?id=48" xr:uid="{224B1917-CB74-4034-9CBD-0572AC4F111D}"/>
    <hyperlink ref="K103" r:id="rId296" display="https://soporte.quito-turismo.gob.ec/front/user.form.php?id=39" xr:uid="{43A26693-4E84-457D-A19C-B6422EBAB9D1}"/>
    <hyperlink ref="E104" r:id="rId297" display="https://soporte.quito-turismo.gob.ec/front/ticket.form.php?id=1956" xr:uid="{84786443-0640-4C36-9E47-5897E5D42B04}"/>
    <hyperlink ref="J104" r:id="rId298" display="https://soporte.quito-turismo.gob.ec/front/user.form.php?id=30" xr:uid="{1A6B088C-E1A8-4E51-913C-984BF61689E7}"/>
    <hyperlink ref="K104" r:id="rId299" display="https://soporte.quito-turismo.gob.ec/front/user.form.php?id=39" xr:uid="{11C200C5-7DDB-4E7C-8C54-B709CF944683}"/>
    <hyperlink ref="E105" r:id="rId300" display="https://soporte.quito-turismo.gob.ec/front/ticket.form.php?id=1954" xr:uid="{7DFC380F-169B-4570-9670-187A7913C7DA}"/>
    <hyperlink ref="J105" r:id="rId301" display="https://soporte.quito-turismo.gob.ec/front/user.form.php?id=30" xr:uid="{9CCBC3C8-EC24-482D-90B0-C7D738A4FA6D}"/>
    <hyperlink ref="K105" r:id="rId302" display="https://soporte.quito-turismo.gob.ec/front/user.form.php?id=39" xr:uid="{FEF2D9E6-14A4-4C86-AAF5-B4A9638CA9E9}"/>
    <hyperlink ref="E106" r:id="rId303" display="https://soporte.quito-turismo.gob.ec/front/ticket.form.php?id=1952" xr:uid="{41B5CD77-A036-4186-A0B8-9F5FC139C4DF}"/>
    <hyperlink ref="J106" r:id="rId304" display="https://soporte.quito-turismo.gob.ec/front/user.form.php?id=30" xr:uid="{FD55E3A1-862A-4EC2-ABFB-3E3F75D99C32}"/>
    <hyperlink ref="K106" r:id="rId305" display="https://soporte.quito-turismo.gob.ec/front/user.form.php?id=31" xr:uid="{03581600-4E10-43E4-AFAD-9309AE53A163}"/>
    <hyperlink ref="E107" r:id="rId306" display="https://soporte.quito-turismo.gob.ec/front/ticket.form.php?id=1946" xr:uid="{7768DC74-0AD2-41D6-9E0C-1F312A84A010}"/>
    <hyperlink ref="J107" r:id="rId307" display="https://soporte.quito-turismo.gob.ec/front/user.form.php?id=20" xr:uid="{F99AE551-89F0-4826-9B7B-97386E22804C}"/>
    <hyperlink ref="K107" r:id="rId308" display="https://soporte.quito-turismo.gob.ec/front/user.form.php?id=31" xr:uid="{9B0EA5A7-E327-430D-B996-0D5D7B88E284}"/>
    <hyperlink ref="E108" r:id="rId309" display="https://soporte.quito-turismo.gob.ec/front/ticket.form.php?id=1940" xr:uid="{E62B4FBA-F0E7-4052-A7A2-2B12CC019839}"/>
    <hyperlink ref="J108" r:id="rId310" display="https://soporte.quito-turismo.gob.ec/front/user.form.php?id=32" xr:uid="{1E8224BE-ACA8-44F4-B04F-3FCB50A9E068}"/>
    <hyperlink ref="K108" r:id="rId311" display="https://soporte.quito-turismo.gob.ec/front/user.form.php?id=31" xr:uid="{094ED849-2AD6-45D5-AA7B-67093D61E416}"/>
    <hyperlink ref="E109" r:id="rId312" display="https://soporte.quito-turismo.gob.ec/front/ticket.form.php?id=1939" xr:uid="{6DE23526-AF10-4EF1-B253-00FDC517DC90}"/>
    <hyperlink ref="J109" r:id="rId313" display="https://soporte.quito-turismo.gob.ec/front/user.form.php?id=32" xr:uid="{CE5CB767-3425-4662-803F-BBA3853B3F1C}"/>
    <hyperlink ref="K109" r:id="rId314" display="https://soporte.quito-turismo.gob.ec/front/user.form.php?id=31" xr:uid="{72F0886C-E183-4F53-A2A7-B3F1723C4D80}"/>
    <hyperlink ref="E110" r:id="rId315" display="https://soporte.quito-turismo.gob.ec/front/ticket.form.php?id=1936" xr:uid="{3BBB2203-1EC9-4DE3-9816-FDD5837B9D66}"/>
    <hyperlink ref="J110" r:id="rId316" display="https://soporte.quito-turismo.gob.ec/front/user.form.php?id=32" xr:uid="{9C404C7B-5908-4C31-B6F3-C49B2D120357}"/>
    <hyperlink ref="K110" r:id="rId317" display="https://soporte.quito-turismo.gob.ec/front/user.form.php?id=31" xr:uid="{A0D632DD-6E22-45D8-8444-5987921BD8CC}"/>
    <hyperlink ref="E111" r:id="rId318" display="https://soporte.quito-turismo.gob.ec/front/ticket.form.php?id=1935" xr:uid="{A8DF59BD-B7DD-4EB5-A01A-BCD517EBD199}"/>
    <hyperlink ref="J111" r:id="rId319" display="https://soporte.quito-turismo.gob.ec/front/user.form.php?id=31" xr:uid="{FD0328E0-4AE2-4291-A18C-76921A751B29}"/>
    <hyperlink ref="K111" r:id="rId320" display="https://soporte.quito-turismo.gob.ec/front/user.form.php?id=31" xr:uid="{153705B1-BB75-4DAD-AEC0-56951A4AF663}"/>
    <hyperlink ref="E112" r:id="rId321" display="https://soporte.quito-turismo.gob.ec/front/ticket.form.php?id=1933" xr:uid="{E38C605A-4111-42EF-9315-7F0581070080}"/>
    <hyperlink ref="J112" r:id="rId322" display="https://soporte.quito-turismo.gob.ec/front/user.form.php?id=20" xr:uid="{DB183E02-BF78-475F-9BC0-4CAD660C08A9}"/>
    <hyperlink ref="K112" r:id="rId323" display="https://soporte.quito-turismo.gob.ec/front/user.form.php?id=31" xr:uid="{2F6BA685-3E5B-4CF4-A322-FAD620C4D49C}"/>
    <hyperlink ref="E113" r:id="rId324" display="https://soporte.quito-turismo.gob.ec/front/ticket.form.php?id=1931" xr:uid="{4F492ABF-E870-4D24-8E67-E39FF1130885}"/>
    <hyperlink ref="J113" r:id="rId325" display="https://soporte.quito-turismo.gob.ec/front/user.form.php?id=88" xr:uid="{30176231-E6F9-4173-8F39-3FF981DE6238}"/>
    <hyperlink ref="K113" r:id="rId326" display="https://soporte.quito-turismo.gob.ec/front/user.form.php?id=31" xr:uid="{C6B92A82-FF19-4DE0-B5FD-CFBDA3EE3DD3}"/>
    <hyperlink ref="E114" r:id="rId327" display="https://soporte.quito-turismo.gob.ec/front/ticket.form.php?id=1926" xr:uid="{864D8836-70F2-4779-80C3-693E9B1E028C}"/>
    <hyperlink ref="J114" r:id="rId328" display="https://soporte.quito-turismo.gob.ec/front/user.form.php?id=40" xr:uid="{DD7B77CF-5BA5-4CC3-8F5E-924294884CF2}"/>
    <hyperlink ref="K114" r:id="rId329" display="https://soporte.quito-turismo.gob.ec/front/user.form.php?id=31" xr:uid="{CE0BDC1B-4211-4BDA-9ED4-3764AB110A2D}"/>
    <hyperlink ref="E115" r:id="rId330" display="https://soporte.quito-turismo.gob.ec/front/ticket.form.php?id=1922" xr:uid="{00753A10-46CA-4C51-B086-19F486CF30CD}"/>
    <hyperlink ref="J115" r:id="rId331" display="https://soporte.quito-turismo.gob.ec/front/user.form.php?id=30" xr:uid="{39CBE30A-70F9-4007-AA4F-4EBA28EDE586}"/>
    <hyperlink ref="K115" r:id="rId332" display="https://soporte.quito-turismo.gob.ec/front/user.form.php?id=31" xr:uid="{CAEA51DA-62EC-4D7E-9CC8-2DC4FEF6CE5F}"/>
    <hyperlink ref="E116" r:id="rId333" display="https://soporte.quito-turismo.gob.ec/front/ticket.form.php?id=1921" xr:uid="{B62A4A5F-F775-4E1A-9409-07FCB78BBD99}"/>
    <hyperlink ref="J116" r:id="rId334" display="https://soporte.quito-turismo.gob.ec/front/user.form.php?id=32" xr:uid="{3904A07B-1AC5-4C29-9409-091CC245E3FC}"/>
    <hyperlink ref="K116" r:id="rId335" display="https://soporte.quito-turismo.gob.ec/front/user.form.php?id=31" xr:uid="{AE98EFD2-F527-41B9-82A6-FDDB63887AF2}"/>
    <hyperlink ref="E117" r:id="rId336" display="https://soporte.quito-turismo.gob.ec/front/ticket.form.php?id=1920" xr:uid="{577E94D9-43EC-4B96-8C10-2939453AEFA2}"/>
    <hyperlink ref="J117" r:id="rId337" display="https://soporte.quito-turismo.gob.ec/front/user.form.php?id=32" xr:uid="{C4FAF0C4-11E7-416E-8E64-B66F1CA9F404}"/>
    <hyperlink ref="K117" r:id="rId338" display="https://soporte.quito-turismo.gob.ec/front/user.form.php?id=31" xr:uid="{26584C3F-5041-4BB4-BBF5-2DA7418E4731}"/>
    <hyperlink ref="E118" r:id="rId339" display="https://soporte.quito-turismo.gob.ec/front/ticket.form.php?id=1919" xr:uid="{A8C25A3A-69E0-4E70-A0E5-53D5A301D21C}"/>
    <hyperlink ref="J118" r:id="rId340" display="https://soporte.quito-turismo.gob.ec/front/user.form.php?id=75" xr:uid="{F6A84FB2-ADAB-484E-8A88-D1CF990C1934}"/>
    <hyperlink ref="K118" r:id="rId341" display="https://soporte.quito-turismo.gob.ec/front/user.form.php?id=31" xr:uid="{9ADA937B-AA37-431E-8CD6-6E01CAA69851}"/>
    <hyperlink ref="E119" r:id="rId342" display="https://soporte.quito-turismo.gob.ec/front/ticket.form.php?id=1917" xr:uid="{8715B03A-47B3-495B-9E6B-180FFE75C72B}"/>
    <hyperlink ref="J119" r:id="rId343" display="https://soporte.quito-turismo.gob.ec/front/user.form.php?id=35" xr:uid="{DD8B00C7-AA49-406E-A403-A4616BA1A7F0}"/>
    <hyperlink ref="K119" r:id="rId344" display="https://soporte.quito-turismo.gob.ec/front/user.form.php?id=31" xr:uid="{9AE64B63-D9E5-4374-913A-F22BD4DF5C89}"/>
    <hyperlink ref="E120" r:id="rId345" display="https://soporte.quito-turismo.gob.ec/front/ticket.form.php?id=1913" xr:uid="{32BD39FE-CAAD-4096-81A8-28974C8AC151}"/>
    <hyperlink ref="J120" r:id="rId346" display="https://soporte.quito-turismo.gob.ec/front/user.form.php?id=20" xr:uid="{35B14970-9FC1-4ACA-BA39-2A0E7F1A9820}"/>
    <hyperlink ref="K120" r:id="rId347" display="https://soporte.quito-turismo.gob.ec/front/user.form.php?id=31" xr:uid="{9BD88984-AEE8-4CC1-84CD-800C1C732BA0}"/>
    <hyperlink ref="E121" r:id="rId348" display="https://soporte.quito-turismo.gob.ec/front/ticket.form.php?id=1910" xr:uid="{FC75BEBA-6C07-45EA-A7A0-FC58A26B4A79}"/>
    <hyperlink ref="J121" r:id="rId349" display="https://soporte.quito-turismo.gob.ec/front/user.form.php?id=30" xr:uid="{54E64F79-9C25-4F1B-93E5-AC6EFB1D57D7}"/>
    <hyperlink ref="K121" r:id="rId350" display="https://soporte.quito-turismo.gob.ec/front/user.form.php?id=31" xr:uid="{36AB8E82-030A-47B5-9F4C-8148792D815B}"/>
    <hyperlink ref="E122" r:id="rId351" display="https://soporte.quito-turismo.gob.ec/front/ticket.form.php?id=1907" xr:uid="{05246926-4836-45B0-9CA5-1624E7D05AFA}"/>
    <hyperlink ref="J122" r:id="rId352" display="https://soporte.quito-turismo.gob.ec/front/user.form.php?id=30" xr:uid="{3176436B-7FAC-46D8-A9FF-2F8831A8BE93}"/>
    <hyperlink ref="K122" r:id="rId353" display="https://soporte.quito-turismo.gob.ec/front/user.form.php?id=31" xr:uid="{19C55CE8-E66C-4C89-9733-1508B34C85F4}"/>
    <hyperlink ref="E123" r:id="rId354" display="https://soporte.quito-turismo.gob.ec/front/ticket.form.php?id=1905" xr:uid="{E9E2B902-2756-4FEF-ADE9-AA62FB4EC562}"/>
    <hyperlink ref="J123" r:id="rId355" display="https://soporte.quito-turismo.gob.ec/front/user.form.php?id=40" xr:uid="{F66A823E-2F1E-4562-9D0C-E8A6A571DE21}"/>
    <hyperlink ref="K123" r:id="rId356" display="https://soporte.quito-turismo.gob.ec/front/user.form.php?id=31" xr:uid="{F2B82DB5-97D9-4FB1-809E-2F82AE07F2AE}"/>
    <hyperlink ref="E124" r:id="rId357" display="https://soporte.quito-turismo.gob.ec/front/ticket.form.php?id=1900" xr:uid="{46BBDA9E-4DC0-4D05-9BDF-00C9B23A33C8}"/>
    <hyperlink ref="J124" r:id="rId358" display="https://soporte.quito-turismo.gob.ec/front/user.form.php?id=20" xr:uid="{8EEC19F7-C290-4EDF-90B3-DEA2D501642F}"/>
    <hyperlink ref="K124" r:id="rId359" display="https://soporte.quito-turismo.gob.ec/front/user.form.php?id=31" xr:uid="{6E14CEF2-353F-419C-A658-AAD3D240A817}"/>
    <hyperlink ref="E125" r:id="rId360" display="https://soporte.quito-turismo.gob.ec/front/ticket.form.php?id=1950" xr:uid="{06822709-BBA2-431E-9756-F94CCAEAE1D3}"/>
    <hyperlink ref="J125" r:id="rId361" display="https://soporte.quito-turismo.gob.ec/front/user.form.php?id=100" xr:uid="{2967FDD7-F20A-49CA-B863-DE786E7D5AB7}"/>
    <hyperlink ref="K125" r:id="rId362" display="https://soporte.quito-turismo.gob.ec/front/user.form.php?id=39" xr:uid="{BA2F39D4-5326-43D9-A94E-3F31D4A3BC68}"/>
    <hyperlink ref="E126" r:id="rId363" display="https://soporte.quito-turismo.gob.ec/front/ticket.form.php?id=1948" xr:uid="{9B24952F-B22B-45B8-8C09-1CC35A4D5E4B}"/>
    <hyperlink ref="J126" r:id="rId364" display="https://soporte.quito-turismo.gob.ec/front/user.form.php?id=48" xr:uid="{2766D439-ED38-4F1B-9A88-ED5C52877FAB}"/>
    <hyperlink ref="K126" r:id="rId365" display="https://soporte.quito-turismo.gob.ec/front/user.form.php?id=39" xr:uid="{89D5DE37-7D21-44AA-AC36-6D3A0F837CA7}"/>
    <hyperlink ref="E127" r:id="rId366" display="https://soporte.quito-turismo.gob.ec/front/ticket.form.php?id=1949" xr:uid="{ABA9071D-FC7A-47CC-8774-B6E1F37E61C1}"/>
    <hyperlink ref="J127" r:id="rId367" display="https://soporte.quito-turismo.gob.ec/front/user.form.php?id=48" xr:uid="{B915A70B-8E17-4907-B2E9-7EDE52847D93}"/>
    <hyperlink ref="K127" r:id="rId368" display="https://soporte.quito-turismo.gob.ec/front/user.form.php?id=39" xr:uid="{E16F052F-547A-4B95-BBA2-E112D379DC3B}"/>
    <hyperlink ref="E128" r:id="rId369" display="https://soporte.quito-turismo.gob.ec/front/ticket.form.php?id=1947" xr:uid="{7ECE3558-F94E-401A-86AB-547E2895679D}"/>
    <hyperlink ref="J128" r:id="rId370" display="https://soporte.quito-turismo.gob.ec/front/user.form.php?id=100" xr:uid="{4DA92C4F-D0ED-4EE0-89BC-CF7657AE5731}"/>
    <hyperlink ref="K128" r:id="rId371" display="https://soporte.quito-turismo.gob.ec/front/user.form.php?id=39" xr:uid="{2EB89B73-12AF-4119-BCCF-5C745D769FAE}"/>
    <hyperlink ref="E129" r:id="rId372" display="https://soporte.quito-turismo.gob.ec/front/ticket.form.php?id=1944" xr:uid="{EC0B2B58-EAA5-419D-B2DC-880806934DFB}"/>
    <hyperlink ref="J129" r:id="rId373" display="https://soporte.quito-turismo.gob.ec/front/user.form.php?id=38" xr:uid="{4F43E0DB-C99B-421C-B8BD-05B7959BF8CF}"/>
    <hyperlink ref="K129" r:id="rId374" display="https://soporte.quito-turismo.gob.ec/front/user.form.php?id=39" xr:uid="{66E82739-7694-40BE-BABD-8A9762A2011C}"/>
    <hyperlink ref="E130" r:id="rId375" display="https://soporte.quito-turismo.gob.ec/front/ticket.form.php?id=1934" xr:uid="{2B68341A-8219-4B22-8E93-0CAE58B1981B}"/>
    <hyperlink ref="J130" r:id="rId376" display="https://soporte.quito-turismo.gob.ec/front/user.form.php?id=17" xr:uid="{50D72752-C731-4055-A86E-102D87BEEF23}"/>
    <hyperlink ref="K130" r:id="rId377" display="https://soporte.quito-turismo.gob.ec/front/user.form.php?id=39" xr:uid="{6982E259-7BAC-4018-BFCD-12767D8E7D12}"/>
    <hyperlink ref="E131" r:id="rId378" display="https://soporte.quito-turismo.gob.ec/front/ticket.form.php?id=1937" xr:uid="{CCE6FC4C-BF0A-4A2B-BDAA-3D300DE7B5AB}"/>
    <hyperlink ref="J131" r:id="rId379" display="https://soporte.quito-turismo.gob.ec/front/user.form.php?id=100" xr:uid="{0DD7CBA4-4DDB-432C-A3DF-6EB03A8BEC3D}"/>
    <hyperlink ref="K131" r:id="rId380" display="https://soporte.quito-turismo.gob.ec/front/user.form.php?id=39" xr:uid="{D5F57DA3-3587-45BB-A3EC-18B2F13F57E1}"/>
    <hyperlink ref="E132" r:id="rId381" display="https://soporte.quito-turismo.gob.ec/front/ticket.form.php?id=1938" xr:uid="{D2B777E9-4245-4EB2-B3F9-E49FE49BF2F8}"/>
    <hyperlink ref="J132" r:id="rId382" display="https://soporte.quito-turismo.gob.ec/front/user.form.php?id=61" xr:uid="{ACF30C3A-FDFB-4D84-8603-E1BEB456CCE5}"/>
    <hyperlink ref="K132" r:id="rId383" display="https://soporte.quito-turismo.gob.ec/front/user.form.php?id=39" xr:uid="{7F9841FF-BB7E-4707-9273-0025080B6F29}"/>
    <hyperlink ref="E133" r:id="rId384" display="https://soporte.quito-turismo.gob.ec/front/ticket.form.php?id=1941" xr:uid="{65A2E727-D272-46C1-826E-17443F2E84D7}"/>
    <hyperlink ref="J133" r:id="rId385" display="https://soporte.quito-turismo.gob.ec/front/user.form.php?id=61" xr:uid="{C8EE840C-E4F5-4B19-8A09-09E2F2AD0100}"/>
    <hyperlink ref="K133" r:id="rId386" display="https://soporte.quito-turismo.gob.ec/front/user.form.php?id=39" xr:uid="{9C53D4D2-24A3-4518-AA23-2B70CD8DF96F}"/>
    <hyperlink ref="E134" r:id="rId387" display="https://soporte.quito-turismo.gob.ec/front/ticket.form.php?id=1943" xr:uid="{75055CF8-591C-4784-BF91-198788208DB6}"/>
    <hyperlink ref="J134" r:id="rId388" display="https://soporte.quito-turismo.gob.ec/front/user.form.php?id=105" xr:uid="{8981EABC-BF15-4D63-97C9-A3BBD2702F2E}"/>
    <hyperlink ref="E135" r:id="rId389" display="https://soporte.quito-turismo.gob.ec/front/ticket.form.php?id=1932" xr:uid="{7CC7CB3D-73B8-473F-AA4F-440C30DA7C09}"/>
    <hyperlink ref="J135" r:id="rId390" display="https://soporte.quito-turismo.gob.ec/front/user.form.php?id=77" xr:uid="{2A3913DA-5AEF-46DC-93E5-95FF1407F549}"/>
    <hyperlink ref="K135" r:id="rId391" display="https://soporte.quito-turismo.gob.ec/front/user.form.php?id=39" xr:uid="{5C9AD3CA-E21B-46A4-92A3-DBD72FFBD0C6}"/>
    <hyperlink ref="E136" r:id="rId392" display="https://soporte.quito-turismo.gob.ec/front/ticket.form.php?id=1942" xr:uid="{BD23CFA9-41B5-480F-A7EE-0BE0213826B8}"/>
    <hyperlink ref="J136" r:id="rId393" display="https://soporte.quito-turismo.gob.ec/front/user.form.php?id=105" xr:uid="{334702EF-6158-45C1-A9E1-2A19AB9DC565}"/>
    <hyperlink ref="E137" r:id="rId394" display="https://soporte.quito-turismo.gob.ec/front/ticket.form.php?id=1930" xr:uid="{21BBE19D-5A6B-438C-9742-1E1E682C4160}"/>
    <hyperlink ref="J137" r:id="rId395" display="https://soporte.quito-turismo.gob.ec/front/user.form.php?id=69" xr:uid="{4FC5D9EB-96F4-4EA4-979C-F7FE4DD319AD}"/>
    <hyperlink ref="K137" r:id="rId396" display="https://soporte.quito-turismo.gob.ec/front/user.form.php?id=39" xr:uid="{B49DAF0C-8861-420D-B909-340A9B0CBF02}"/>
    <hyperlink ref="E138" r:id="rId397" display="https://soporte.quito-turismo.gob.ec/front/ticket.form.php?id=1929" xr:uid="{432E15EC-E87B-446D-AD5B-258165796FBB}"/>
    <hyperlink ref="J138" r:id="rId398" display="https://soporte.quito-turismo.gob.ec/front/user.form.php?id=30" xr:uid="{5FF50E34-6DB4-4608-93E9-91ACD28FE2FC}"/>
    <hyperlink ref="K138" r:id="rId399" display="https://soporte.quito-turismo.gob.ec/front/user.form.php?id=39" xr:uid="{BE817038-E1C7-48C6-AF86-B470A0CE559D}"/>
    <hyperlink ref="E139" r:id="rId400" display="https://soporte.quito-turismo.gob.ec/front/ticket.form.php?id=1927" xr:uid="{5CBC4861-5BAD-4636-A206-C9A129826F2F}"/>
    <hyperlink ref="J139" r:id="rId401" display="https://soporte.quito-turismo.gob.ec/front/user.form.php?id=29" xr:uid="{E1EF0100-431A-4923-B822-9E3187B795FB}"/>
    <hyperlink ref="K139" r:id="rId402" display="https://soporte.quito-turismo.gob.ec/front/user.form.php?id=39" xr:uid="{D4E73C15-3347-430D-B5DB-78590F6A3D28}"/>
    <hyperlink ref="E140" r:id="rId403" display="https://soporte.quito-turismo.gob.ec/front/ticket.form.php?id=1925" xr:uid="{CEE32B9F-5CAF-4392-814E-E8D9ECD172C3}"/>
    <hyperlink ref="J140" r:id="rId404" display="https://soporte.quito-turismo.gob.ec/front/user.form.php?id=30" xr:uid="{49ADCD9A-B249-4DD7-8754-2A8ECC58410A}"/>
    <hyperlink ref="K140" r:id="rId405" display="https://soporte.quito-turismo.gob.ec/front/user.form.php?id=39" xr:uid="{EE507EE4-9DB0-4C85-8387-DD0C75A195FA}"/>
    <hyperlink ref="E141" r:id="rId406" display="https://soporte.quito-turismo.gob.ec/front/ticket.form.php?id=1924" xr:uid="{79D0734B-290D-4CB5-AE02-2D24A5358021}"/>
    <hyperlink ref="J141" r:id="rId407" display="https://soporte.quito-turismo.gob.ec/front/user.form.php?id=61" xr:uid="{3A60E0F0-6008-49FE-B447-CCF7983FBC03}"/>
    <hyperlink ref="K141" r:id="rId408" display="https://soporte.quito-turismo.gob.ec/front/user.form.php?id=39" xr:uid="{BD493CD5-2145-4ED8-B0CA-489BFB9FE45A}"/>
    <hyperlink ref="E142" r:id="rId409" display="https://soporte.quito-turismo.gob.ec/front/ticket.form.php?id=1923" xr:uid="{9FA983B5-D5B4-42C8-B5B2-9E7BC9ABDCDD}"/>
    <hyperlink ref="J142" r:id="rId410" display="https://soporte.quito-turismo.gob.ec/front/user.form.php?id=100" xr:uid="{5323E3B4-F64E-4B0A-B381-A49A022CE4AD}"/>
    <hyperlink ref="K142" r:id="rId411" display="https://soporte.quito-turismo.gob.ec/front/user.form.php?id=39" xr:uid="{AB1BF1DE-9398-4F16-851E-E3EA9FD1E606}"/>
    <hyperlink ref="E143" r:id="rId412" display="https://soporte.quito-turismo.gob.ec/front/ticket.form.php?id=1918" xr:uid="{826324C5-4395-4F52-8B82-DAB2AD558C74}"/>
    <hyperlink ref="J143" r:id="rId413" display="https://soporte.quito-turismo.gob.ec/front/user.form.php?id=48" xr:uid="{AB0D56A1-DE0B-479E-B3D7-7F9774B42F93}"/>
    <hyperlink ref="K143" r:id="rId414" display="https://soporte.quito-turismo.gob.ec/front/user.form.php?id=39" xr:uid="{436C0538-2726-4ACC-8B52-E5BD285DA7A7}"/>
    <hyperlink ref="E144" r:id="rId415" display="https://soporte.quito-turismo.gob.ec/front/ticket.form.php?id=1916" xr:uid="{AD9EAA17-CFB6-4C63-B698-1F44AFA0FB56}"/>
    <hyperlink ref="J144" r:id="rId416" display="https://soporte.quito-turismo.gob.ec/front/user.form.php?id=48" xr:uid="{A0CA37EC-7626-4E97-944A-96058DA2B8C3}"/>
    <hyperlink ref="K144" r:id="rId417" display="https://soporte.quito-turismo.gob.ec/front/user.form.php?id=39" xr:uid="{7E60F346-9617-433E-A164-2C04CEFE68FC}"/>
    <hyperlink ref="E145" r:id="rId418" display="https://soporte.quito-turismo.gob.ec/front/ticket.form.php?id=1915" xr:uid="{5438E3F4-BE05-443C-ADEF-8B3D622E042B}"/>
    <hyperlink ref="J145" r:id="rId419" display="https://soporte.quito-turismo.gob.ec/front/user.form.php?id=61" xr:uid="{1C363D41-3ED6-4497-8DEC-56232DFE559F}"/>
    <hyperlink ref="K145" r:id="rId420" display="https://soporte.quito-turismo.gob.ec/front/user.form.php?id=39" xr:uid="{4817A16A-1055-4134-B770-9ABD39ECCCA6}"/>
    <hyperlink ref="E146" r:id="rId421" display="https://soporte.quito-turismo.gob.ec/front/ticket.form.php?id=1914" xr:uid="{8B6BCC64-3AB0-49BF-BC6B-154EBECCF954}"/>
    <hyperlink ref="J146" r:id="rId422" display="https://soporte.quito-turismo.gob.ec/front/user.form.php?id=61" xr:uid="{AEB8E891-75AE-47B4-A47C-91455AF4E429}"/>
    <hyperlink ref="K146" r:id="rId423" display="https://soporte.quito-turismo.gob.ec/front/user.form.php?id=39" xr:uid="{F96F6FB7-3ACD-4877-ACCC-0BA8E71B0FF3}"/>
    <hyperlink ref="E147" r:id="rId424" display="https://soporte.quito-turismo.gob.ec/front/ticket.form.php?id=1911" xr:uid="{75BAD38F-7222-4B06-9AE5-EF9D468ACFEA}"/>
    <hyperlink ref="J147" r:id="rId425" display="https://soporte.quito-turismo.gob.ec/front/user.form.php?id=48" xr:uid="{64058E55-CDF6-43CB-8346-0E73C020C7EF}"/>
    <hyperlink ref="K147" r:id="rId426" display="https://soporte.quito-turismo.gob.ec/front/user.form.php?id=39" xr:uid="{7A7E7D06-82DA-49CD-98D8-F88BDFAF1A28}"/>
    <hyperlink ref="E148" r:id="rId427" display="https://soporte.quito-turismo.gob.ec/front/ticket.form.php?id=1892" xr:uid="{BC88C6B7-CEA7-4A06-8194-D78B0A4F92F6}"/>
    <hyperlink ref="J148" r:id="rId428" display="https://soporte.quito-turismo.gob.ec/front/user.form.php?id=40" xr:uid="{77A1581A-8906-46EC-80FD-CB005A0BDF5E}"/>
    <hyperlink ref="K148" r:id="rId429" display="https://soporte.quito-turismo.gob.ec/front/user.form.php?id=39" xr:uid="{6998E7D4-2B3E-4EC2-9F1E-B514B3907EE4}"/>
    <hyperlink ref="E149" r:id="rId430" display="https://soporte.quito-turismo.gob.ec/front/ticket.form.php?id=1897" xr:uid="{688E304C-F13D-4FE9-BAD4-CCC5C35862E7}"/>
    <hyperlink ref="J149" r:id="rId431" display="https://soporte.quito-turismo.gob.ec/front/user.form.php?id=30" xr:uid="{2CC6B545-1706-42E5-A577-FCCA16B3997B}"/>
    <hyperlink ref="K149" r:id="rId432" display="https://soporte.quito-turismo.gob.ec/front/user.form.php?id=39" xr:uid="{73AC15B9-05B1-4807-98A4-D3486D8487EF}"/>
    <hyperlink ref="E150" r:id="rId433" display="https://soporte.quito-turismo.gob.ec/front/ticket.form.php?id=1904" xr:uid="{91EDDA08-E5AF-4158-8C18-1879664B3746}"/>
    <hyperlink ref="J150" r:id="rId434" display="https://soporte.quito-turismo.gob.ec/front/user.form.php?id=30" xr:uid="{059C204A-2F11-4721-A456-C14D394820A0}"/>
    <hyperlink ref="K150" r:id="rId435" display="https://soporte.quito-turismo.gob.ec/front/user.form.php?id=39" xr:uid="{5FB3D4BA-4860-4B5D-B685-D5DF2E8DE12C}"/>
    <hyperlink ref="E151" r:id="rId436" display="https://soporte.quito-turismo.gob.ec/front/ticket.form.php?id=1909" xr:uid="{DE2EA0E3-2BD4-4E1A-9BBD-6EB729606E66}"/>
    <hyperlink ref="J151" r:id="rId437" display="https://soporte.quito-turismo.gob.ec/front/user.form.php?id=48" xr:uid="{289CDA9B-4AAC-4A39-A789-5924A9223990}"/>
    <hyperlink ref="K151" r:id="rId438" display="https://soporte.quito-turismo.gob.ec/front/user.form.php?id=39" xr:uid="{7755E8E5-A6B4-4BA5-875F-5A9CC30AA072}"/>
    <hyperlink ref="E152" r:id="rId439" display="https://soporte.quito-turismo.gob.ec/front/ticket.form.php?id=1906" xr:uid="{D71C0C10-DD9F-4235-AB92-F2ECBE3046DE}"/>
    <hyperlink ref="J152" r:id="rId440" display="https://soporte.quito-turismo.gob.ec/front/user.form.php?id=31" xr:uid="{19823B3F-5265-4FBE-8734-B2388C0D2136}"/>
    <hyperlink ref="E153" r:id="rId441" display="https://soporte.quito-turismo.gob.ec/front/ticket.form.php?id=1901" xr:uid="{6EE19880-F742-46C8-BEF0-048836C0EEF0}"/>
    <hyperlink ref="J153" r:id="rId442" display="https://soporte.quito-turismo.gob.ec/front/user.form.php?id=30" xr:uid="{0E1E6079-7E55-4B77-A460-7160C7092753}"/>
    <hyperlink ref="E154" r:id="rId443" display="https://soporte.quito-turismo.gob.ec/front/ticket.form.php?id=1899" xr:uid="{C18355D6-A505-49C1-8766-494546320DC0}"/>
    <hyperlink ref="J154" r:id="rId444" display="https://soporte.quito-turismo.gob.ec/front/user.form.php?id=32" xr:uid="{154EB6F5-1D44-491F-82FA-C31290AED9D5}"/>
    <hyperlink ref="E155" r:id="rId445" display="https://soporte.quito-turismo.gob.ec/front/ticket.form.php?id=1898" xr:uid="{19BE8921-0C20-440F-8ABE-E46D037113AF}"/>
    <hyperlink ref="J155" r:id="rId446" display="https://soporte.quito-turismo.gob.ec/front/user.form.php?id=32" xr:uid="{2406FDF5-A851-4BE4-B5D3-5DF23BE18CA1}"/>
    <hyperlink ref="E156" r:id="rId447" display="https://soporte.quito-turismo.gob.ec/front/ticket.form.php?id=1868" xr:uid="{F8E38708-020A-41B3-94E7-7CEA42932A66}"/>
    <hyperlink ref="J156" r:id="rId448" display="https://soporte.quito-turismo.gob.ec/front/user.form.php?id=99" xr:uid="{002906B6-A39F-44BC-8FC4-3C3ED7DF3E65}"/>
    <hyperlink ref="K156" r:id="rId449" display="https://soporte.quito-turismo.gob.ec/front/user.form.php?id=31" xr:uid="{CE97DF44-D2FA-4444-BBF7-AACF78CAECDF}"/>
  </hyperlinks>
  <pageMargins left="0.7" right="0.7" top="0.75" bottom="0.75" header="0.3" footer="0.3"/>
  <pageSetup paperSize="9" orientation="portrait" r:id="rId450"/>
  <tableParts count="1">
    <tablePart r:id="rId45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34A20-1770-4EF5-B342-DA69816DF72E}">
  <dimension ref="B1:H31"/>
  <sheetViews>
    <sheetView zoomScale="85" zoomScaleNormal="85" workbookViewId="0">
      <selection activeCell="K44" sqref="K44"/>
    </sheetView>
  </sheetViews>
  <sheetFormatPr baseColWidth="10" defaultRowHeight="12.75" x14ac:dyDescent="0.2"/>
  <cols>
    <col min="2" max="2" width="38.140625" customWidth="1"/>
    <col min="3" max="3" width="17.140625" customWidth="1"/>
    <col min="4" max="4" width="19" customWidth="1"/>
    <col min="5" max="5" width="53.28515625" customWidth="1"/>
    <col min="6" max="7" width="17.140625" customWidth="1"/>
  </cols>
  <sheetData>
    <row r="1" spans="2:8" ht="35.1" customHeight="1" x14ac:dyDescent="0.35">
      <c r="B1" s="86" t="s">
        <v>1428</v>
      </c>
      <c r="C1" s="87"/>
      <c r="D1" s="87"/>
      <c r="E1" s="87"/>
      <c r="F1" s="87"/>
      <c r="G1" s="87"/>
      <c r="H1" s="87"/>
    </row>
    <row r="3" spans="2:8" ht="15.75" x14ac:dyDescent="0.25">
      <c r="B3" s="88" t="s">
        <v>1429</v>
      </c>
      <c r="C3" s="89"/>
      <c r="D3" s="89"/>
      <c r="E3" s="89"/>
      <c r="F3" s="89"/>
      <c r="G3" s="89"/>
      <c r="H3" s="89"/>
    </row>
    <row r="5" spans="2:8" ht="24.95" customHeight="1" x14ac:dyDescent="0.2">
      <c r="B5" s="82" t="s">
        <v>1430</v>
      </c>
      <c r="C5" s="82" t="s">
        <v>1431</v>
      </c>
      <c r="D5" s="82" t="s">
        <v>1432</v>
      </c>
      <c r="E5" s="82" t="s">
        <v>1433</v>
      </c>
      <c r="F5" s="82" t="s">
        <v>1434</v>
      </c>
      <c r="G5" s="82" t="s">
        <v>1435</v>
      </c>
    </row>
    <row r="6" spans="2:8" ht="35.1" customHeight="1" x14ac:dyDescent="0.2">
      <c r="B6" s="83">
        <f>COUNTA(TablaTickets[TICKET])</f>
        <v>155</v>
      </c>
      <c r="C6" s="83">
        <f>COUNTIF(TablaTickets[ESTADO],"*Cerrado*")</f>
        <v>145</v>
      </c>
      <c r="D6" s="83">
        <f>COUNTIF(TablaTickets[ESTADO],"*Resuelto*")</f>
        <v>1</v>
      </c>
      <c r="E6" s="83">
        <f>COUNTIF(TablaTickets[ESTADO],"*En curso*")</f>
        <v>8</v>
      </c>
      <c r="F6" s="83">
        <f>COUNTIF(TablaTickets[ESTADO],"*Nuevo*")</f>
        <v>1</v>
      </c>
      <c r="G6" s="83">
        <f>COUNTIF(TablaTickets[PRIORIDAD],"*Alta*")</f>
        <v>30</v>
      </c>
    </row>
    <row r="9" spans="2:8" x14ac:dyDescent="0.2">
      <c r="B9" s="90" t="s">
        <v>1436</v>
      </c>
      <c r="C9" s="89"/>
      <c r="E9" s="90" t="s">
        <v>1439</v>
      </c>
      <c r="F9" s="89"/>
    </row>
    <row r="10" spans="2:8" x14ac:dyDescent="0.2">
      <c r="B10" s="84" t="s">
        <v>1437</v>
      </c>
      <c r="C10" s="84" t="s">
        <v>1438</v>
      </c>
      <c r="E10" s="84" t="s">
        <v>1440</v>
      </c>
      <c r="F10" s="84" t="s">
        <v>1438</v>
      </c>
    </row>
    <row r="11" spans="2:8" x14ac:dyDescent="0.2">
      <c r="B11" t="str" cm="1">
        <f t="array" ref="B11:B14">_xlfn._xlws.SORT(_xlfn.UNIQUE(TablaTickets[ESTADO]))</f>
        <v> Cerrado</v>
      </c>
      <c r="C11" cm="1">
        <f t="array" ref="C11:C14">COUNTIF(TablaTickets[ESTADO],_xlfn.ANCHORARRAY(B11))</f>
        <v>145</v>
      </c>
      <c r="E11" t="str" cm="1">
        <f t="array" ref="E11:E13">_xlfn._xlws.SORT(_xlfn.UNIQUE(TablaTickets[PRIORIDAD]))</f>
        <v> Alta</v>
      </c>
      <c r="F11" cm="1">
        <f t="array" ref="F11:F13">COUNTIF(TablaTickets[PRIORIDAD],_xlfn.ANCHORARRAY(E11))</f>
        <v>30</v>
      </c>
    </row>
    <row r="12" spans="2:8" x14ac:dyDescent="0.2">
      <c r="B12" t="str">
        <v> En curso (asignado)</v>
      </c>
      <c r="C12">
        <v>8</v>
      </c>
      <c r="E12" t="str">
        <v> Baja</v>
      </c>
      <c r="F12">
        <v>1</v>
      </c>
    </row>
    <row r="13" spans="2:8" x14ac:dyDescent="0.2">
      <c r="B13" t="str">
        <v> Nuevo</v>
      </c>
      <c r="C13">
        <v>1</v>
      </c>
      <c r="E13" t="str">
        <v> Media</v>
      </c>
      <c r="F13">
        <v>124</v>
      </c>
    </row>
    <row r="14" spans="2:8" x14ac:dyDescent="0.2">
      <c r="B14" t="str">
        <v> Resuelto</v>
      </c>
      <c r="C14">
        <v>1</v>
      </c>
    </row>
    <row r="20" spans="2:6" x14ac:dyDescent="0.2">
      <c r="B20" s="90" t="s">
        <v>1441</v>
      </c>
      <c r="C20" s="89"/>
      <c r="E20" s="90" t="s">
        <v>1443</v>
      </c>
      <c r="F20" s="89"/>
    </row>
    <row r="21" spans="2:6" x14ac:dyDescent="0.2">
      <c r="B21" s="84" t="s">
        <v>1442</v>
      </c>
      <c r="C21" s="84" t="s">
        <v>1438</v>
      </c>
      <c r="E21" s="84" t="s">
        <v>1444</v>
      </c>
      <c r="F21" s="84" t="s">
        <v>1438</v>
      </c>
    </row>
    <row r="22" spans="2:6" x14ac:dyDescent="0.2">
      <c r="B22" t="str" cm="1">
        <f t="array" ref="B22:B26">_xlfn._xlws.SORT(_xlfn.UNIQUE(_xlfn._xlws.FILTER(TablaTickets[TÉCNICO ASIGNADO],TablaTickets[TÉCNICO ASIGNADO]&lt;&gt;"")))</f>
        <v>Casa Chanaluisa Alex Wladimir </v>
      </c>
      <c r="C22" cm="1">
        <f t="array" ref="C22:C26">COUNTIF(TablaTickets[TÉCNICO ASIGNADO],_xlfn.ANCHORARRAY(B22))</f>
        <v>1</v>
      </c>
      <c r="E22" t="str" cm="1">
        <f t="array" ref="E22:E31">_xlfn.LET(_xlpm.u,_xlfn.UNIQUE(_xlfn._xlws.FILTER(TablaTickets[CATEGORÍA],TablaTickets[CATEGORÍA]&lt;&gt;"")),_xlpm.c,COUNTIF(TablaTickets[CATEGORÍA],_xlpm.u),_xlpm.s,_xlfn.SORTBY(_xlpm.u,_xlpm.c,-1),_xlfn.TAKE(_xlpm.s,10))</f>
        <v>Soporte de aplicaciones de negocio &gt; SICET</v>
      </c>
      <c r="F22" cm="1">
        <f t="array" ref="F22:F31">COUNTIF(TablaTickets[CATEGORÍA],_xlfn.ANCHORARRAY(E22))</f>
        <v>44</v>
      </c>
    </row>
    <row r="23" spans="2:6" x14ac:dyDescent="0.2">
      <c r="B23" t="str">
        <v>Chiluisa Armas Luis Patricio </v>
      </c>
      <c r="C23">
        <v>67</v>
      </c>
      <c r="E23" t="str">
        <v>Soporte de aplicaciones de negocio &gt; ERP Olympo</v>
      </c>
      <c r="F23">
        <v>31</v>
      </c>
    </row>
    <row r="24" spans="2:6" x14ac:dyDescent="0.2">
      <c r="B24" t="str">
        <v>glpi </v>
      </c>
      <c r="C24">
        <v>1</v>
      </c>
      <c r="E24" t="str">
        <v>Servicios de Infraestructura y Seguridad &gt; Gestión de Identidad y Acceso</v>
      </c>
      <c r="F24">
        <v>15</v>
      </c>
    </row>
    <row r="25" spans="2:6" x14ac:dyDescent="0.2">
      <c r="B25" t="str">
        <v>glpi  </v>
      </c>
      <c r="C25">
        <v>2</v>
      </c>
      <c r="E25" t="str">
        <v>Soporte de aplicaciones de negocio &gt; Sitra</v>
      </c>
      <c r="F25">
        <v>9</v>
      </c>
    </row>
    <row r="26" spans="2:6" x14ac:dyDescent="0.2">
      <c r="B26" t="str">
        <v>Medina Iturre Edgar Fabricio </v>
      </c>
      <c r="C26">
        <v>71</v>
      </c>
      <c r="E26" t="str">
        <v>Soporte de aplicaciones de negocio &gt; Portal Institución</v>
      </c>
      <c r="F26">
        <v>8</v>
      </c>
    </row>
    <row r="27" spans="2:6" x14ac:dyDescent="0.2">
      <c r="E27" t="str">
        <v>Soporte a Equipos de Cómputo y Periféricos &gt; Computadora o laptop</v>
      </c>
      <c r="F27">
        <v>7</v>
      </c>
    </row>
    <row r="28" spans="2:6" x14ac:dyDescent="0.2">
      <c r="E28" t="str">
        <v>Soporte a Equipos de Cómputo y Periféricos &gt; Pantallas digitales</v>
      </c>
      <c r="F28">
        <v>4</v>
      </c>
    </row>
    <row r="29" spans="2:6" x14ac:dyDescent="0.2">
      <c r="E29" t="str">
        <v>Soporte a Equipos de Cómputo y Periféricos &gt; Impresora</v>
      </c>
      <c r="F29">
        <v>3</v>
      </c>
    </row>
    <row r="30" spans="2:6" x14ac:dyDescent="0.2">
      <c r="E30" t="str">
        <v>Servicios de Infraestructura y Seguridad &gt; Copias de Seguridad y Recuperación de Información</v>
      </c>
      <c r="F30">
        <v>3</v>
      </c>
    </row>
    <row r="31" spans="2:6" x14ac:dyDescent="0.2">
      <c r="E31" t="str">
        <v>Gestión de Software de Ofimática y Colaboración &gt; Correo Electrónico Institucional</v>
      </c>
      <c r="F31">
        <v>2</v>
      </c>
    </row>
  </sheetData>
  <mergeCells count="6">
    <mergeCell ref="B1:H1"/>
    <mergeCell ref="B3:H3"/>
    <mergeCell ref="B9:C9"/>
    <mergeCell ref="E9:F9"/>
    <mergeCell ref="B20:C20"/>
    <mergeCell ref="E20:F2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27"/>
  <sheetViews>
    <sheetView workbookViewId="0"/>
  </sheetViews>
  <sheetFormatPr baseColWidth="10" defaultColWidth="12.5703125" defaultRowHeight="15" customHeight="1" x14ac:dyDescent="0.2"/>
  <cols>
    <col min="1" max="1" width="17" customWidth="1"/>
    <col min="2" max="2" width="18.7109375" customWidth="1"/>
    <col min="3" max="3" width="11.5703125" customWidth="1"/>
    <col min="4" max="26" width="10.5703125" customWidth="1"/>
  </cols>
  <sheetData>
    <row r="1" spans="1:4" ht="12.75" customHeight="1" x14ac:dyDescent="0.2">
      <c r="A1" s="30" t="s">
        <v>760</v>
      </c>
      <c r="B1" s="32" t="s">
        <v>1039</v>
      </c>
    </row>
    <row r="2" spans="1:4" ht="12.75" customHeight="1" x14ac:dyDescent="0.2">
      <c r="A2" s="40" t="s">
        <v>1040</v>
      </c>
      <c r="B2" s="40">
        <v>170150215005003</v>
      </c>
    </row>
    <row r="3" spans="1:4" ht="12.75" customHeight="1" x14ac:dyDescent="0.2">
      <c r="A3" s="40" t="s">
        <v>1040</v>
      </c>
      <c r="B3" s="40">
        <v>170150214009002</v>
      </c>
    </row>
    <row r="4" spans="1:4" ht="12.75" customHeight="1" x14ac:dyDescent="0.2">
      <c r="A4" s="40" t="s">
        <v>1040</v>
      </c>
      <c r="B4" s="40">
        <v>170150214009001</v>
      </c>
      <c r="D4" s="62" t="s">
        <v>1041</v>
      </c>
    </row>
    <row r="5" spans="1:4" ht="12.75" customHeight="1" x14ac:dyDescent="0.2">
      <c r="A5" s="40" t="s">
        <v>1040</v>
      </c>
      <c r="B5" s="40">
        <v>170150214010001</v>
      </c>
    </row>
    <row r="6" spans="1:4" ht="12.75" customHeight="1" x14ac:dyDescent="0.2">
      <c r="A6" s="40" t="s">
        <v>1040</v>
      </c>
      <c r="B6" s="40">
        <v>170150236008002</v>
      </c>
    </row>
    <row r="7" spans="1:4" ht="12.75" customHeight="1" x14ac:dyDescent="0.2">
      <c r="A7" s="40" t="s">
        <v>1040</v>
      </c>
      <c r="B7" s="40">
        <v>170150215004001</v>
      </c>
    </row>
    <row r="8" spans="1:4" ht="12.75" customHeight="1" x14ac:dyDescent="0.2">
      <c r="A8" s="40" t="s">
        <v>1040</v>
      </c>
      <c r="B8" s="40">
        <v>170150214008001</v>
      </c>
    </row>
    <row r="9" spans="1:4" ht="12.75" customHeight="1" x14ac:dyDescent="0.2">
      <c r="A9" s="40" t="s">
        <v>1040</v>
      </c>
      <c r="B9" s="40">
        <v>170150215009004</v>
      </c>
    </row>
    <row r="10" spans="1:4" ht="12.75" customHeight="1" x14ac:dyDescent="0.2">
      <c r="A10" s="40" t="s">
        <v>1040</v>
      </c>
      <c r="B10" s="40">
        <v>170150215008004</v>
      </c>
    </row>
    <row r="11" spans="1:4" ht="12.75" customHeight="1" x14ac:dyDescent="0.2">
      <c r="A11" s="40" t="s">
        <v>1040</v>
      </c>
      <c r="B11" s="40">
        <v>170150215008003</v>
      </c>
    </row>
    <row r="12" spans="1:4" ht="12.75" customHeight="1" x14ac:dyDescent="0.2">
      <c r="A12" s="40" t="s">
        <v>1040</v>
      </c>
      <c r="B12" s="40">
        <v>170150215008006</v>
      </c>
    </row>
    <row r="13" spans="1:4" ht="12.75" customHeight="1" x14ac:dyDescent="0.2">
      <c r="A13" s="40" t="s">
        <v>1040</v>
      </c>
      <c r="B13" s="40">
        <v>170150215008005</v>
      </c>
    </row>
    <row r="14" spans="1:4" ht="12.75" customHeight="1" x14ac:dyDescent="0.2">
      <c r="A14" s="40" t="s">
        <v>1040</v>
      </c>
      <c r="B14" s="40">
        <v>170150215008007</v>
      </c>
    </row>
    <row r="15" spans="1:4" ht="12.75" customHeight="1" x14ac:dyDescent="0.2">
      <c r="A15" s="40" t="s">
        <v>1040</v>
      </c>
      <c r="B15" s="40">
        <v>170150215007003</v>
      </c>
    </row>
    <row r="16" spans="1:4" ht="12.75" customHeight="1" x14ac:dyDescent="0.2">
      <c r="A16" s="40" t="s">
        <v>1040</v>
      </c>
      <c r="B16" s="40">
        <v>170150215007002</v>
      </c>
    </row>
    <row r="17" spans="1:3" ht="12.75" customHeight="1" x14ac:dyDescent="0.2">
      <c r="A17" s="40" t="s">
        <v>1040</v>
      </c>
      <c r="B17" s="40">
        <v>170150215007005</v>
      </c>
    </row>
    <row r="18" spans="1:3" ht="12.75" customHeight="1" x14ac:dyDescent="0.2">
      <c r="A18" s="40" t="s">
        <v>1040</v>
      </c>
      <c r="B18" s="40">
        <v>170150215007006</v>
      </c>
    </row>
    <row r="19" spans="1:3" ht="12.75" customHeight="1" x14ac:dyDescent="0.2">
      <c r="A19" s="40" t="s">
        <v>1040</v>
      </c>
      <c r="B19" s="40">
        <v>170150215007009</v>
      </c>
    </row>
    <row r="20" spans="1:3" ht="12.75" customHeight="1" x14ac:dyDescent="0.2">
      <c r="A20" s="40" t="s">
        <v>1040</v>
      </c>
      <c r="B20" s="40">
        <v>170150215007008</v>
      </c>
    </row>
    <row r="21" spans="1:3" ht="12.75" customHeight="1" x14ac:dyDescent="0.2">
      <c r="A21" s="40" t="s">
        <v>1040</v>
      </c>
      <c r="B21" s="40">
        <v>170150215006002</v>
      </c>
    </row>
    <row r="22" spans="1:3" ht="12.75" customHeight="1" x14ac:dyDescent="0.2">
      <c r="A22" s="40" t="s">
        <v>1040</v>
      </c>
      <c r="B22" s="40">
        <v>170150215006001</v>
      </c>
    </row>
    <row r="23" spans="1:3" ht="12.75" customHeight="1" x14ac:dyDescent="0.2">
      <c r="A23" s="40" t="s">
        <v>37</v>
      </c>
      <c r="B23" s="40">
        <v>170150244003001</v>
      </c>
      <c r="C23" s="63"/>
    </row>
    <row r="24" spans="1:3" ht="12.75" customHeight="1" x14ac:dyDescent="0.2">
      <c r="A24" s="40" t="s">
        <v>37</v>
      </c>
      <c r="B24" s="40">
        <v>170150236009001</v>
      </c>
      <c r="C24" s="63"/>
    </row>
    <row r="25" spans="1:3" ht="12.75" customHeight="1" x14ac:dyDescent="0.2">
      <c r="A25" s="40" t="s">
        <v>37</v>
      </c>
      <c r="B25" s="40">
        <v>170150208011003</v>
      </c>
      <c r="C25" s="63"/>
    </row>
    <row r="26" spans="1:3" ht="12.75" customHeight="1" x14ac:dyDescent="0.2">
      <c r="A26" s="40" t="s">
        <v>37</v>
      </c>
      <c r="B26" s="40">
        <v>170150213005002</v>
      </c>
      <c r="C26" s="63"/>
    </row>
    <row r="27" spans="1:3" ht="12.75" customHeight="1" x14ac:dyDescent="0.2">
      <c r="A27" s="40" t="s">
        <v>37</v>
      </c>
      <c r="B27" s="40">
        <v>170150241003001</v>
      </c>
      <c r="C27" s="63"/>
    </row>
    <row r="28" spans="1:3" ht="12.75" customHeight="1" x14ac:dyDescent="0.2">
      <c r="A28" s="40" t="s">
        <v>37</v>
      </c>
      <c r="B28" s="40">
        <v>170150238004001</v>
      </c>
      <c r="C28" s="63"/>
    </row>
    <row r="29" spans="1:3" ht="12.75" customHeight="1" x14ac:dyDescent="0.2">
      <c r="A29" s="40" t="s">
        <v>37</v>
      </c>
      <c r="B29" s="40">
        <v>170150238004003</v>
      </c>
      <c r="C29" s="63"/>
    </row>
    <row r="30" spans="1:3" ht="12.75" customHeight="1" x14ac:dyDescent="0.2">
      <c r="A30" s="40" t="s">
        <v>37</v>
      </c>
      <c r="B30" s="40">
        <v>170150239008001</v>
      </c>
      <c r="C30" s="63"/>
    </row>
    <row r="31" spans="1:3" ht="12.75" customHeight="1" x14ac:dyDescent="0.2">
      <c r="A31" s="40" t="s">
        <v>37</v>
      </c>
      <c r="B31" s="40">
        <v>170150238004002</v>
      </c>
      <c r="C31" s="63"/>
    </row>
    <row r="32" spans="1:3" ht="12.75" customHeight="1" x14ac:dyDescent="0.2">
      <c r="A32" s="40" t="s">
        <v>37</v>
      </c>
      <c r="B32" s="40">
        <v>170150238004004</v>
      </c>
      <c r="C32" s="63"/>
    </row>
    <row r="33" spans="1:3" ht="12.75" customHeight="1" x14ac:dyDescent="0.2">
      <c r="A33" s="40" t="s">
        <v>37</v>
      </c>
      <c r="B33" s="40">
        <v>170150212005002</v>
      </c>
      <c r="C33" s="63"/>
    </row>
    <row r="34" spans="1:3" ht="12.75" customHeight="1" x14ac:dyDescent="0.2">
      <c r="A34" s="40" t="s">
        <v>37</v>
      </c>
      <c r="B34" s="40">
        <v>170150212005001</v>
      </c>
      <c r="C34" s="63"/>
    </row>
    <row r="35" spans="1:3" ht="12.75" customHeight="1" x14ac:dyDescent="0.2">
      <c r="A35" s="40" t="s">
        <v>37</v>
      </c>
      <c r="B35" s="40">
        <v>170150217008001</v>
      </c>
      <c r="C35" s="63"/>
    </row>
    <row r="36" spans="1:3" ht="12.75" customHeight="1" x14ac:dyDescent="0.2">
      <c r="A36" s="40" t="s">
        <v>37</v>
      </c>
      <c r="B36" s="40">
        <v>170150244002001</v>
      </c>
      <c r="C36" s="63"/>
    </row>
    <row r="37" spans="1:3" ht="12.75" customHeight="1" x14ac:dyDescent="0.2">
      <c r="A37" s="40" t="s">
        <v>37</v>
      </c>
      <c r="B37" s="40">
        <v>170150236008005</v>
      </c>
      <c r="C37" s="63"/>
    </row>
    <row r="38" spans="1:3" ht="12.75" customHeight="1" x14ac:dyDescent="0.2">
      <c r="A38" s="40" t="s">
        <v>37</v>
      </c>
      <c r="B38" s="40">
        <v>170150236008004</v>
      </c>
      <c r="C38" s="63"/>
    </row>
    <row r="39" spans="1:3" ht="12.75" customHeight="1" x14ac:dyDescent="0.2">
      <c r="A39" s="40" t="s">
        <v>37</v>
      </c>
      <c r="B39" s="40">
        <v>170150236008006</v>
      </c>
      <c r="C39" s="63"/>
    </row>
    <row r="40" spans="1:3" ht="12.75" customHeight="1" x14ac:dyDescent="0.2">
      <c r="A40" s="40" t="s">
        <v>37</v>
      </c>
      <c r="B40" s="40">
        <v>170150236008003</v>
      </c>
      <c r="C40" s="63"/>
    </row>
    <row r="41" spans="1:3" ht="12.75" customHeight="1" x14ac:dyDescent="0.2">
      <c r="A41" s="40" t="s">
        <v>37</v>
      </c>
      <c r="B41" s="40">
        <v>170150236008002</v>
      </c>
      <c r="C41" s="63"/>
    </row>
    <row r="42" spans="1:3" ht="12.75" customHeight="1" x14ac:dyDescent="0.2">
      <c r="A42" s="40" t="s">
        <v>37</v>
      </c>
      <c r="B42" s="40">
        <v>170150198003001</v>
      </c>
      <c r="C42" s="63"/>
    </row>
    <row r="43" spans="1:3" ht="12.75" customHeight="1" x14ac:dyDescent="0.2">
      <c r="A43" s="40" t="s">
        <v>37</v>
      </c>
      <c r="B43" s="40">
        <v>170150198003003</v>
      </c>
      <c r="C43" s="63"/>
    </row>
    <row r="44" spans="1:3" ht="12.75" customHeight="1" x14ac:dyDescent="0.2">
      <c r="A44" s="40" t="s">
        <v>37</v>
      </c>
      <c r="B44" s="40">
        <v>170150198003002</v>
      </c>
      <c r="C44" s="63"/>
    </row>
    <row r="45" spans="1:3" ht="12.75" customHeight="1" x14ac:dyDescent="0.2">
      <c r="A45" s="40" t="s">
        <v>37</v>
      </c>
      <c r="B45" s="40">
        <v>170150242009001</v>
      </c>
      <c r="C45" s="63"/>
    </row>
    <row r="46" spans="1:3" ht="12.75" customHeight="1" x14ac:dyDescent="0.2">
      <c r="A46" s="40" t="s">
        <v>37</v>
      </c>
      <c r="B46" s="40">
        <v>170150211009001</v>
      </c>
      <c r="C46" s="63"/>
    </row>
    <row r="47" spans="1:3" ht="12.75" customHeight="1" x14ac:dyDescent="0.2">
      <c r="A47" s="40" t="s">
        <v>37</v>
      </c>
      <c r="B47" s="40">
        <v>170150241002001</v>
      </c>
      <c r="C47" s="63"/>
    </row>
    <row r="48" spans="1:3" ht="12.75" customHeight="1" x14ac:dyDescent="0.2">
      <c r="A48" s="40" t="s">
        <v>37</v>
      </c>
      <c r="B48" s="40">
        <v>170150242010001</v>
      </c>
      <c r="C48" s="63"/>
    </row>
    <row r="49" spans="1:3" ht="12.75" customHeight="1" x14ac:dyDescent="0.2">
      <c r="A49" s="40" t="s">
        <v>37</v>
      </c>
      <c r="B49" s="40">
        <v>170150238003002</v>
      </c>
      <c r="C49" s="63"/>
    </row>
    <row r="50" spans="1:3" ht="12.75" customHeight="1" x14ac:dyDescent="0.2">
      <c r="A50" s="40" t="s">
        <v>37</v>
      </c>
      <c r="B50" s="40">
        <v>170150238003001</v>
      </c>
      <c r="C50" s="63"/>
    </row>
    <row r="51" spans="1:3" ht="12.75" customHeight="1" x14ac:dyDescent="0.2">
      <c r="A51" s="40" t="s">
        <v>37</v>
      </c>
      <c r="B51" s="40">
        <v>170150239007003</v>
      </c>
      <c r="C51" s="63"/>
    </row>
    <row r="52" spans="1:3" ht="12.75" customHeight="1" x14ac:dyDescent="0.2">
      <c r="A52" s="40" t="s">
        <v>37</v>
      </c>
      <c r="B52" s="40">
        <v>170150239007002</v>
      </c>
      <c r="C52" s="63"/>
    </row>
    <row r="53" spans="1:3" ht="12.75" customHeight="1" x14ac:dyDescent="0.2">
      <c r="A53" s="40" t="s">
        <v>37</v>
      </c>
      <c r="B53" s="40">
        <v>170150212004001</v>
      </c>
      <c r="C53" s="63"/>
    </row>
    <row r="54" spans="1:3" ht="12.75" customHeight="1" x14ac:dyDescent="0.2">
      <c r="A54" s="40" t="s">
        <v>37</v>
      </c>
      <c r="B54" s="40">
        <v>170150244001001</v>
      </c>
      <c r="C54" s="63"/>
    </row>
    <row r="55" spans="1:3" ht="12.75" customHeight="1" x14ac:dyDescent="0.2">
      <c r="A55" s="40" t="s">
        <v>37</v>
      </c>
      <c r="B55" s="40">
        <v>170150217007001</v>
      </c>
      <c r="C55" s="63"/>
    </row>
    <row r="56" spans="1:3" ht="12.75" customHeight="1" x14ac:dyDescent="0.2">
      <c r="A56" s="40" t="s">
        <v>37</v>
      </c>
      <c r="B56" s="40">
        <v>170150198002001</v>
      </c>
      <c r="C56" s="63"/>
    </row>
    <row r="57" spans="1:3" ht="12.75" customHeight="1" x14ac:dyDescent="0.2">
      <c r="A57" s="40" t="s">
        <v>37</v>
      </c>
      <c r="B57" s="40">
        <v>170150242008001</v>
      </c>
      <c r="C57" s="63"/>
    </row>
    <row r="58" spans="1:3" ht="12.75" customHeight="1" x14ac:dyDescent="0.2">
      <c r="A58" s="40" t="s">
        <v>37</v>
      </c>
      <c r="B58" s="40">
        <v>170150243008001</v>
      </c>
      <c r="C58" s="63"/>
    </row>
    <row r="59" spans="1:3" ht="12.75" customHeight="1" x14ac:dyDescent="0.2">
      <c r="A59" s="40" t="s">
        <v>37</v>
      </c>
      <c r="B59" s="40">
        <v>170150243008002</v>
      </c>
      <c r="C59" s="63"/>
    </row>
    <row r="60" spans="1:3" ht="12.75" customHeight="1" x14ac:dyDescent="0.2">
      <c r="A60" s="40" t="s">
        <v>37</v>
      </c>
      <c r="B60" s="40">
        <v>170150203009002</v>
      </c>
      <c r="C60" s="63"/>
    </row>
    <row r="61" spans="1:3" ht="12.75" customHeight="1" x14ac:dyDescent="0.2">
      <c r="A61" s="40" t="s">
        <v>37</v>
      </c>
      <c r="B61" s="40">
        <v>170150203009001</v>
      </c>
      <c r="C61" s="63"/>
    </row>
    <row r="62" spans="1:3" ht="12.75" customHeight="1" x14ac:dyDescent="0.2">
      <c r="A62" s="40" t="s">
        <v>37</v>
      </c>
      <c r="B62" s="40">
        <v>170150220010001</v>
      </c>
      <c r="C62" s="63"/>
    </row>
    <row r="63" spans="1:3" ht="12.75" customHeight="1" x14ac:dyDescent="0.2">
      <c r="A63" s="40" t="s">
        <v>37</v>
      </c>
      <c r="B63" s="40">
        <v>170150220010003</v>
      </c>
      <c r="C63" s="63"/>
    </row>
    <row r="64" spans="1:3" ht="12.75" customHeight="1" x14ac:dyDescent="0.2">
      <c r="A64" s="40" t="s">
        <v>37</v>
      </c>
      <c r="B64" s="40">
        <v>170150200010002</v>
      </c>
      <c r="C64" s="63"/>
    </row>
    <row r="65" spans="1:3" ht="12.75" customHeight="1" x14ac:dyDescent="0.2">
      <c r="A65" s="40" t="s">
        <v>37</v>
      </c>
      <c r="B65" s="40">
        <v>170150235002002</v>
      </c>
      <c r="C65" s="63"/>
    </row>
    <row r="66" spans="1:3" ht="12.75" customHeight="1" x14ac:dyDescent="0.2">
      <c r="A66" s="40" t="s">
        <v>37</v>
      </c>
      <c r="B66" s="40">
        <v>170150235002004</v>
      </c>
      <c r="C66" s="63"/>
    </row>
    <row r="67" spans="1:3" ht="12.75" customHeight="1" x14ac:dyDescent="0.2">
      <c r="A67" s="40" t="s">
        <v>37</v>
      </c>
      <c r="B67" s="40">
        <v>170150235002003</v>
      </c>
      <c r="C67" s="63"/>
    </row>
    <row r="68" spans="1:3" ht="12.75" customHeight="1" x14ac:dyDescent="0.2">
      <c r="A68" s="40" t="s">
        <v>37</v>
      </c>
      <c r="B68" s="40">
        <v>170150235002005</v>
      </c>
      <c r="C68" s="63"/>
    </row>
    <row r="69" spans="1:3" ht="12.75" customHeight="1" x14ac:dyDescent="0.2">
      <c r="A69" s="40" t="s">
        <v>37</v>
      </c>
      <c r="B69" s="40">
        <v>170150238002001</v>
      </c>
      <c r="C69" s="63"/>
    </row>
    <row r="70" spans="1:3" ht="12.75" customHeight="1" x14ac:dyDescent="0.2">
      <c r="A70" s="40" t="s">
        <v>37</v>
      </c>
      <c r="B70" s="40">
        <v>170150241001001</v>
      </c>
      <c r="C70" s="63"/>
    </row>
    <row r="71" spans="1:3" ht="12.75" customHeight="1" x14ac:dyDescent="0.2">
      <c r="A71" s="40" t="s">
        <v>37</v>
      </c>
      <c r="B71" s="40">
        <v>170150239006004</v>
      </c>
      <c r="C71" s="63"/>
    </row>
    <row r="72" spans="1:3" ht="12.75" customHeight="1" x14ac:dyDescent="0.2">
      <c r="A72" s="40" t="s">
        <v>37</v>
      </c>
      <c r="B72" s="40">
        <v>170150236006002</v>
      </c>
      <c r="C72" s="63"/>
    </row>
    <row r="73" spans="1:3" ht="12.75" customHeight="1" x14ac:dyDescent="0.2">
      <c r="A73" s="40" t="s">
        <v>37</v>
      </c>
      <c r="B73" s="40">
        <v>170150236006001</v>
      </c>
      <c r="C73" s="63"/>
    </row>
    <row r="74" spans="1:3" ht="12.75" customHeight="1" x14ac:dyDescent="0.2">
      <c r="A74" s="40" t="s">
        <v>37</v>
      </c>
      <c r="B74" s="40">
        <v>170150202010001</v>
      </c>
      <c r="C74" s="63"/>
    </row>
    <row r="75" spans="1:3" ht="12.75" customHeight="1" x14ac:dyDescent="0.2">
      <c r="A75" s="40" t="s">
        <v>37</v>
      </c>
      <c r="B75" s="40">
        <v>170150217006001</v>
      </c>
      <c r="C75" s="63"/>
    </row>
    <row r="76" spans="1:3" ht="12.75" customHeight="1" x14ac:dyDescent="0.2">
      <c r="A76" s="40" t="s">
        <v>37</v>
      </c>
      <c r="B76" s="40">
        <v>170150242007001</v>
      </c>
      <c r="C76" s="63"/>
    </row>
    <row r="77" spans="1:3" ht="12.75" customHeight="1" x14ac:dyDescent="0.2">
      <c r="A77" s="40" t="s">
        <v>37</v>
      </c>
      <c r="B77" s="40">
        <v>170150198001005</v>
      </c>
      <c r="C77" s="63"/>
    </row>
    <row r="78" spans="1:3" ht="12.75" customHeight="1" x14ac:dyDescent="0.2">
      <c r="A78" s="40" t="s">
        <v>37</v>
      </c>
      <c r="B78" s="40">
        <v>170150200009003</v>
      </c>
      <c r="C78" s="63"/>
    </row>
    <row r="79" spans="1:3" ht="12.75" customHeight="1" x14ac:dyDescent="0.2">
      <c r="A79" s="40" t="s">
        <v>37</v>
      </c>
      <c r="B79" s="40">
        <v>170150198001001</v>
      </c>
      <c r="C79" s="63"/>
    </row>
    <row r="80" spans="1:3" ht="12.75" customHeight="1" x14ac:dyDescent="0.2">
      <c r="A80" s="40" t="s">
        <v>37</v>
      </c>
      <c r="B80" s="40">
        <v>170150243007001</v>
      </c>
      <c r="C80" s="63"/>
    </row>
    <row r="81" spans="1:3" ht="12.75" customHeight="1" x14ac:dyDescent="0.2">
      <c r="A81" s="40" t="s">
        <v>37</v>
      </c>
      <c r="B81" s="40">
        <v>170150238001001</v>
      </c>
      <c r="C81" s="63"/>
    </row>
    <row r="82" spans="1:3" ht="12.75" customHeight="1" x14ac:dyDescent="0.2">
      <c r="A82" s="40" t="s">
        <v>37</v>
      </c>
      <c r="B82" s="40">
        <v>170150203008001</v>
      </c>
      <c r="C82" s="63"/>
    </row>
    <row r="83" spans="1:3" ht="12.75" customHeight="1" x14ac:dyDescent="0.2">
      <c r="A83" s="40" t="s">
        <v>37</v>
      </c>
      <c r="B83" s="40">
        <v>170150203008003</v>
      </c>
      <c r="C83" s="63"/>
    </row>
    <row r="84" spans="1:3" ht="12.75" customHeight="1" x14ac:dyDescent="0.2">
      <c r="A84" s="40" t="s">
        <v>37</v>
      </c>
      <c r="B84" s="40">
        <v>170150203008002</v>
      </c>
      <c r="C84" s="63"/>
    </row>
    <row r="85" spans="1:3" ht="12.75" customHeight="1" x14ac:dyDescent="0.2">
      <c r="A85" s="40" t="s">
        <v>37</v>
      </c>
      <c r="B85" s="40">
        <v>170150211007001</v>
      </c>
      <c r="C85" s="63"/>
    </row>
    <row r="86" spans="1:3" ht="12.75" customHeight="1" x14ac:dyDescent="0.2">
      <c r="A86" s="40" t="s">
        <v>37</v>
      </c>
      <c r="B86" s="40">
        <v>170150235001001</v>
      </c>
      <c r="C86" s="63"/>
    </row>
    <row r="87" spans="1:3" ht="12.75" customHeight="1" x14ac:dyDescent="0.2">
      <c r="A87" s="40" t="s">
        <v>37</v>
      </c>
      <c r="B87" s="40">
        <v>170150235001003</v>
      </c>
      <c r="C87" s="63"/>
    </row>
    <row r="88" spans="1:3" ht="12.75" customHeight="1" x14ac:dyDescent="0.2">
      <c r="A88" s="40" t="s">
        <v>37</v>
      </c>
      <c r="B88" s="40">
        <v>170150235001002</v>
      </c>
      <c r="C88" s="63"/>
    </row>
    <row r="89" spans="1:3" ht="12.75" customHeight="1" x14ac:dyDescent="0.2">
      <c r="A89" s="40" t="s">
        <v>37</v>
      </c>
      <c r="B89" s="40">
        <v>170150235001005</v>
      </c>
      <c r="C89" s="63"/>
    </row>
    <row r="90" spans="1:3" ht="12.75" customHeight="1" x14ac:dyDescent="0.2">
      <c r="A90" s="40" t="s">
        <v>37</v>
      </c>
      <c r="B90" s="40">
        <v>170150235001004</v>
      </c>
      <c r="C90" s="63"/>
    </row>
    <row r="91" spans="1:3" ht="12.75" customHeight="1" x14ac:dyDescent="0.2">
      <c r="A91" s="40" t="s">
        <v>37</v>
      </c>
      <c r="B91" s="40">
        <v>170150235001007</v>
      </c>
      <c r="C91" s="63"/>
    </row>
    <row r="92" spans="1:3" ht="12.75" customHeight="1" x14ac:dyDescent="0.2">
      <c r="A92" s="40" t="s">
        <v>37</v>
      </c>
      <c r="B92" s="40">
        <v>170150235001006</v>
      </c>
      <c r="C92" s="63"/>
    </row>
    <row r="93" spans="1:3" ht="12.75" customHeight="1" x14ac:dyDescent="0.2">
      <c r="A93" s="40" t="s">
        <v>37</v>
      </c>
      <c r="B93" s="40">
        <v>170150213002001</v>
      </c>
      <c r="C93" s="63"/>
    </row>
    <row r="94" spans="1:3" ht="12.75" customHeight="1" x14ac:dyDescent="0.2">
      <c r="A94" s="40" t="s">
        <v>37</v>
      </c>
      <c r="B94" s="40">
        <v>170150252001003</v>
      </c>
      <c r="C94" s="63"/>
    </row>
    <row r="95" spans="1:3" ht="12.75" customHeight="1" x14ac:dyDescent="0.2">
      <c r="A95" s="40" t="s">
        <v>37</v>
      </c>
      <c r="B95" s="40">
        <v>170150252001002</v>
      </c>
      <c r="C95" s="63"/>
    </row>
    <row r="96" spans="1:3" ht="12.75" customHeight="1" x14ac:dyDescent="0.2">
      <c r="A96" s="40" t="s">
        <v>37</v>
      </c>
      <c r="B96" s="40">
        <v>170150244011002</v>
      </c>
      <c r="C96" s="63"/>
    </row>
    <row r="97" spans="1:3" ht="12.75" customHeight="1" x14ac:dyDescent="0.2">
      <c r="A97" s="40" t="s">
        <v>37</v>
      </c>
      <c r="B97" s="40">
        <v>170150244011001</v>
      </c>
      <c r="C97" s="63"/>
    </row>
    <row r="98" spans="1:3" ht="12.75" customHeight="1" x14ac:dyDescent="0.2">
      <c r="A98" s="40" t="s">
        <v>37</v>
      </c>
      <c r="B98" s="40">
        <v>170150212002001</v>
      </c>
      <c r="C98" s="63"/>
    </row>
    <row r="99" spans="1:3" ht="12.75" customHeight="1" x14ac:dyDescent="0.2">
      <c r="A99" s="40" t="s">
        <v>37</v>
      </c>
      <c r="B99" s="40">
        <v>170150212002003</v>
      </c>
      <c r="C99" s="63"/>
    </row>
    <row r="100" spans="1:3" ht="12.75" customHeight="1" x14ac:dyDescent="0.2">
      <c r="A100" s="40" t="s">
        <v>37</v>
      </c>
      <c r="B100" s="40">
        <v>170150212002002</v>
      </c>
      <c r="C100" s="63"/>
    </row>
    <row r="101" spans="1:3" ht="12.75" customHeight="1" x14ac:dyDescent="0.2">
      <c r="A101" s="40" t="s">
        <v>37</v>
      </c>
      <c r="B101" s="40">
        <v>170150217005001</v>
      </c>
      <c r="C101" s="63"/>
    </row>
    <row r="102" spans="1:3" ht="12.75" customHeight="1" x14ac:dyDescent="0.2">
      <c r="A102" s="40" t="s">
        <v>37</v>
      </c>
      <c r="B102" s="40">
        <v>170150217005002</v>
      </c>
      <c r="C102" s="63"/>
    </row>
    <row r="103" spans="1:3" ht="12.75" customHeight="1" x14ac:dyDescent="0.2">
      <c r="A103" s="40" t="s">
        <v>37</v>
      </c>
      <c r="B103" s="40">
        <v>170150236005002</v>
      </c>
      <c r="C103" s="63"/>
    </row>
    <row r="104" spans="1:3" ht="12.75" customHeight="1" x14ac:dyDescent="0.2">
      <c r="A104" s="40" t="s">
        <v>37</v>
      </c>
      <c r="B104" s="40">
        <v>170150236005001</v>
      </c>
      <c r="C104" s="63"/>
    </row>
    <row r="105" spans="1:3" ht="12.75" customHeight="1" x14ac:dyDescent="0.2">
      <c r="A105" s="40" t="s">
        <v>37</v>
      </c>
      <c r="B105" s="40">
        <v>170150236005003</v>
      </c>
      <c r="C105" s="63"/>
    </row>
    <row r="106" spans="1:3" ht="12.75" customHeight="1" x14ac:dyDescent="0.2">
      <c r="A106" s="40" t="s">
        <v>37</v>
      </c>
      <c r="B106" s="40">
        <v>170150243006001</v>
      </c>
      <c r="C106" s="63"/>
    </row>
    <row r="107" spans="1:3" ht="12.75" customHeight="1" x14ac:dyDescent="0.2">
      <c r="A107" s="40" t="s">
        <v>37</v>
      </c>
      <c r="B107" s="40">
        <v>170150243006002</v>
      </c>
      <c r="C107" s="63"/>
    </row>
    <row r="108" spans="1:3" ht="12.75" customHeight="1" x14ac:dyDescent="0.2">
      <c r="A108" s="40" t="s">
        <v>37</v>
      </c>
      <c r="B108" s="40">
        <v>170150242006001</v>
      </c>
      <c r="C108" s="63"/>
    </row>
    <row r="109" spans="1:3" ht="12.75" customHeight="1" x14ac:dyDescent="0.2">
      <c r="A109" s="40" t="s">
        <v>37</v>
      </c>
      <c r="B109" s="40">
        <v>170150214005001</v>
      </c>
      <c r="C109" s="63"/>
    </row>
    <row r="110" spans="1:3" ht="12.75" customHeight="1" x14ac:dyDescent="0.2">
      <c r="A110" s="40" t="s">
        <v>37</v>
      </c>
      <c r="B110" s="40">
        <v>170150216005002</v>
      </c>
      <c r="C110" s="63"/>
    </row>
    <row r="111" spans="1:3" ht="12.75" customHeight="1" x14ac:dyDescent="0.2">
      <c r="A111" s="40" t="s">
        <v>37</v>
      </c>
      <c r="B111" s="40">
        <v>170150216005001</v>
      </c>
      <c r="C111" s="63"/>
    </row>
    <row r="112" spans="1:3" ht="12.75" customHeight="1" x14ac:dyDescent="0.2">
      <c r="A112" s="40" t="s">
        <v>37</v>
      </c>
      <c r="B112" s="40">
        <v>170150216005004</v>
      </c>
      <c r="C112" s="63"/>
    </row>
    <row r="113" spans="1:3" ht="12.75" customHeight="1" x14ac:dyDescent="0.2">
      <c r="A113" s="40" t="s">
        <v>37</v>
      </c>
      <c r="B113" s="40">
        <v>170150203007001</v>
      </c>
      <c r="C113" s="63"/>
    </row>
    <row r="114" spans="1:3" ht="12.75" customHeight="1" x14ac:dyDescent="0.2">
      <c r="A114" s="40" t="s">
        <v>37</v>
      </c>
      <c r="B114" s="40">
        <v>170150211006002</v>
      </c>
      <c r="C114" s="63"/>
    </row>
    <row r="115" spans="1:3" ht="12.75" customHeight="1" x14ac:dyDescent="0.2">
      <c r="A115" s="40" t="s">
        <v>37</v>
      </c>
      <c r="B115" s="40">
        <v>170150211006001</v>
      </c>
      <c r="C115" s="63"/>
    </row>
    <row r="116" spans="1:3" ht="12.75" customHeight="1" x14ac:dyDescent="0.2">
      <c r="A116" s="40" t="s">
        <v>37</v>
      </c>
      <c r="B116" s="40">
        <v>170150211006003</v>
      </c>
      <c r="C116" s="63"/>
    </row>
    <row r="117" spans="1:3" ht="12.75" customHeight="1" x14ac:dyDescent="0.2">
      <c r="A117" s="40" t="s">
        <v>37</v>
      </c>
      <c r="B117" s="40">
        <v>170150210002005</v>
      </c>
      <c r="C117" s="63"/>
    </row>
    <row r="118" spans="1:3" ht="12.75" customHeight="1" x14ac:dyDescent="0.2">
      <c r="A118" s="40" t="s">
        <v>37</v>
      </c>
      <c r="B118" s="40">
        <v>170150210002004</v>
      </c>
      <c r="C118" s="63"/>
    </row>
    <row r="119" spans="1:3" ht="12.75" customHeight="1" x14ac:dyDescent="0.2">
      <c r="A119" s="40" t="s">
        <v>37</v>
      </c>
      <c r="B119" s="40">
        <v>170150210002007</v>
      </c>
      <c r="C119" s="63"/>
    </row>
    <row r="120" spans="1:3" ht="12.75" customHeight="1" x14ac:dyDescent="0.2">
      <c r="A120" s="40" t="s">
        <v>37</v>
      </c>
      <c r="B120" s="40">
        <v>170150210002006</v>
      </c>
      <c r="C120" s="63"/>
    </row>
    <row r="121" spans="1:3" ht="12.75" customHeight="1" x14ac:dyDescent="0.2">
      <c r="A121" s="40" t="s">
        <v>37</v>
      </c>
      <c r="B121" s="40">
        <v>170150219004003</v>
      </c>
      <c r="C121" s="63"/>
    </row>
    <row r="122" spans="1:3" ht="12.75" customHeight="1" x14ac:dyDescent="0.2">
      <c r="A122" s="40" t="s">
        <v>37</v>
      </c>
      <c r="B122" s="40">
        <v>170150213001003</v>
      </c>
      <c r="C122" s="63"/>
    </row>
    <row r="123" spans="1:3" ht="12.75" customHeight="1" x14ac:dyDescent="0.2">
      <c r="A123" s="40" t="s">
        <v>37</v>
      </c>
      <c r="B123" s="40">
        <v>170150212001002</v>
      </c>
      <c r="C123" s="63"/>
    </row>
    <row r="124" spans="1:3" ht="12.75" customHeight="1" x14ac:dyDescent="0.2">
      <c r="A124" s="40" t="s">
        <v>37</v>
      </c>
      <c r="B124" s="40">
        <v>170150236004001</v>
      </c>
      <c r="C124" s="63"/>
    </row>
    <row r="125" spans="1:3" ht="12.75" customHeight="1" x14ac:dyDescent="0.2">
      <c r="A125" s="40" t="s">
        <v>37</v>
      </c>
      <c r="B125" s="40">
        <v>170150244009001</v>
      </c>
      <c r="C125" s="63"/>
    </row>
    <row r="126" spans="1:3" ht="12.75" customHeight="1" x14ac:dyDescent="0.2">
      <c r="A126" s="40" t="s">
        <v>37</v>
      </c>
      <c r="B126" s="40">
        <v>170150244009002</v>
      </c>
      <c r="C126" s="63"/>
    </row>
    <row r="127" spans="1:3" ht="12.75" customHeight="1" x14ac:dyDescent="0.2">
      <c r="A127" s="40" t="s">
        <v>37</v>
      </c>
      <c r="B127" s="40">
        <v>170150210001002</v>
      </c>
      <c r="C127" s="63"/>
    </row>
    <row r="128" spans="1:3" ht="12.75" customHeight="1" x14ac:dyDescent="0.2">
      <c r="A128" s="40" t="s">
        <v>37</v>
      </c>
      <c r="B128" s="40">
        <v>170150210001003</v>
      </c>
      <c r="C128" s="63"/>
    </row>
    <row r="129" spans="1:3" ht="12.75" customHeight="1" x14ac:dyDescent="0.2">
      <c r="A129" s="40" t="s">
        <v>37</v>
      </c>
      <c r="B129" s="40">
        <v>170150214004001</v>
      </c>
      <c r="C129" s="63"/>
    </row>
    <row r="130" spans="1:3" ht="12.75" customHeight="1" x14ac:dyDescent="0.2">
      <c r="A130" s="40" t="s">
        <v>37</v>
      </c>
      <c r="B130" s="40">
        <v>170150239003007</v>
      </c>
      <c r="C130" s="63"/>
    </row>
    <row r="131" spans="1:3" ht="12.75" customHeight="1" x14ac:dyDescent="0.2">
      <c r="A131" s="40" t="s">
        <v>37</v>
      </c>
      <c r="B131" s="40">
        <v>170150216004001</v>
      </c>
      <c r="C131" s="63"/>
    </row>
    <row r="132" spans="1:3" ht="12.75" customHeight="1" x14ac:dyDescent="0.2">
      <c r="A132" s="40" t="s">
        <v>37</v>
      </c>
      <c r="B132" s="40">
        <v>170150216004002</v>
      </c>
      <c r="C132" s="63"/>
    </row>
    <row r="133" spans="1:3" ht="12.75" customHeight="1" x14ac:dyDescent="0.2">
      <c r="A133" s="40" t="s">
        <v>37</v>
      </c>
      <c r="B133" s="40">
        <v>170150243005002</v>
      </c>
      <c r="C133" s="63"/>
    </row>
    <row r="134" spans="1:3" ht="12.75" customHeight="1" x14ac:dyDescent="0.2">
      <c r="A134" s="40" t="s">
        <v>37</v>
      </c>
      <c r="B134" s="40">
        <v>170150243005001</v>
      </c>
      <c r="C134" s="63"/>
    </row>
    <row r="135" spans="1:3" ht="12.75" customHeight="1" x14ac:dyDescent="0.2">
      <c r="A135" s="40" t="s">
        <v>37</v>
      </c>
      <c r="B135" s="40">
        <v>170150243005003</v>
      </c>
      <c r="C135" s="63"/>
    </row>
    <row r="136" spans="1:3" ht="12.75" customHeight="1" x14ac:dyDescent="0.2">
      <c r="A136" s="40" t="s">
        <v>37</v>
      </c>
      <c r="B136" s="40">
        <v>170150218011005</v>
      </c>
      <c r="C136" s="63"/>
    </row>
    <row r="137" spans="1:3" ht="12.75" customHeight="1" x14ac:dyDescent="0.2">
      <c r="A137" s="40" t="s">
        <v>37</v>
      </c>
      <c r="B137" s="40">
        <v>170150218011004</v>
      </c>
      <c r="C137" s="63"/>
    </row>
    <row r="138" spans="1:3" ht="12.75" customHeight="1" x14ac:dyDescent="0.2">
      <c r="A138" s="40" t="s">
        <v>37</v>
      </c>
      <c r="B138" s="40">
        <v>170150203006001</v>
      </c>
      <c r="C138" s="63"/>
    </row>
    <row r="139" spans="1:3" ht="12.75" customHeight="1" x14ac:dyDescent="0.2">
      <c r="A139" s="40" t="s">
        <v>37</v>
      </c>
      <c r="B139" s="40">
        <v>170150234003001</v>
      </c>
      <c r="C139" s="63"/>
    </row>
    <row r="140" spans="1:3" ht="12.75" customHeight="1" x14ac:dyDescent="0.2">
      <c r="A140" s="40" t="s">
        <v>37</v>
      </c>
      <c r="B140" s="40">
        <v>170150211005001</v>
      </c>
      <c r="C140" s="63"/>
    </row>
    <row r="141" spans="1:3" ht="12.75" customHeight="1" x14ac:dyDescent="0.2">
      <c r="A141" s="40" t="s">
        <v>37</v>
      </c>
      <c r="B141" s="40">
        <v>170150211005003</v>
      </c>
      <c r="C141" s="63"/>
    </row>
    <row r="142" spans="1:3" ht="12.75" customHeight="1" x14ac:dyDescent="0.2">
      <c r="A142" s="40" t="s">
        <v>37</v>
      </c>
      <c r="B142" s="40">
        <v>170150211005002</v>
      </c>
      <c r="C142" s="63"/>
    </row>
    <row r="143" spans="1:3" ht="12.75" customHeight="1" x14ac:dyDescent="0.2">
      <c r="A143" s="40" t="s">
        <v>37</v>
      </c>
      <c r="B143" s="40">
        <v>170150219003001</v>
      </c>
      <c r="C143" s="63"/>
    </row>
    <row r="144" spans="1:3" ht="12.75" customHeight="1" x14ac:dyDescent="0.2">
      <c r="A144" s="40" t="s">
        <v>37</v>
      </c>
      <c r="B144" s="40">
        <v>170150241009001</v>
      </c>
      <c r="C144" s="63"/>
    </row>
    <row r="145" spans="1:3" ht="12.75" customHeight="1" x14ac:dyDescent="0.2">
      <c r="A145" s="40" t="s">
        <v>37</v>
      </c>
      <c r="B145" s="40">
        <v>170150244008002</v>
      </c>
      <c r="C145" s="63"/>
    </row>
    <row r="146" spans="1:3" ht="12.75" customHeight="1" x14ac:dyDescent="0.2">
      <c r="A146" s="40" t="s">
        <v>37</v>
      </c>
      <c r="B146" s="40">
        <v>170150244008001</v>
      </c>
      <c r="C146" s="63"/>
    </row>
    <row r="147" spans="1:3" ht="12.75" customHeight="1" x14ac:dyDescent="0.2">
      <c r="A147" s="40" t="s">
        <v>37</v>
      </c>
      <c r="B147" s="40">
        <v>170150243004007</v>
      </c>
      <c r="C147" s="63"/>
    </row>
    <row r="148" spans="1:3" ht="12.75" customHeight="1" x14ac:dyDescent="0.2">
      <c r="A148" s="40" t="s">
        <v>37</v>
      </c>
      <c r="B148" s="40">
        <v>170150243004006</v>
      </c>
      <c r="C148" s="63"/>
    </row>
    <row r="149" spans="1:3" ht="12.75" customHeight="1" x14ac:dyDescent="0.2">
      <c r="A149" s="40" t="s">
        <v>37</v>
      </c>
      <c r="B149" s="40">
        <v>170150243004009</v>
      </c>
      <c r="C149" s="63"/>
    </row>
    <row r="150" spans="1:3" ht="12.75" customHeight="1" x14ac:dyDescent="0.2">
      <c r="A150" s="40" t="s">
        <v>37</v>
      </c>
      <c r="B150" s="40">
        <v>170150243004008</v>
      </c>
      <c r="C150" s="63"/>
    </row>
    <row r="151" spans="1:3" ht="12.75" customHeight="1" x14ac:dyDescent="0.2">
      <c r="A151" s="40" t="s">
        <v>37</v>
      </c>
      <c r="B151" s="40">
        <v>170150243004001</v>
      </c>
      <c r="C151" s="63"/>
    </row>
    <row r="152" spans="1:3" ht="12.75" customHeight="1" x14ac:dyDescent="0.2">
      <c r="A152" s="40" t="s">
        <v>37</v>
      </c>
      <c r="B152" s="40">
        <v>170150243004002</v>
      </c>
      <c r="C152" s="63"/>
    </row>
    <row r="153" spans="1:3" ht="12.75" customHeight="1" x14ac:dyDescent="0.2">
      <c r="A153" s="40" t="s">
        <v>37</v>
      </c>
      <c r="B153" s="40">
        <v>170150240004002</v>
      </c>
      <c r="C153" s="63"/>
    </row>
    <row r="154" spans="1:3" ht="12.75" customHeight="1" x14ac:dyDescent="0.2">
      <c r="A154" s="40" t="s">
        <v>37</v>
      </c>
      <c r="B154" s="40">
        <v>170150240004001</v>
      </c>
      <c r="C154" s="63"/>
    </row>
    <row r="155" spans="1:3" ht="12.75" customHeight="1" x14ac:dyDescent="0.2">
      <c r="A155" s="40" t="s">
        <v>37</v>
      </c>
      <c r="B155" s="40">
        <v>170150234002001</v>
      </c>
      <c r="C155" s="63"/>
    </row>
    <row r="156" spans="1:3" ht="12.75" customHeight="1" x14ac:dyDescent="0.2">
      <c r="A156" s="40" t="s">
        <v>37</v>
      </c>
      <c r="B156" s="40">
        <v>170150234002003</v>
      </c>
      <c r="C156" s="63"/>
    </row>
    <row r="157" spans="1:3" ht="12.75" customHeight="1" x14ac:dyDescent="0.2">
      <c r="A157" s="40" t="s">
        <v>37</v>
      </c>
      <c r="B157" s="40">
        <v>170150234002002</v>
      </c>
      <c r="C157" s="63"/>
    </row>
    <row r="158" spans="1:3" ht="12.75" customHeight="1" x14ac:dyDescent="0.2">
      <c r="A158" s="40" t="s">
        <v>37</v>
      </c>
      <c r="B158" s="40">
        <v>170150211004001</v>
      </c>
      <c r="C158" s="63"/>
    </row>
    <row r="159" spans="1:3" ht="12.75" customHeight="1" x14ac:dyDescent="0.2">
      <c r="A159" s="40" t="s">
        <v>37</v>
      </c>
      <c r="B159" s="40">
        <v>170150209007001</v>
      </c>
      <c r="C159" s="63"/>
    </row>
    <row r="160" spans="1:3" ht="12.75" customHeight="1" x14ac:dyDescent="0.2">
      <c r="A160" s="40" t="s">
        <v>37</v>
      </c>
      <c r="B160" s="40">
        <v>170150211003003</v>
      </c>
      <c r="C160" s="63"/>
    </row>
    <row r="161" spans="1:3" ht="12.75" customHeight="1" x14ac:dyDescent="0.2">
      <c r="A161" s="40" t="s">
        <v>37</v>
      </c>
      <c r="B161" s="40">
        <v>170150211003001</v>
      </c>
      <c r="C161" s="63"/>
    </row>
    <row r="162" spans="1:3" ht="12.75" customHeight="1" x14ac:dyDescent="0.2">
      <c r="A162" s="40" t="s">
        <v>37</v>
      </c>
      <c r="B162" s="40">
        <v>170150244007001</v>
      </c>
      <c r="C162" s="63"/>
    </row>
    <row r="163" spans="1:3" ht="12.75" customHeight="1" x14ac:dyDescent="0.2">
      <c r="A163" s="40" t="s">
        <v>37</v>
      </c>
      <c r="B163" s="40">
        <v>170150238008001</v>
      </c>
      <c r="C163" s="63"/>
    </row>
    <row r="164" spans="1:3" ht="12.75" customHeight="1" x14ac:dyDescent="0.2">
      <c r="A164" s="40" t="s">
        <v>37</v>
      </c>
      <c r="B164" s="40">
        <v>170150242003003</v>
      </c>
      <c r="C164" s="63"/>
    </row>
    <row r="165" spans="1:3" ht="12.75" customHeight="1" x14ac:dyDescent="0.2">
      <c r="A165" s="40" t="s">
        <v>37</v>
      </c>
      <c r="B165" s="40">
        <v>170150198008002</v>
      </c>
      <c r="C165" s="63"/>
    </row>
    <row r="166" spans="1:3" ht="12.75" customHeight="1" x14ac:dyDescent="0.2">
      <c r="A166" s="40" t="s">
        <v>37</v>
      </c>
      <c r="B166" s="40">
        <v>170150198008001</v>
      </c>
      <c r="C166" s="63"/>
    </row>
    <row r="167" spans="1:3" ht="12.75" customHeight="1" x14ac:dyDescent="0.2">
      <c r="A167" s="40" t="s">
        <v>37</v>
      </c>
      <c r="B167" s="40">
        <v>170150218008002</v>
      </c>
      <c r="C167" s="63"/>
    </row>
    <row r="168" spans="1:3" ht="12.75" customHeight="1" x14ac:dyDescent="0.2">
      <c r="A168" s="40" t="s">
        <v>37</v>
      </c>
      <c r="B168" s="40">
        <v>170150234001002</v>
      </c>
      <c r="C168" s="63"/>
    </row>
    <row r="169" spans="1:3" ht="12.75" customHeight="1" x14ac:dyDescent="0.2">
      <c r="A169" s="40" t="s">
        <v>37</v>
      </c>
      <c r="B169" s="40">
        <v>170150234001001</v>
      </c>
      <c r="C169" s="63"/>
    </row>
    <row r="170" spans="1:3" ht="12.75" customHeight="1" x14ac:dyDescent="0.2">
      <c r="A170" s="40" t="s">
        <v>37</v>
      </c>
      <c r="B170" s="40">
        <v>170150219001001</v>
      </c>
      <c r="C170" s="63"/>
    </row>
    <row r="171" spans="1:3" ht="12.75" customHeight="1" x14ac:dyDescent="0.2">
      <c r="A171" s="40" t="s">
        <v>37</v>
      </c>
      <c r="B171" s="40">
        <v>170150241007002</v>
      </c>
      <c r="C171" s="63"/>
    </row>
    <row r="172" spans="1:3" ht="12.75" customHeight="1" x14ac:dyDescent="0.2">
      <c r="A172" s="40" t="s">
        <v>37</v>
      </c>
      <c r="B172" s="40">
        <v>170150241007001</v>
      </c>
      <c r="C172" s="63"/>
    </row>
    <row r="173" spans="1:3" ht="12.75" customHeight="1" x14ac:dyDescent="0.2">
      <c r="A173" s="40" t="s">
        <v>37</v>
      </c>
      <c r="B173" s="40">
        <v>170150213009001</v>
      </c>
      <c r="C173" s="63"/>
    </row>
    <row r="174" spans="1:3" ht="12.75" customHeight="1" x14ac:dyDescent="0.2">
      <c r="A174" s="40" t="s">
        <v>37</v>
      </c>
      <c r="B174" s="40">
        <v>170150213010001</v>
      </c>
      <c r="C174" s="63"/>
    </row>
    <row r="175" spans="1:3" ht="12.75" customHeight="1" x14ac:dyDescent="0.2">
      <c r="A175" s="40" t="s">
        <v>37</v>
      </c>
      <c r="B175" s="40">
        <v>170150213010002</v>
      </c>
      <c r="C175" s="63"/>
    </row>
    <row r="176" spans="1:3" ht="12.75" customHeight="1" x14ac:dyDescent="0.2">
      <c r="A176" s="40" t="s">
        <v>37</v>
      </c>
      <c r="B176" s="40">
        <v>170150210010002</v>
      </c>
      <c r="C176" s="63"/>
    </row>
    <row r="177" spans="1:3" ht="12.75" customHeight="1" x14ac:dyDescent="0.2">
      <c r="A177" s="40" t="s">
        <v>37</v>
      </c>
      <c r="B177" s="40">
        <v>170150210010001</v>
      </c>
      <c r="C177" s="63"/>
    </row>
    <row r="178" spans="1:3" ht="12.75" customHeight="1" x14ac:dyDescent="0.2">
      <c r="A178" s="40" t="s">
        <v>37</v>
      </c>
      <c r="B178" s="40">
        <v>170150210010003</v>
      </c>
      <c r="C178" s="63"/>
    </row>
    <row r="179" spans="1:3" ht="12.75" customHeight="1" x14ac:dyDescent="0.2">
      <c r="A179" s="40" t="s">
        <v>37</v>
      </c>
      <c r="B179" s="40">
        <v>170150245002003</v>
      </c>
      <c r="C179" s="63"/>
    </row>
    <row r="180" spans="1:3" ht="12.75" customHeight="1" x14ac:dyDescent="0.2">
      <c r="A180" s="40" t="s">
        <v>37</v>
      </c>
      <c r="B180" s="40">
        <v>170150245002004</v>
      </c>
      <c r="C180" s="63"/>
    </row>
    <row r="181" spans="1:3" ht="12.75" customHeight="1" x14ac:dyDescent="0.2">
      <c r="A181" s="40" t="s">
        <v>37</v>
      </c>
      <c r="B181" s="40">
        <v>170150210009001</v>
      </c>
      <c r="C181" s="63"/>
    </row>
    <row r="182" spans="1:3" ht="12.75" customHeight="1" x14ac:dyDescent="0.2">
      <c r="A182" s="40" t="s">
        <v>37</v>
      </c>
      <c r="B182" s="40">
        <v>170150242002004</v>
      </c>
      <c r="C182" s="63"/>
    </row>
    <row r="183" spans="1:3" ht="12.75" customHeight="1" x14ac:dyDescent="0.2">
      <c r="A183" s="40" t="s">
        <v>37</v>
      </c>
      <c r="B183" s="40">
        <v>170150242002003</v>
      </c>
      <c r="C183" s="63"/>
    </row>
    <row r="184" spans="1:3" ht="12.75" customHeight="1" x14ac:dyDescent="0.2">
      <c r="A184" s="40" t="s">
        <v>37</v>
      </c>
      <c r="B184" s="40">
        <v>170150242002006</v>
      </c>
      <c r="C184" s="63"/>
    </row>
    <row r="185" spans="1:3" ht="12.75" customHeight="1" x14ac:dyDescent="0.2">
      <c r="A185" s="40" t="s">
        <v>37</v>
      </c>
      <c r="B185" s="40">
        <v>170150242002005</v>
      </c>
      <c r="C185" s="63"/>
    </row>
    <row r="186" spans="1:3" ht="12.75" customHeight="1" x14ac:dyDescent="0.2">
      <c r="A186" s="40" t="s">
        <v>37</v>
      </c>
      <c r="B186" s="40">
        <v>170150242002002</v>
      </c>
      <c r="C186" s="63"/>
    </row>
    <row r="187" spans="1:3" ht="12.75" customHeight="1" x14ac:dyDescent="0.2">
      <c r="A187" s="40" t="s">
        <v>37</v>
      </c>
      <c r="B187" s="40">
        <v>170150242002001</v>
      </c>
      <c r="C187" s="63"/>
    </row>
    <row r="188" spans="1:3" ht="12.75" customHeight="1" x14ac:dyDescent="0.2">
      <c r="A188" s="40" t="s">
        <v>37</v>
      </c>
      <c r="B188" s="40">
        <v>170150198007001</v>
      </c>
      <c r="C188" s="63"/>
    </row>
    <row r="189" spans="1:3" ht="12.75" customHeight="1" x14ac:dyDescent="0.2">
      <c r="A189" s="40" t="s">
        <v>37</v>
      </c>
      <c r="B189" s="40">
        <v>170150198007002</v>
      </c>
      <c r="C189" s="63"/>
    </row>
    <row r="190" spans="1:3" ht="12.75" customHeight="1" x14ac:dyDescent="0.2">
      <c r="A190" s="40" t="s">
        <v>37</v>
      </c>
      <c r="B190" s="40">
        <v>170150198007005</v>
      </c>
      <c r="C190" s="63"/>
    </row>
    <row r="191" spans="1:3" ht="12.75" customHeight="1" x14ac:dyDescent="0.2">
      <c r="A191" s="40" t="s">
        <v>37</v>
      </c>
      <c r="B191" s="40">
        <v>170150198007004</v>
      </c>
      <c r="C191" s="63"/>
    </row>
    <row r="192" spans="1:3" ht="12.75" customHeight="1" x14ac:dyDescent="0.2">
      <c r="A192" s="40" t="s">
        <v>37</v>
      </c>
      <c r="B192" s="40">
        <v>170150241006002</v>
      </c>
      <c r="C192" s="63"/>
    </row>
    <row r="193" spans="1:3" ht="12.75" customHeight="1" x14ac:dyDescent="0.2">
      <c r="A193" s="40" t="s">
        <v>37</v>
      </c>
      <c r="B193" s="40">
        <v>170150243002003</v>
      </c>
      <c r="C193" s="63"/>
    </row>
    <row r="194" spans="1:3" ht="12.75" customHeight="1" x14ac:dyDescent="0.2">
      <c r="A194" s="40" t="s">
        <v>37</v>
      </c>
      <c r="B194" s="40">
        <v>170150243002002</v>
      </c>
      <c r="C194" s="63"/>
    </row>
    <row r="195" spans="1:3" ht="12.75" customHeight="1" x14ac:dyDescent="0.2">
      <c r="A195" s="40" t="s">
        <v>37</v>
      </c>
      <c r="B195" s="40">
        <v>170150243002004</v>
      </c>
      <c r="C195" s="63"/>
    </row>
    <row r="196" spans="1:3" ht="12.75" customHeight="1" x14ac:dyDescent="0.2">
      <c r="A196" s="40" t="s">
        <v>37</v>
      </c>
      <c r="B196" s="40">
        <v>170150243002001</v>
      </c>
      <c r="C196" s="63"/>
    </row>
    <row r="197" spans="1:3" ht="12.75" customHeight="1" x14ac:dyDescent="0.2">
      <c r="A197" s="40" t="s">
        <v>37</v>
      </c>
      <c r="B197" s="40">
        <v>170150214001002</v>
      </c>
      <c r="C197" s="63"/>
    </row>
    <row r="198" spans="1:3" ht="12.75" customHeight="1" x14ac:dyDescent="0.2">
      <c r="A198" s="40" t="s">
        <v>37</v>
      </c>
      <c r="B198" s="40">
        <v>170150214001001</v>
      </c>
      <c r="C198" s="63"/>
    </row>
    <row r="199" spans="1:3" ht="12.75" customHeight="1" x14ac:dyDescent="0.2">
      <c r="A199" s="40" t="s">
        <v>37</v>
      </c>
      <c r="B199" s="40">
        <v>170150218007002</v>
      </c>
      <c r="C199" s="63"/>
    </row>
    <row r="200" spans="1:3" ht="12.75" customHeight="1" x14ac:dyDescent="0.2">
      <c r="A200" s="40" t="s">
        <v>37</v>
      </c>
      <c r="B200" s="40">
        <v>170150218007001</v>
      </c>
      <c r="C200" s="63"/>
    </row>
    <row r="201" spans="1:3" ht="12.75" customHeight="1" x14ac:dyDescent="0.2">
      <c r="A201" s="40" t="s">
        <v>37</v>
      </c>
      <c r="B201" s="40">
        <v>170150218007003</v>
      </c>
      <c r="C201" s="63"/>
    </row>
    <row r="202" spans="1:3" ht="12.75" customHeight="1" x14ac:dyDescent="0.2">
      <c r="A202" s="40" t="s">
        <v>37</v>
      </c>
      <c r="B202" s="40">
        <v>170150240002002</v>
      </c>
      <c r="C202" s="63"/>
    </row>
    <row r="203" spans="1:3" ht="12.75" customHeight="1" x14ac:dyDescent="0.2">
      <c r="A203" s="40" t="s">
        <v>37</v>
      </c>
      <c r="B203" s="40">
        <v>170150240002001</v>
      </c>
      <c r="C203" s="63"/>
    </row>
    <row r="204" spans="1:3" ht="12.75" customHeight="1" x14ac:dyDescent="0.2">
      <c r="A204" s="40" t="s">
        <v>37</v>
      </c>
      <c r="B204" s="40">
        <v>170150240002004</v>
      </c>
      <c r="C204" s="63"/>
    </row>
    <row r="205" spans="1:3" ht="12.75" customHeight="1" x14ac:dyDescent="0.2">
      <c r="A205" s="40" t="s">
        <v>37</v>
      </c>
      <c r="B205" s="40">
        <v>170150240002003</v>
      </c>
      <c r="C205" s="63"/>
    </row>
    <row r="206" spans="1:3" ht="12.75" customHeight="1" x14ac:dyDescent="0.2">
      <c r="A206" s="40" t="s">
        <v>37</v>
      </c>
      <c r="B206" s="40">
        <v>170150213008002</v>
      </c>
      <c r="C206" s="63"/>
    </row>
    <row r="207" spans="1:3" ht="12.75" customHeight="1" x14ac:dyDescent="0.2">
      <c r="A207" s="40" t="s">
        <v>37</v>
      </c>
      <c r="B207" s="40">
        <v>170150213008001</v>
      </c>
      <c r="C207" s="63"/>
    </row>
    <row r="208" spans="1:3" ht="12.75" customHeight="1" x14ac:dyDescent="0.2">
      <c r="A208" s="40" t="s">
        <v>37</v>
      </c>
      <c r="B208" s="40">
        <v>170150213008004</v>
      </c>
      <c r="C208" s="63"/>
    </row>
    <row r="209" spans="1:3" ht="12.75" customHeight="1" x14ac:dyDescent="0.2">
      <c r="A209" s="40" t="s">
        <v>37</v>
      </c>
      <c r="B209" s="40">
        <v>170150213008003</v>
      </c>
      <c r="C209" s="63"/>
    </row>
    <row r="210" spans="1:3" ht="12.75" customHeight="1" x14ac:dyDescent="0.2">
      <c r="A210" s="40" t="s">
        <v>37</v>
      </c>
      <c r="B210" s="40">
        <v>170150218006001</v>
      </c>
      <c r="C210" s="63"/>
    </row>
    <row r="211" spans="1:3" ht="12.75" customHeight="1" x14ac:dyDescent="0.2">
      <c r="A211" s="40" t="s">
        <v>37</v>
      </c>
      <c r="B211" s="40">
        <v>170150218006002</v>
      </c>
      <c r="C211" s="63"/>
    </row>
    <row r="212" spans="1:3" ht="12.75" customHeight="1" x14ac:dyDescent="0.2">
      <c r="A212" s="40" t="s">
        <v>37</v>
      </c>
      <c r="B212" s="40">
        <v>170150212008002</v>
      </c>
      <c r="C212" s="63"/>
    </row>
    <row r="213" spans="1:3" ht="12.75" customHeight="1" x14ac:dyDescent="0.2">
      <c r="A213" s="40" t="s">
        <v>37</v>
      </c>
      <c r="B213" s="40">
        <v>170150210008001</v>
      </c>
      <c r="C213" s="63"/>
    </row>
    <row r="214" spans="1:3" ht="12.75" customHeight="1" x14ac:dyDescent="0.2">
      <c r="A214" s="40" t="s">
        <v>37</v>
      </c>
      <c r="B214" s="40">
        <v>170150210008003</v>
      </c>
      <c r="C214" s="63"/>
    </row>
    <row r="215" spans="1:3" ht="12.75" customHeight="1" x14ac:dyDescent="0.2">
      <c r="A215" s="40" t="s">
        <v>37</v>
      </c>
      <c r="B215" s="40">
        <v>170150210008002</v>
      </c>
      <c r="C215" s="63"/>
    </row>
    <row r="216" spans="1:3" ht="12.75" customHeight="1" x14ac:dyDescent="0.2">
      <c r="A216" s="40" t="s">
        <v>37</v>
      </c>
      <c r="B216" s="40">
        <v>170150210008004</v>
      </c>
      <c r="C216" s="63"/>
    </row>
    <row r="217" spans="1:3" ht="12.75" customHeight="1" x14ac:dyDescent="0.2">
      <c r="A217" s="40" t="s">
        <v>37</v>
      </c>
      <c r="B217" s="40">
        <v>170150245001002</v>
      </c>
      <c r="C217" s="63"/>
    </row>
    <row r="218" spans="1:3" ht="12.75" customHeight="1" x14ac:dyDescent="0.2">
      <c r="A218" s="40" t="s">
        <v>37</v>
      </c>
      <c r="B218" s="40">
        <v>170150242001001</v>
      </c>
      <c r="C218" s="63"/>
    </row>
    <row r="219" spans="1:3" ht="12.75" customHeight="1" x14ac:dyDescent="0.2">
      <c r="A219" s="40" t="s">
        <v>37</v>
      </c>
      <c r="B219" s="40">
        <v>170150241005001</v>
      </c>
      <c r="C219" s="63"/>
    </row>
    <row r="220" spans="1:3" ht="12.75" customHeight="1" x14ac:dyDescent="0.2">
      <c r="A220" s="40" t="s">
        <v>37</v>
      </c>
      <c r="B220" s="40">
        <v>170150213007001</v>
      </c>
      <c r="C220" s="63"/>
    </row>
    <row r="221" spans="1:3" ht="12.75" customHeight="1" x14ac:dyDescent="0.2">
      <c r="A221" s="40" t="s">
        <v>37</v>
      </c>
      <c r="B221" s="40">
        <v>170150213007002</v>
      </c>
      <c r="C221" s="63"/>
    </row>
    <row r="222" spans="1:3" ht="12.75" customHeight="1" x14ac:dyDescent="0.2">
      <c r="A222" s="40" t="s">
        <v>37</v>
      </c>
      <c r="B222" s="40">
        <v>170150243001001</v>
      </c>
      <c r="C222" s="63"/>
    </row>
    <row r="223" spans="1:3" ht="12.75" customHeight="1" x14ac:dyDescent="0.2">
      <c r="A223" s="40" t="s">
        <v>37</v>
      </c>
      <c r="B223" s="40">
        <v>170150238006001</v>
      </c>
      <c r="C223" s="63"/>
    </row>
    <row r="224" spans="1:3" ht="12.75" customHeight="1" x14ac:dyDescent="0.2">
      <c r="A224" s="40" t="s">
        <v>37</v>
      </c>
      <c r="B224" s="40">
        <v>170150238006003</v>
      </c>
      <c r="C224" s="63"/>
    </row>
    <row r="225" spans="1:3" ht="12.75" customHeight="1" x14ac:dyDescent="0.2">
      <c r="A225" s="40" t="s">
        <v>37</v>
      </c>
      <c r="B225" s="40">
        <v>170150203002003</v>
      </c>
      <c r="C225" s="63"/>
    </row>
    <row r="226" spans="1:3" ht="12.75" customHeight="1" x14ac:dyDescent="0.2">
      <c r="A226" s="40" t="s">
        <v>37</v>
      </c>
      <c r="B226" s="40">
        <v>170150203002002</v>
      </c>
      <c r="C226" s="63"/>
    </row>
    <row r="227" spans="1:3" ht="12.75" customHeight="1" x14ac:dyDescent="0.2">
      <c r="A227" s="40" t="s">
        <v>37</v>
      </c>
      <c r="B227" s="40">
        <v>170150203002005</v>
      </c>
      <c r="C227" s="63"/>
    </row>
    <row r="228" spans="1:3" ht="12.75" customHeight="1" x14ac:dyDescent="0.2">
      <c r="A228" s="40" t="s">
        <v>37</v>
      </c>
      <c r="B228" s="40">
        <v>170150203002004</v>
      </c>
      <c r="C228" s="63"/>
    </row>
    <row r="229" spans="1:3" ht="12.75" customHeight="1" x14ac:dyDescent="0.2">
      <c r="A229" s="40" t="s">
        <v>37</v>
      </c>
      <c r="B229" s="40">
        <v>170150203002006</v>
      </c>
      <c r="C229" s="63"/>
    </row>
    <row r="230" spans="1:3" ht="12.75" customHeight="1" x14ac:dyDescent="0.2">
      <c r="A230" s="40" t="s">
        <v>37</v>
      </c>
      <c r="B230" s="40">
        <v>170150216011002</v>
      </c>
      <c r="C230" s="63"/>
    </row>
    <row r="231" spans="1:3" ht="12.75" customHeight="1" x14ac:dyDescent="0.2">
      <c r="A231" s="40" t="s">
        <v>37</v>
      </c>
      <c r="B231" s="40">
        <v>170150240001001</v>
      </c>
      <c r="C231" s="63"/>
    </row>
    <row r="232" spans="1:3" ht="12.75" customHeight="1" x14ac:dyDescent="0.2">
      <c r="A232" s="40" t="s">
        <v>37</v>
      </c>
      <c r="B232" s="40">
        <v>170150240001003</v>
      </c>
      <c r="C232" s="63"/>
    </row>
    <row r="233" spans="1:3" ht="12.75" customHeight="1" x14ac:dyDescent="0.2">
      <c r="A233" s="40" t="s">
        <v>37</v>
      </c>
      <c r="B233" s="40">
        <v>170150240001002</v>
      </c>
      <c r="C233" s="63"/>
    </row>
    <row r="234" spans="1:3" ht="12.75" customHeight="1" x14ac:dyDescent="0.2">
      <c r="A234" s="40" t="s">
        <v>37</v>
      </c>
      <c r="B234" s="40">
        <v>170150219011002</v>
      </c>
      <c r="C234" s="63"/>
    </row>
    <row r="235" spans="1:3" ht="12.75" customHeight="1" x14ac:dyDescent="0.2">
      <c r="A235" s="40" t="s">
        <v>37</v>
      </c>
      <c r="B235" s="40">
        <v>170150235005003</v>
      </c>
      <c r="C235" s="63"/>
    </row>
    <row r="236" spans="1:3" ht="12.75" customHeight="1" x14ac:dyDescent="0.2">
      <c r="A236" s="40" t="s">
        <v>37</v>
      </c>
      <c r="B236" s="40">
        <v>170150235005002</v>
      </c>
      <c r="C236" s="63"/>
    </row>
    <row r="237" spans="1:3" ht="12.75" customHeight="1" x14ac:dyDescent="0.2">
      <c r="A237" s="40" t="s">
        <v>37</v>
      </c>
      <c r="B237" s="40">
        <v>170150235005005</v>
      </c>
      <c r="C237" s="63"/>
    </row>
    <row r="238" spans="1:3" ht="12.75" customHeight="1" x14ac:dyDescent="0.2">
      <c r="A238" s="40" t="s">
        <v>37</v>
      </c>
      <c r="B238" s="40">
        <v>170150235005004</v>
      </c>
      <c r="C238" s="63"/>
    </row>
    <row r="239" spans="1:3" ht="12.75" customHeight="1" x14ac:dyDescent="0.2">
      <c r="A239" s="40" t="s">
        <v>37</v>
      </c>
      <c r="B239" s="40">
        <v>170150235005001</v>
      </c>
      <c r="C239" s="63"/>
    </row>
    <row r="240" spans="1:3" ht="12.75" customHeight="1" x14ac:dyDescent="0.2">
      <c r="A240" s="40" t="s">
        <v>37</v>
      </c>
      <c r="B240" s="40">
        <v>170150210007004</v>
      </c>
      <c r="C240" s="63"/>
    </row>
    <row r="241" spans="1:3" ht="12.75" customHeight="1" x14ac:dyDescent="0.2">
      <c r="A241" s="40" t="s">
        <v>37</v>
      </c>
      <c r="B241" s="40">
        <v>170150210007003</v>
      </c>
      <c r="C241" s="63"/>
    </row>
    <row r="242" spans="1:3" ht="12.75" customHeight="1" x14ac:dyDescent="0.2">
      <c r="A242" s="40" t="s">
        <v>37</v>
      </c>
      <c r="B242" s="40">
        <v>170150212007003</v>
      </c>
      <c r="C242" s="63"/>
    </row>
    <row r="243" spans="1:3" ht="12.75" customHeight="1" x14ac:dyDescent="0.2">
      <c r="A243" s="40" t="s">
        <v>37</v>
      </c>
      <c r="B243" s="40">
        <v>170150239010001</v>
      </c>
      <c r="C243" s="63"/>
    </row>
    <row r="244" spans="1:3" ht="12.75" customHeight="1" x14ac:dyDescent="0.2">
      <c r="A244" s="40" t="s">
        <v>37</v>
      </c>
      <c r="B244" s="40">
        <v>170150239010003</v>
      </c>
      <c r="C244" s="63"/>
    </row>
    <row r="245" spans="1:3" ht="12.75" customHeight="1" x14ac:dyDescent="0.2">
      <c r="A245" s="40" t="s">
        <v>37</v>
      </c>
      <c r="B245" s="40">
        <v>170150239010002</v>
      </c>
      <c r="C245" s="63"/>
    </row>
    <row r="246" spans="1:3" ht="12.75" customHeight="1" x14ac:dyDescent="0.2">
      <c r="A246" s="40" t="s">
        <v>37</v>
      </c>
      <c r="B246" s="40">
        <v>170150213006003</v>
      </c>
      <c r="C246" s="63"/>
    </row>
    <row r="247" spans="1:3" ht="12.75" customHeight="1" x14ac:dyDescent="0.2">
      <c r="A247" s="40" t="s">
        <v>37</v>
      </c>
      <c r="B247" s="40">
        <v>170150241004001</v>
      </c>
      <c r="C247" s="63"/>
    </row>
    <row r="248" spans="1:3" ht="12.75" customHeight="1" x14ac:dyDescent="0.2">
      <c r="A248" s="40" t="s">
        <v>37</v>
      </c>
      <c r="B248" s="40">
        <v>170150239009001</v>
      </c>
      <c r="C248" s="63"/>
    </row>
    <row r="249" spans="1:3" ht="12.75" customHeight="1" x14ac:dyDescent="0.2">
      <c r="A249" s="40" t="s">
        <v>37</v>
      </c>
      <c r="B249" s="40">
        <v>170150216010001</v>
      </c>
      <c r="C249" s="63"/>
    </row>
    <row r="250" spans="1:3" ht="12.75" customHeight="1" x14ac:dyDescent="0.2">
      <c r="A250" s="40" t="s">
        <v>37</v>
      </c>
      <c r="B250" s="40">
        <v>170150203001001</v>
      </c>
      <c r="C250" s="63"/>
    </row>
    <row r="251" spans="1:3" ht="12.75" customHeight="1" x14ac:dyDescent="0.2">
      <c r="A251" s="40" t="s">
        <v>37</v>
      </c>
      <c r="B251" s="40">
        <v>170150198004001</v>
      </c>
      <c r="C251" s="63"/>
    </row>
    <row r="252" spans="1:3" ht="12.75" customHeight="1" x14ac:dyDescent="0.2">
      <c r="A252" s="40" t="s">
        <v>1042</v>
      </c>
      <c r="B252" s="40">
        <v>170150168003002</v>
      </c>
      <c r="C252" s="63"/>
    </row>
    <row r="253" spans="1:3" ht="12.75" customHeight="1" x14ac:dyDescent="0.2">
      <c r="A253" s="40" t="s">
        <v>1042</v>
      </c>
      <c r="B253" s="40">
        <v>170150168003001</v>
      </c>
    </row>
    <row r="254" spans="1:3" ht="12.75" customHeight="1" x14ac:dyDescent="0.2">
      <c r="A254" s="40" t="s">
        <v>1042</v>
      </c>
      <c r="B254" s="40">
        <v>170150168003004</v>
      </c>
    </row>
    <row r="255" spans="1:3" ht="12.75" customHeight="1" x14ac:dyDescent="0.2">
      <c r="A255" s="40" t="s">
        <v>1042</v>
      </c>
      <c r="B255" s="40">
        <v>170150102005002</v>
      </c>
    </row>
    <row r="256" spans="1:3" ht="12.75" customHeight="1" x14ac:dyDescent="0.2">
      <c r="A256" s="40" t="s">
        <v>1042</v>
      </c>
      <c r="B256" s="40">
        <v>170150168002002</v>
      </c>
    </row>
    <row r="257" spans="1:2" ht="12.75" customHeight="1" x14ac:dyDescent="0.2">
      <c r="A257" s="40" t="s">
        <v>1042</v>
      </c>
      <c r="B257" s="40">
        <v>170150180004001</v>
      </c>
    </row>
    <row r="258" spans="1:2" ht="12.75" customHeight="1" x14ac:dyDescent="0.2">
      <c r="A258" s="40" t="s">
        <v>1042</v>
      </c>
      <c r="B258" s="40">
        <v>170150180004002</v>
      </c>
    </row>
    <row r="259" spans="1:2" ht="12.75" customHeight="1" x14ac:dyDescent="0.2">
      <c r="A259" s="40" t="s">
        <v>1042</v>
      </c>
      <c r="B259" s="40">
        <v>170150171005003</v>
      </c>
    </row>
    <row r="260" spans="1:2" ht="12.75" customHeight="1" x14ac:dyDescent="0.2">
      <c r="A260" s="40" t="s">
        <v>1042</v>
      </c>
      <c r="B260" s="40">
        <v>170150103004002</v>
      </c>
    </row>
    <row r="261" spans="1:2" ht="12.75" customHeight="1" x14ac:dyDescent="0.2">
      <c r="A261" s="40" t="s">
        <v>1042</v>
      </c>
      <c r="B261" s="40">
        <v>170150103004001</v>
      </c>
    </row>
    <row r="262" spans="1:2" ht="12.75" customHeight="1" x14ac:dyDescent="0.2">
      <c r="A262" s="40" t="s">
        <v>1042</v>
      </c>
      <c r="B262" s="40">
        <v>170150102004001</v>
      </c>
    </row>
    <row r="263" spans="1:2" ht="12.75" customHeight="1" x14ac:dyDescent="0.2">
      <c r="A263" s="40" t="s">
        <v>1042</v>
      </c>
      <c r="B263" s="40">
        <v>170150167002002</v>
      </c>
    </row>
    <row r="264" spans="1:2" ht="12.75" customHeight="1" x14ac:dyDescent="0.2">
      <c r="A264" s="40" t="s">
        <v>1042</v>
      </c>
      <c r="B264" s="40">
        <v>170150167002001</v>
      </c>
    </row>
    <row r="265" spans="1:2" ht="12.75" customHeight="1" x14ac:dyDescent="0.2">
      <c r="A265" s="40" t="s">
        <v>1042</v>
      </c>
      <c r="B265" s="40">
        <v>170150159003001</v>
      </c>
    </row>
    <row r="266" spans="1:2" ht="12.75" customHeight="1" x14ac:dyDescent="0.2">
      <c r="A266" s="40" t="s">
        <v>1042</v>
      </c>
      <c r="B266" s="40">
        <v>170150180003002</v>
      </c>
    </row>
    <row r="267" spans="1:2" ht="12.75" customHeight="1" x14ac:dyDescent="0.2">
      <c r="A267" s="40" t="s">
        <v>1042</v>
      </c>
      <c r="B267" s="40">
        <v>170150180003001</v>
      </c>
    </row>
    <row r="268" spans="1:2" ht="12.75" customHeight="1" x14ac:dyDescent="0.2">
      <c r="A268" s="40" t="s">
        <v>1042</v>
      </c>
      <c r="B268" s="40">
        <v>170150103003002</v>
      </c>
    </row>
    <row r="269" spans="1:2" ht="12.75" customHeight="1" x14ac:dyDescent="0.2">
      <c r="A269" s="40" t="s">
        <v>1042</v>
      </c>
      <c r="B269" s="40">
        <v>170150102003002</v>
      </c>
    </row>
    <row r="270" spans="1:2" ht="12.75" customHeight="1" x14ac:dyDescent="0.2">
      <c r="A270" s="40" t="s">
        <v>1042</v>
      </c>
      <c r="B270" s="40">
        <v>170150167001001</v>
      </c>
    </row>
    <row r="271" spans="1:2" ht="12.75" customHeight="1" x14ac:dyDescent="0.2">
      <c r="A271" s="40" t="s">
        <v>1042</v>
      </c>
      <c r="B271" s="40">
        <v>170150167001003</v>
      </c>
    </row>
    <row r="272" spans="1:2" ht="12.75" customHeight="1" x14ac:dyDescent="0.2">
      <c r="A272" s="40" t="s">
        <v>1042</v>
      </c>
      <c r="B272" s="40">
        <v>170150167001002</v>
      </c>
    </row>
    <row r="273" spans="1:2" ht="12.75" customHeight="1" x14ac:dyDescent="0.2">
      <c r="A273" s="40" t="s">
        <v>1042</v>
      </c>
      <c r="B273" s="40">
        <v>170150159002003</v>
      </c>
    </row>
    <row r="274" spans="1:2" ht="12.75" customHeight="1" x14ac:dyDescent="0.2">
      <c r="A274" s="40" t="s">
        <v>1042</v>
      </c>
      <c r="B274" s="40">
        <v>170150180002003</v>
      </c>
    </row>
    <row r="275" spans="1:2" ht="12.75" customHeight="1" x14ac:dyDescent="0.2">
      <c r="A275" s="40" t="s">
        <v>1042</v>
      </c>
      <c r="B275" s="40">
        <v>170150180002004</v>
      </c>
    </row>
    <row r="276" spans="1:2" ht="12.75" customHeight="1" x14ac:dyDescent="0.2">
      <c r="A276" s="40" t="s">
        <v>1042</v>
      </c>
      <c r="B276" s="40">
        <v>170150112008001</v>
      </c>
    </row>
    <row r="277" spans="1:2" ht="12.75" customHeight="1" x14ac:dyDescent="0.2">
      <c r="A277" s="40" t="s">
        <v>1042</v>
      </c>
      <c r="B277" s="40">
        <v>170150108002001</v>
      </c>
    </row>
    <row r="278" spans="1:2" ht="12.75" customHeight="1" x14ac:dyDescent="0.2">
      <c r="A278" s="40" t="s">
        <v>1042</v>
      </c>
      <c r="B278" s="40">
        <v>170150169007001</v>
      </c>
    </row>
    <row r="279" spans="1:2" ht="12.75" customHeight="1" x14ac:dyDescent="0.2">
      <c r="A279" s="40" t="s">
        <v>1042</v>
      </c>
      <c r="B279" s="40">
        <v>170150169007003</v>
      </c>
    </row>
    <row r="280" spans="1:2" ht="12.75" customHeight="1" x14ac:dyDescent="0.2">
      <c r="A280" s="40" t="s">
        <v>1042</v>
      </c>
      <c r="B280" s="40">
        <v>170150169007002</v>
      </c>
    </row>
    <row r="281" spans="1:2" ht="12.75" customHeight="1" x14ac:dyDescent="0.2">
      <c r="A281" s="40" t="s">
        <v>1042</v>
      </c>
      <c r="B281" s="40">
        <v>170150145002001</v>
      </c>
    </row>
    <row r="282" spans="1:2" ht="12.75" customHeight="1" x14ac:dyDescent="0.2">
      <c r="A282" s="40" t="s">
        <v>1042</v>
      </c>
      <c r="B282" s="40">
        <v>170150104010001</v>
      </c>
    </row>
    <row r="283" spans="1:2" ht="12.75" customHeight="1" x14ac:dyDescent="0.2">
      <c r="A283" s="40" t="s">
        <v>1042</v>
      </c>
      <c r="B283" s="40">
        <v>170150103002004</v>
      </c>
    </row>
    <row r="284" spans="1:2" ht="12.75" customHeight="1" x14ac:dyDescent="0.2">
      <c r="A284" s="40" t="s">
        <v>1042</v>
      </c>
      <c r="B284" s="40">
        <v>170150103002003</v>
      </c>
    </row>
    <row r="285" spans="1:2" ht="12.75" customHeight="1" x14ac:dyDescent="0.2">
      <c r="A285" s="40" t="s">
        <v>1042</v>
      </c>
      <c r="B285" s="40">
        <v>170150144008001</v>
      </c>
    </row>
    <row r="286" spans="1:2" ht="12.75" customHeight="1" x14ac:dyDescent="0.2">
      <c r="A286" s="40" t="s">
        <v>1042</v>
      </c>
      <c r="B286" s="40">
        <v>170150144008002</v>
      </c>
    </row>
    <row r="287" spans="1:2" ht="12.75" customHeight="1" x14ac:dyDescent="0.2">
      <c r="A287" s="40" t="s">
        <v>1042</v>
      </c>
      <c r="B287" s="40">
        <v>170150162001001</v>
      </c>
    </row>
    <row r="288" spans="1:2" ht="12.75" customHeight="1" x14ac:dyDescent="0.2">
      <c r="A288" s="40" t="s">
        <v>1042</v>
      </c>
      <c r="B288" s="40">
        <v>170150145001001</v>
      </c>
    </row>
    <row r="289" spans="1:2" ht="12.75" customHeight="1" x14ac:dyDescent="0.2">
      <c r="A289" s="40" t="s">
        <v>1042</v>
      </c>
      <c r="B289" s="40">
        <v>170150102002001</v>
      </c>
    </row>
    <row r="290" spans="1:2" ht="12.75" customHeight="1" x14ac:dyDescent="0.2">
      <c r="A290" s="40" t="s">
        <v>1042</v>
      </c>
      <c r="B290" s="40">
        <v>170150099005006</v>
      </c>
    </row>
    <row r="291" spans="1:2" ht="12.75" customHeight="1" x14ac:dyDescent="0.2">
      <c r="A291" s="40" t="s">
        <v>1042</v>
      </c>
      <c r="B291" s="40">
        <v>170150099005001</v>
      </c>
    </row>
    <row r="292" spans="1:2" ht="12.75" customHeight="1" x14ac:dyDescent="0.2">
      <c r="A292" s="40" t="s">
        <v>1042</v>
      </c>
      <c r="B292" s="40">
        <v>170150099005005</v>
      </c>
    </row>
    <row r="293" spans="1:2" ht="12.75" customHeight="1" x14ac:dyDescent="0.2">
      <c r="A293" s="40" t="s">
        <v>1042</v>
      </c>
      <c r="B293" s="40">
        <v>170150099005004</v>
      </c>
    </row>
    <row r="294" spans="1:2" ht="12.75" customHeight="1" x14ac:dyDescent="0.2">
      <c r="A294" s="40" t="s">
        <v>1042</v>
      </c>
      <c r="B294" s="40">
        <v>170150098006003</v>
      </c>
    </row>
    <row r="295" spans="1:2" ht="12.75" customHeight="1" x14ac:dyDescent="0.2">
      <c r="A295" s="40" t="s">
        <v>1042</v>
      </c>
      <c r="B295" s="40">
        <v>170150098006004</v>
      </c>
    </row>
    <row r="296" spans="1:2" ht="12.75" customHeight="1" x14ac:dyDescent="0.2">
      <c r="A296" s="40" t="s">
        <v>1042</v>
      </c>
      <c r="B296" s="40">
        <v>170150098006007</v>
      </c>
    </row>
    <row r="297" spans="1:2" ht="12.75" customHeight="1" x14ac:dyDescent="0.2">
      <c r="A297" s="40" t="s">
        <v>1042</v>
      </c>
      <c r="B297" s="40">
        <v>170150180001002</v>
      </c>
    </row>
    <row r="298" spans="1:2" ht="12.75" customHeight="1" x14ac:dyDescent="0.2">
      <c r="A298" s="40" t="s">
        <v>1042</v>
      </c>
      <c r="B298" s="40">
        <v>170150180001001</v>
      </c>
    </row>
    <row r="299" spans="1:2" ht="12.75" customHeight="1" x14ac:dyDescent="0.2">
      <c r="A299" s="40" t="s">
        <v>1042</v>
      </c>
      <c r="B299" s="40">
        <v>170150097002002</v>
      </c>
    </row>
    <row r="300" spans="1:2" ht="12.75" customHeight="1" x14ac:dyDescent="0.2">
      <c r="A300" s="40" t="s">
        <v>1042</v>
      </c>
      <c r="B300" s="40">
        <v>170150097002001</v>
      </c>
    </row>
    <row r="301" spans="1:2" ht="12.75" customHeight="1" x14ac:dyDescent="0.2">
      <c r="A301" s="40" t="s">
        <v>1042</v>
      </c>
      <c r="B301" s="40">
        <v>170150108001001</v>
      </c>
    </row>
    <row r="302" spans="1:2" ht="12.75" customHeight="1" x14ac:dyDescent="0.2">
      <c r="A302" s="40" t="s">
        <v>1042</v>
      </c>
      <c r="B302" s="40">
        <v>170150168011001</v>
      </c>
    </row>
    <row r="303" spans="1:2" ht="12.75" customHeight="1" x14ac:dyDescent="0.2">
      <c r="A303" s="40" t="s">
        <v>1042</v>
      </c>
      <c r="B303" s="40">
        <v>170150168011005</v>
      </c>
    </row>
    <row r="304" spans="1:2" ht="12.75" customHeight="1" x14ac:dyDescent="0.2">
      <c r="A304" s="40" t="s">
        <v>1042</v>
      </c>
      <c r="B304" s="40">
        <v>170150168011004</v>
      </c>
    </row>
    <row r="305" spans="1:2" ht="12.75" customHeight="1" x14ac:dyDescent="0.2">
      <c r="A305" s="40" t="s">
        <v>1042</v>
      </c>
      <c r="B305" s="40">
        <v>170150097001001</v>
      </c>
    </row>
    <row r="306" spans="1:2" ht="12.75" customHeight="1" x14ac:dyDescent="0.2">
      <c r="A306" s="40" t="s">
        <v>1042</v>
      </c>
      <c r="B306" s="40">
        <v>170150103001001</v>
      </c>
    </row>
    <row r="307" spans="1:2" ht="12.75" customHeight="1" x14ac:dyDescent="0.2">
      <c r="A307" s="40" t="s">
        <v>1042</v>
      </c>
      <c r="B307" s="40">
        <v>170150103001004</v>
      </c>
    </row>
    <row r="308" spans="1:2" ht="12.75" customHeight="1" x14ac:dyDescent="0.2">
      <c r="A308" s="40" t="s">
        <v>1042</v>
      </c>
      <c r="B308" s="40">
        <v>170150144007001</v>
      </c>
    </row>
    <row r="309" spans="1:2" ht="12.75" customHeight="1" x14ac:dyDescent="0.2">
      <c r="A309" s="40" t="s">
        <v>1042</v>
      </c>
      <c r="B309" s="40">
        <v>170150099004002</v>
      </c>
    </row>
    <row r="310" spans="1:2" ht="12.75" customHeight="1" x14ac:dyDescent="0.2">
      <c r="A310" s="40" t="s">
        <v>1042</v>
      </c>
      <c r="B310" s="40">
        <v>170150098005006</v>
      </c>
    </row>
    <row r="311" spans="1:2" ht="12.75" customHeight="1" x14ac:dyDescent="0.2">
      <c r="A311" s="40" t="s">
        <v>1042</v>
      </c>
      <c r="B311" s="40">
        <v>170150112006002</v>
      </c>
    </row>
    <row r="312" spans="1:2" ht="12.75" customHeight="1" x14ac:dyDescent="0.2">
      <c r="A312" s="40" t="s">
        <v>1042</v>
      </c>
      <c r="B312" s="40">
        <v>170150112006001</v>
      </c>
    </row>
    <row r="313" spans="1:2" ht="12.75" customHeight="1" x14ac:dyDescent="0.2">
      <c r="A313" s="40" t="s">
        <v>1042</v>
      </c>
      <c r="B313" s="40">
        <v>170150169005001</v>
      </c>
    </row>
    <row r="314" spans="1:2" ht="12.75" customHeight="1" x14ac:dyDescent="0.2">
      <c r="A314" s="40" t="s">
        <v>1042</v>
      </c>
      <c r="B314" s="40">
        <v>170150190005001</v>
      </c>
    </row>
    <row r="315" spans="1:2" ht="12.75" customHeight="1" x14ac:dyDescent="0.2">
      <c r="A315" s="40" t="s">
        <v>1042</v>
      </c>
      <c r="B315" s="40">
        <v>170150144006001</v>
      </c>
    </row>
    <row r="316" spans="1:2" ht="12.75" customHeight="1" x14ac:dyDescent="0.2">
      <c r="A316" s="40" t="s">
        <v>1042</v>
      </c>
      <c r="B316" s="40">
        <v>170150169004001</v>
      </c>
    </row>
    <row r="317" spans="1:2" ht="12.75" customHeight="1" x14ac:dyDescent="0.2">
      <c r="A317" s="40" t="s">
        <v>1042</v>
      </c>
      <c r="B317" s="40">
        <v>170150181006001</v>
      </c>
    </row>
    <row r="318" spans="1:2" ht="12.75" customHeight="1" x14ac:dyDescent="0.2">
      <c r="A318" s="40" t="s">
        <v>1042</v>
      </c>
      <c r="B318" s="40">
        <v>170150189004006</v>
      </c>
    </row>
    <row r="319" spans="1:2" ht="12.75" customHeight="1" x14ac:dyDescent="0.2">
      <c r="A319" s="40" t="s">
        <v>1042</v>
      </c>
      <c r="B319" s="40">
        <v>170150189004005</v>
      </c>
    </row>
    <row r="320" spans="1:2" ht="12.75" customHeight="1" x14ac:dyDescent="0.2">
      <c r="A320" s="40" t="s">
        <v>1042</v>
      </c>
      <c r="B320" s="40">
        <v>170150189004009</v>
      </c>
    </row>
    <row r="321" spans="1:2" ht="12.75" customHeight="1" x14ac:dyDescent="0.2">
      <c r="A321" s="40" t="s">
        <v>1042</v>
      </c>
      <c r="B321" s="40">
        <v>170150189004002</v>
      </c>
    </row>
    <row r="322" spans="1:2" ht="12.75" customHeight="1" x14ac:dyDescent="0.2">
      <c r="A322" s="40" t="s">
        <v>1042</v>
      </c>
      <c r="B322" s="40">
        <v>170150189004001</v>
      </c>
    </row>
    <row r="323" spans="1:2" ht="12.75" customHeight="1" x14ac:dyDescent="0.2">
      <c r="A323" s="40" t="s">
        <v>1042</v>
      </c>
      <c r="B323" s="40">
        <v>170150189004010</v>
      </c>
    </row>
    <row r="324" spans="1:2" ht="12.75" customHeight="1" x14ac:dyDescent="0.2">
      <c r="A324" s="40" t="s">
        <v>1042</v>
      </c>
      <c r="B324" s="40">
        <v>170150190004002</v>
      </c>
    </row>
    <row r="325" spans="1:2" ht="12.75" customHeight="1" x14ac:dyDescent="0.2">
      <c r="A325" s="40" t="s">
        <v>1042</v>
      </c>
      <c r="B325" s="40">
        <v>170150190004001</v>
      </c>
    </row>
    <row r="326" spans="1:2" ht="12.75" customHeight="1" x14ac:dyDescent="0.2">
      <c r="A326" s="40" t="s">
        <v>1042</v>
      </c>
      <c r="B326" s="40">
        <v>170150190004003</v>
      </c>
    </row>
    <row r="327" spans="1:2" ht="12.75" customHeight="1" x14ac:dyDescent="0.2">
      <c r="A327" s="40" t="s">
        <v>1042</v>
      </c>
      <c r="B327" s="40">
        <v>170150168008003</v>
      </c>
    </row>
    <row r="328" spans="1:2" ht="12.75" customHeight="1" x14ac:dyDescent="0.2">
      <c r="A328" s="40" t="s">
        <v>1042</v>
      </c>
      <c r="B328" s="40">
        <v>170150168008002</v>
      </c>
    </row>
    <row r="329" spans="1:2" ht="12.75" customHeight="1" x14ac:dyDescent="0.2">
      <c r="A329" s="40" t="s">
        <v>1042</v>
      </c>
      <c r="B329" s="40">
        <v>170150169003003</v>
      </c>
    </row>
    <row r="330" spans="1:2" ht="12.75" customHeight="1" x14ac:dyDescent="0.2">
      <c r="A330" s="40" t="s">
        <v>1042</v>
      </c>
      <c r="B330" s="40">
        <v>170150145009002</v>
      </c>
    </row>
    <row r="331" spans="1:2" ht="12.75" customHeight="1" x14ac:dyDescent="0.2">
      <c r="A331" s="40" t="s">
        <v>1042</v>
      </c>
      <c r="B331" s="40">
        <v>170150105010001</v>
      </c>
    </row>
    <row r="332" spans="1:2" ht="12.75" customHeight="1" x14ac:dyDescent="0.2">
      <c r="A332" s="40" t="s">
        <v>1042</v>
      </c>
      <c r="B332" s="40">
        <v>170150189003003</v>
      </c>
    </row>
    <row r="333" spans="1:2" ht="12.75" customHeight="1" x14ac:dyDescent="0.2">
      <c r="A333" s="40" t="s">
        <v>1042</v>
      </c>
      <c r="B333" s="40">
        <v>170150189003002</v>
      </c>
    </row>
    <row r="334" spans="1:2" ht="12.75" customHeight="1" x14ac:dyDescent="0.2">
      <c r="A334" s="40" t="s">
        <v>1042</v>
      </c>
      <c r="B334" s="40">
        <v>170150189003004</v>
      </c>
    </row>
    <row r="335" spans="1:2" ht="12.75" customHeight="1" x14ac:dyDescent="0.2">
      <c r="A335" s="40" t="s">
        <v>1042</v>
      </c>
      <c r="B335" s="40">
        <v>170150189003007</v>
      </c>
    </row>
    <row r="336" spans="1:2" ht="12.75" customHeight="1" x14ac:dyDescent="0.2">
      <c r="A336" s="40" t="s">
        <v>1042</v>
      </c>
      <c r="B336" s="40">
        <v>170150166003001</v>
      </c>
    </row>
    <row r="337" spans="1:2" ht="12.75" customHeight="1" x14ac:dyDescent="0.2">
      <c r="A337" s="40" t="s">
        <v>1042</v>
      </c>
      <c r="B337" s="40">
        <v>170150110004001</v>
      </c>
    </row>
    <row r="338" spans="1:2" ht="12.75" customHeight="1" x14ac:dyDescent="0.2">
      <c r="A338" s="40" t="s">
        <v>1042</v>
      </c>
      <c r="B338" s="40">
        <v>170150145008001</v>
      </c>
    </row>
    <row r="339" spans="1:2" ht="12.75" customHeight="1" x14ac:dyDescent="0.2">
      <c r="A339" s="40" t="s">
        <v>1042</v>
      </c>
      <c r="B339" s="40">
        <v>170150102009003</v>
      </c>
    </row>
    <row r="340" spans="1:2" ht="12.75" customHeight="1" x14ac:dyDescent="0.2">
      <c r="A340" s="40" t="s">
        <v>1042</v>
      </c>
      <c r="B340" s="40">
        <v>170150104004001</v>
      </c>
    </row>
    <row r="341" spans="1:2" ht="12.75" customHeight="1" x14ac:dyDescent="0.2">
      <c r="A341" s="40" t="s">
        <v>1042</v>
      </c>
      <c r="B341" s="40">
        <v>170150102010002</v>
      </c>
    </row>
    <row r="342" spans="1:2" ht="12.75" customHeight="1" x14ac:dyDescent="0.2">
      <c r="A342" s="40" t="s">
        <v>1042</v>
      </c>
      <c r="B342" s="40">
        <v>170150102010004</v>
      </c>
    </row>
    <row r="343" spans="1:2" ht="12.75" customHeight="1" x14ac:dyDescent="0.2">
      <c r="A343" s="40" t="s">
        <v>1042</v>
      </c>
      <c r="B343" s="40">
        <v>170150102010003</v>
      </c>
    </row>
    <row r="344" spans="1:2" ht="12.75" customHeight="1" x14ac:dyDescent="0.2">
      <c r="A344" s="40" t="s">
        <v>1042</v>
      </c>
      <c r="B344" s="40">
        <v>170150095009001</v>
      </c>
    </row>
    <row r="345" spans="1:2" ht="12.75" customHeight="1" x14ac:dyDescent="0.2">
      <c r="A345" s="40" t="s">
        <v>1042</v>
      </c>
      <c r="B345" s="40">
        <v>170150168006001</v>
      </c>
    </row>
    <row r="346" spans="1:2" ht="12.75" customHeight="1" x14ac:dyDescent="0.2">
      <c r="A346" s="40" t="s">
        <v>1042</v>
      </c>
      <c r="B346" s="40">
        <v>170150167006001</v>
      </c>
    </row>
    <row r="347" spans="1:2" ht="12.75" customHeight="1" x14ac:dyDescent="0.2">
      <c r="A347" s="40" t="s">
        <v>1042</v>
      </c>
      <c r="B347" s="40">
        <v>170150159007001</v>
      </c>
    </row>
    <row r="348" spans="1:2" ht="12.75" customHeight="1" x14ac:dyDescent="0.2">
      <c r="A348" s="40" t="s">
        <v>1042</v>
      </c>
      <c r="B348" s="40">
        <v>170150166002001</v>
      </c>
    </row>
    <row r="349" spans="1:2" ht="12.75" customHeight="1" x14ac:dyDescent="0.2">
      <c r="A349" s="40" t="s">
        <v>1042</v>
      </c>
      <c r="B349" s="40">
        <v>170150103008002</v>
      </c>
    </row>
    <row r="350" spans="1:2" ht="12.75" customHeight="1" x14ac:dyDescent="0.2">
      <c r="A350" s="40" t="s">
        <v>1042</v>
      </c>
      <c r="B350" s="40">
        <v>170150103008001</v>
      </c>
    </row>
    <row r="351" spans="1:2" ht="12.75" customHeight="1" x14ac:dyDescent="0.2">
      <c r="A351" s="40" t="s">
        <v>1042</v>
      </c>
      <c r="B351" s="40">
        <v>170150104003001</v>
      </c>
    </row>
    <row r="352" spans="1:2" ht="12.75" customHeight="1" x14ac:dyDescent="0.2">
      <c r="A352" s="40" t="s">
        <v>1042</v>
      </c>
      <c r="B352" s="40">
        <v>170150108007003</v>
      </c>
    </row>
    <row r="353" spans="1:2" ht="12.75" customHeight="1" x14ac:dyDescent="0.2">
      <c r="A353" s="40" t="s">
        <v>1042</v>
      </c>
      <c r="B353" s="40">
        <v>170150167005001</v>
      </c>
    </row>
    <row r="354" spans="1:2" ht="12.75" customHeight="1" x14ac:dyDescent="0.2">
      <c r="A354" s="40" t="s">
        <v>1042</v>
      </c>
      <c r="B354" s="40">
        <v>170150167005003</v>
      </c>
    </row>
    <row r="355" spans="1:2" ht="12.75" customHeight="1" x14ac:dyDescent="0.2">
      <c r="A355" s="40" t="s">
        <v>1042</v>
      </c>
      <c r="B355" s="40">
        <v>170150167005002</v>
      </c>
    </row>
    <row r="356" spans="1:2" ht="12.75" customHeight="1" x14ac:dyDescent="0.2">
      <c r="A356" s="40" t="s">
        <v>1042</v>
      </c>
      <c r="B356" s="40">
        <v>170150159006003</v>
      </c>
    </row>
    <row r="357" spans="1:2" ht="12.75" customHeight="1" x14ac:dyDescent="0.2">
      <c r="A357" s="40" t="s">
        <v>1042</v>
      </c>
      <c r="B357" s="40">
        <v>170150168005001</v>
      </c>
    </row>
    <row r="358" spans="1:2" ht="12.75" customHeight="1" x14ac:dyDescent="0.2">
      <c r="A358" s="40" t="s">
        <v>1042</v>
      </c>
      <c r="B358" s="40">
        <v>170150112001001</v>
      </c>
    </row>
    <row r="359" spans="1:2" ht="12.75" customHeight="1" x14ac:dyDescent="0.2">
      <c r="A359" s="40" t="s">
        <v>1042</v>
      </c>
      <c r="B359" s="40">
        <v>170150166001001</v>
      </c>
    </row>
    <row r="360" spans="1:2" ht="12.75" customHeight="1" x14ac:dyDescent="0.2">
      <c r="A360" s="40" t="s">
        <v>1042</v>
      </c>
      <c r="B360" s="40">
        <v>170150103007001</v>
      </c>
    </row>
    <row r="361" spans="1:2" ht="12.75" customHeight="1" x14ac:dyDescent="0.2">
      <c r="A361" s="40" t="s">
        <v>1042</v>
      </c>
      <c r="B361" s="40">
        <v>170150103007002</v>
      </c>
    </row>
    <row r="362" spans="1:2" ht="12.75" customHeight="1" x14ac:dyDescent="0.2">
      <c r="A362" s="40" t="s">
        <v>1042</v>
      </c>
      <c r="B362" s="40">
        <v>170150111008001</v>
      </c>
    </row>
    <row r="363" spans="1:2" ht="12.75" customHeight="1" x14ac:dyDescent="0.2">
      <c r="A363" s="40" t="s">
        <v>1042</v>
      </c>
      <c r="B363" s="40">
        <v>170150146001001</v>
      </c>
    </row>
    <row r="364" spans="1:2" ht="12.75" customHeight="1" x14ac:dyDescent="0.2">
      <c r="A364" s="40" t="s">
        <v>1042</v>
      </c>
      <c r="B364" s="40">
        <v>170150103006003</v>
      </c>
    </row>
    <row r="365" spans="1:2" ht="12.75" customHeight="1" x14ac:dyDescent="0.2">
      <c r="A365" s="40" t="s">
        <v>1042</v>
      </c>
      <c r="B365" s="40">
        <v>170150103006002</v>
      </c>
    </row>
    <row r="366" spans="1:2" ht="12.75" customHeight="1" x14ac:dyDescent="0.2">
      <c r="A366" s="40" t="s">
        <v>1042</v>
      </c>
      <c r="B366" s="40">
        <v>170150103006001</v>
      </c>
    </row>
    <row r="367" spans="1:2" ht="12.75" customHeight="1" x14ac:dyDescent="0.2">
      <c r="A367" s="40" t="s">
        <v>1042</v>
      </c>
      <c r="B367" s="40">
        <v>170150167004001</v>
      </c>
    </row>
    <row r="368" spans="1:2" ht="12.75" customHeight="1" x14ac:dyDescent="0.2">
      <c r="A368" s="40" t="s">
        <v>1042</v>
      </c>
      <c r="B368" s="40">
        <v>170150168004001</v>
      </c>
    </row>
    <row r="369" spans="1:2" ht="12.75" customHeight="1" x14ac:dyDescent="0.2">
      <c r="A369" s="40" t="s">
        <v>1042</v>
      </c>
      <c r="B369" s="40">
        <v>170150107006001</v>
      </c>
    </row>
    <row r="370" spans="1:2" ht="12.75" customHeight="1" x14ac:dyDescent="0.2">
      <c r="A370" s="40" t="s">
        <v>1042</v>
      </c>
      <c r="B370" s="40">
        <v>170150109001001</v>
      </c>
    </row>
    <row r="371" spans="1:2" ht="12.75" customHeight="1" x14ac:dyDescent="0.2">
      <c r="A371" s="40" t="s">
        <v>1042</v>
      </c>
      <c r="B371" s="40">
        <v>170150109001003</v>
      </c>
    </row>
    <row r="372" spans="1:2" ht="12.75" customHeight="1" x14ac:dyDescent="0.2">
      <c r="A372" s="40" t="s">
        <v>1042</v>
      </c>
      <c r="B372" s="40">
        <v>170150109001002</v>
      </c>
    </row>
    <row r="373" spans="1:2" ht="12.75" customHeight="1" x14ac:dyDescent="0.2">
      <c r="A373" s="40" t="s">
        <v>1042</v>
      </c>
      <c r="B373" s="40">
        <v>170150111007001</v>
      </c>
    </row>
    <row r="374" spans="1:2" ht="12.75" customHeight="1" x14ac:dyDescent="0.2">
      <c r="A374" s="40" t="s">
        <v>1042</v>
      </c>
      <c r="B374" s="40">
        <v>170150171006004</v>
      </c>
    </row>
    <row r="375" spans="1:2" ht="12.75" customHeight="1" x14ac:dyDescent="0.2">
      <c r="A375" s="40" t="s">
        <v>1042</v>
      </c>
      <c r="B375" s="40">
        <v>170150143001001</v>
      </c>
    </row>
    <row r="376" spans="1:2" ht="12.75" customHeight="1" x14ac:dyDescent="0.2">
      <c r="A376" s="40" t="s">
        <v>1042</v>
      </c>
      <c r="B376" s="40">
        <v>170150171006003</v>
      </c>
    </row>
    <row r="377" spans="1:2" ht="12.75" customHeight="1" x14ac:dyDescent="0.2">
      <c r="A377" s="40" t="s">
        <v>1042</v>
      </c>
      <c r="B377" s="40">
        <v>170150171006002</v>
      </c>
    </row>
    <row r="378" spans="1:2" ht="12.75" customHeight="1" x14ac:dyDescent="0.2">
      <c r="A378" s="40" t="s">
        <v>1042</v>
      </c>
      <c r="B378" s="40">
        <v>170150180005002</v>
      </c>
    </row>
    <row r="379" spans="1:2" ht="12.75" customHeight="1" x14ac:dyDescent="0.2">
      <c r="A379" s="40" t="s">
        <v>1042</v>
      </c>
      <c r="B379" s="40">
        <v>170150180005001</v>
      </c>
    </row>
    <row r="380" spans="1:2" ht="12.75" customHeight="1" x14ac:dyDescent="0.2">
      <c r="A380" s="40" t="s">
        <v>1042</v>
      </c>
      <c r="B380" s="40">
        <v>170150180005004</v>
      </c>
    </row>
    <row r="381" spans="1:2" ht="12.75" customHeight="1" x14ac:dyDescent="0.2">
      <c r="A381" s="40" t="s">
        <v>1042</v>
      </c>
      <c r="B381" s="40">
        <v>170150103005001</v>
      </c>
    </row>
    <row r="382" spans="1:2" ht="12.75" customHeight="1" x14ac:dyDescent="0.2">
      <c r="A382" s="40" t="s">
        <v>1042</v>
      </c>
      <c r="B382" s="40">
        <v>170150180005006</v>
      </c>
    </row>
    <row r="383" spans="1:2" ht="12.75" customHeight="1" x14ac:dyDescent="0.2">
      <c r="A383" s="40" t="s">
        <v>1042</v>
      </c>
      <c r="B383" s="40">
        <v>170150180005005</v>
      </c>
    </row>
    <row r="384" spans="1:2" ht="12.75" customHeight="1" x14ac:dyDescent="0.2">
      <c r="A384" s="40" t="s">
        <v>1042</v>
      </c>
      <c r="B384" s="40">
        <v>170150180005007</v>
      </c>
    </row>
    <row r="385" spans="1:3" ht="12.75" customHeight="1" x14ac:dyDescent="0.2">
      <c r="A385" s="40" t="s">
        <v>1043</v>
      </c>
      <c r="B385" s="40">
        <v>170150189010001</v>
      </c>
    </row>
    <row r="386" spans="1:3" ht="12.75" customHeight="1" x14ac:dyDescent="0.2">
      <c r="A386" s="38" t="s">
        <v>1043</v>
      </c>
      <c r="B386" s="40">
        <v>170150189009009</v>
      </c>
    </row>
    <row r="387" spans="1:3" ht="12.75" customHeight="1" x14ac:dyDescent="0.2">
      <c r="A387" s="38" t="s">
        <v>1043</v>
      </c>
      <c r="B387" s="40">
        <v>170150189009008</v>
      </c>
    </row>
    <row r="388" spans="1:3" ht="12.75" customHeight="1" x14ac:dyDescent="0.2">
      <c r="A388" s="38" t="s">
        <v>1043</v>
      </c>
      <c r="B388" s="40">
        <v>170150189009001</v>
      </c>
    </row>
    <row r="389" spans="1:3" ht="12.75" customHeight="1" x14ac:dyDescent="0.2">
      <c r="A389" s="38" t="s">
        <v>1043</v>
      </c>
      <c r="B389" s="40">
        <v>170150189009003</v>
      </c>
    </row>
    <row r="390" spans="1:3" ht="12.75" customHeight="1" x14ac:dyDescent="0.2">
      <c r="A390" s="38" t="s">
        <v>1043</v>
      </c>
      <c r="B390" s="40">
        <v>170150189009002</v>
      </c>
    </row>
    <row r="391" spans="1:3" ht="12.75" customHeight="1" x14ac:dyDescent="0.2">
      <c r="A391" s="38" t="s">
        <v>1043</v>
      </c>
      <c r="B391" s="40">
        <v>170150189009005</v>
      </c>
    </row>
    <row r="392" spans="1:3" ht="12.75" customHeight="1" x14ac:dyDescent="0.2">
      <c r="A392" s="38" t="s">
        <v>1043</v>
      </c>
      <c r="B392" s="40">
        <v>170150189009004</v>
      </c>
    </row>
    <row r="393" spans="1:3" ht="12.75" customHeight="1" x14ac:dyDescent="0.2">
      <c r="A393" s="38" t="s">
        <v>1043</v>
      </c>
      <c r="B393" s="40">
        <v>170150189009007</v>
      </c>
    </row>
    <row r="394" spans="1:3" ht="12.75" customHeight="1" x14ac:dyDescent="0.2">
      <c r="A394" s="38" t="s">
        <v>1043</v>
      </c>
      <c r="B394" s="40">
        <v>170150189009006</v>
      </c>
    </row>
    <row r="395" spans="1:3" ht="12.75" customHeight="1" x14ac:dyDescent="0.2">
      <c r="A395" s="38" t="s">
        <v>1043</v>
      </c>
      <c r="B395" s="40">
        <v>170150189009010</v>
      </c>
    </row>
    <row r="396" spans="1:3" ht="12.75" customHeight="1" x14ac:dyDescent="0.2">
      <c r="A396" s="38" t="s">
        <v>1043</v>
      </c>
      <c r="B396" s="40">
        <v>170150189008011</v>
      </c>
    </row>
    <row r="397" spans="1:3" ht="12.75" customHeight="1" x14ac:dyDescent="0.2">
      <c r="A397" s="38" t="s">
        <v>1043</v>
      </c>
      <c r="B397" s="40">
        <v>170150189008010</v>
      </c>
    </row>
    <row r="398" spans="1:3" ht="12.75" customHeight="1" x14ac:dyDescent="0.2">
      <c r="A398" s="38" t="s">
        <v>1043</v>
      </c>
      <c r="B398" s="40">
        <v>170150189008012</v>
      </c>
    </row>
    <row r="399" spans="1:3" ht="12.75" customHeight="1" x14ac:dyDescent="0.2">
      <c r="A399" s="40" t="s">
        <v>1044</v>
      </c>
      <c r="B399" s="40">
        <v>170150215005003</v>
      </c>
      <c r="C399" s="63"/>
    </row>
    <row r="400" spans="1:3" ht="12.75" customHeight="1" x14ac:dyDescent="0.2">
      <c r="A400" s="40" t="s">
        <v>1044</v>
      </c>
      <c r="B400" s="40">
        <v>170150215005002</v>
      </c>
      <c r="C400" s="63"/>
    </row>
    <row r="401" spans="1:3" ht="12.75" customHeight="1" x14ac:dyDescent="0.2">
      <c r="A401" s="40" t="s">
        <v>1044</v>
      </c>
      <c r="B401" s="40">
        <v>170150215005004</v>
      </c>
      <c r="C401" s="63"/>
    </row>
    <row r="402" spans="1:3" ht="12.75" customHeight="1" x14ac:dyDescent="0.2">
      <c r="A402" s="40" t="s">
        <v>1044</v>
      </c>
      <c r="B402" s="40">
        <v>170150214009002</v>
      </c>
      <c r="C402" s="63"/>
    </row>
    <row r="403" spans="1:3" ht="12.75" customHeight="1" x14ac:dyDescent="0.2">
      <c r="A403" s="40" t="s">
        <v>1044</v>
      </c>
      <c r="B403" s="40">
        <v>170150214009001</v>
      </c>
      <c r="C403" s="63"/>
    </row>
    <row r="404" spans="1:3" ht="12.75" customHeight="1" x14ac:dyDescent="0.2">
      <c r="A404" s="40" t="s">
        <v>1044</v>
      </c>
      <c r="B404" s="40">
        <v>170150214008001</v>
      </c>
      <c r="C404" s="63"/>
    </row>
    <row r="405" spans="1:3" ht="12.75" customHeight="1" x14ac:dyDescent="0.2">
      <c r="A405" s="40" t="s">
        <v>1044</v>
      </c>
      <c r="B405" s="40">
        <v>170150214007001</v>
      </c>
      <c r="C405" s="63"/>
    </row>
    <row r="406" spans="1:3" ht="12.75" customHeight="1" x14ac:dyDescent="0.2">
      <c r="A406" s="40" t="s">
        <v>1044</v>
      </c>
      <c r="B406" s="40">
        <v>170150200010002</v>
      </c>
      <c r="C406" s="63"/>
    </row>
    <row r="407" spans="1:3" ht="12.75" customHeight="1" x14ac:dyDescent="0.2">
      <c r="A407" s="40" t="s">
        <v>1044</v>
      </c>
      <c r="B407" s="40">
        <v>170150200009003</v>
      </c>
      <c r="C407" s="63"/>
    </row>
    <row r="408" spans="1:3" ht="12.75" customHeight="1" x14ac:dyDescent="0.2">
      <c r="A408" s="40" t="s">
        <v>1044</v>
      </c>
      <c r="B408" s="40">
        <v>170150214006002</v>
      </c>
      <c r="C408" s="63"/>
    </row>
    <row r="409" spans="1:3" ht="12.75" customHeight="1" x14ac:dyDescent="0.2">
      <c r="A409" s="40" t="s">
        <v>1044</v>
      </c>
      <c r="B409" s="40">
        <v>170150214006001</v>
      </c>
      <c r="C409" s="63"/>
    </row>
    <row r="410" spans="1:3" ht="12.75" customHeight="1" x14ac:dyDescent="0.2">
      <c r="A410" s="40" t="s">
        <v>1044</v>
      </c>
      <c r="B410" s="40">
        <v>170150214005001</v>
      </c>
      <c r="C410" s="63"/>
    </row>
    <row r="411" spans="1:3" ht="12.75" customHeight="1" x14ac:dyDescent="0.2">
      <c r="A411" s="40" t="s">
        <v>1044</v>
      </c>
      <c r="B411" s="40">
        <v>170150214004002</v>
      </c>
      <c r="C411" s="63"/>
    </row>
    <row r="412" spans="1:3" ht="12.75" customHeight="1" x14ac:dyDescent="0.2">
      <c r="A412" s="40" t="s">
        <v>1044</v>
      </c>
      <c r="B412" s="40">
        <v>170150214003001</v>
      </c>
      <c r="C412" s="63"/>
    </row>
    <row r="413" spans="1:3" ht="12.75" customHeight="1" x14ac:dyDescent="0.2">
      <c r="A413" s="40" t="s">
        <v>1044</v>
      </c>
      <c r="B413" s="40">
        <v>170150214002001</v>
      </c>
      <c r="C413" s="63"/>
    </row>
    <row r="414" spans="1:3" ht="12.75" customHeight="1" x14ac:dyDescent="0.2">
      <c r="A414" s="40" t="s">
        <v>1044</v>
      </c>
      <c r="B414" s="40">
        <v>170150215008003</v>
      </c>
      <c r="C414" s="63"/>
    </row>
    <row r="415" spans="1:3" ht="12.75" customHeight="1" x14ac:dyDescent="0.2">
      <c r="A415" s="40" t="s">
        <v>1044</v>
      </c>
      <c r="B415" s="40">
        <v>170150215008002</v>
      </c>
      <c r="C415" s="63"/>
    </row>
    <row r="416" spans="1:3" ht="12.75" customHeight="1" x14ac:dyDescent="0.2">
      <c r="A416" s="40" t="s">
        <v>1044</v>
      </c>
      <c r="B416" s="40">
        <v>170150215007002</v>
      </c>
      <c r="C416" s="63"/>
    </row>
    <row r="417" spans="1:3" ht="12.75" customHeight="1" x14ac:dyDescent="0.2">
      <c r="A417" s="40" t="s">
        <v>1044</v>
      </c>
      <c r="B417" s="40">
        <v>170150215007007</v>
      </c>
      <c r="C417" s="63"/>
    </row>
    <row r="418" spans="1:3" ht="12.75" customHeight="1" x14ac:dyDescent="0.2">
      <c r="A418" s="40" t="s">
        <v>1044</v>
      </c>
      <c r="B418" s="40">
        <v>170150215007006</v>
      </c>
      <c r="C418" s="63"/>
    </row>
    <row r="419" spans="1:3" ht="12.75" customHeight="1" x14ac:dyDescent="0.2">
      <c r="A419" s="40" t="s">
        <v>1044</v>
      </c>
      <c r="B419" s="40">
        <v>170150215007008</v>
      </c>
      <c r="C419" s="63"/>
    </row>
    <row r="420" spans="1:3" ht="12.75" customHeight="1" x14ac:dyDescent="0.2">
      <c r="A420" s="40" t="s">
        <v>1044</v>
      </c>
      <c r="B420" s="40">
        <v>170150215007001</v>
      </c>
      <c r="C420" s="63"/>
    </row>
    <row r="421" spans="1:3" ht="12.75" customHeight="1" x14ac:dyDescent="0.2">
      <c r="A421" s="40" t="s">
        <v>1044</v>
      </c>
      <c r="B421" s="40">
        <v>170150215006001</v>
      </c>
      <c r="C421" s="63"/>
    </row>
    <row r="422" spans="1:3" ht="12.75" customHeight="1" x14ac:dyDescent="0.2">
      <c r="A422" s="40" t="s">
        <v>1045</v>
      </c>
      <c r="B422" s="40">
        <v>170150215009004</v>
      </c>
      <c r="C422" s="63"/>
    </row>
    <row r="423" spans="1:3" ht="12.75" customHeight="1" x14ac:dyDescent="0.2">
      <c r="A423" s="40" t="s">
        <v>1045</v>
      </c>
      <c r="B423" s="40">
        <v>170150215009001</v>
      </c>
      <c r="C423" s="63"/>
    </row>
    <row r="424" spans="1:3" ht="12.75" customHeight="1" x14ac:dyDescent="0.2">
      <c r="A424" s="40" t="s">
        <v>1045</v>
      </c>
      <c r="B424" s="40">
        <v>170150217001001</v>
      </c>
      <c r="C424" s="63"/>
    </row>
    <row r="425" spans="1:3" ht="12.75" customHeight="1" x14ac:dyDescent="0.2">
      <c r="A425" s="40" t="s">
        <v>1045</v>
      </c>
      <c r="B425" s="40">
        <v>170150215008003</v>
      </c>
      <c r="C425" s="63"/>
    </row>
    <row r="426" spans="1:3" ht="12.75" customHeight="1" x14ac:dyDescent="0.2">
      <c r="A426" s="40" t="s">
        <v>1045</v>
      </c>
      <c r="B426" s="40">
        <v>170150215008002</v>
      </c>
      <c r="C426" s="63"/>
    </row>
    <row r="427" spans="1:3" ht="12.75" customHeight="1" x14ac:dyDescent="0.2">
      <c r="A427" s="40" t="s">
        <v>1045</v>
      </c>
      <c r="B427" s="40">
        <v>170150215007005</v>
      </c>
      <c r="C427" s="63"/>
    </row>
    <row r="428" spans="1:3" ht="12.75" customHeight="1" x14ac:dyDescent="0.2">
      <c r="A428" s="40" t="s">
        <v>1045</v>
      </c>
      <c r="B428" s="40">
        <v>170150215007004</v>
      </c>
      <c r="C428" s="63"/>
    </row>
    <row r="429" spans="1:3" ht="12.75" customHeight="1" x14ac:dyDescent="0.2">
      <c r="A429" s="40" t="s">
        <v>1045</v>
      </c>
      <c r="B429" s="40">
        <v>170150215007007</v>
      </c>
      <c r="C429" s="63"/>
    </row>
    <row r="430" spans="1:3" ht="12.75" customHeight="1" x14ac:dyDescent="0.2">
      <c r="A430" s="40" t="s">
        <v>1045</v>
      </c>
      <c r="B430" s="40">
        <v>170150215007006</v>
      </c>
      <c r="C430" s="63"/>
    </row>
    <row r="431" spans="1:3" ht="12.75" customHeight="1" x14ac:dyDescent="0.2">
      <c r="A431" s="40" t="s">
        <v>1045</v>
      </c>
      <c r="B431" s="40">
        <v>170150215007009</v>
      </c>
      <c r="C431" s="63"/>
    </row>
    <row r="432" spans="1:3" ht="12.75" customHeight="1" x14ac:dyDescent="0.2">
      <c r="A432" s="40" t="s">
        <v>1045</v>
      </c>
      <c r="B432" s="40">
        <v>170150215007008</v>
      </c>
      <c r="C432" s="63"/>
    </row>
    <row r="433" spans="1:3" ht="12.75" customHeight="1" x14ac:dyDescent="0.2">
      <c r="A433" s="40" t="s">
        <v>1045</v>
      </c>
      <c r="B433" s="40">
        <v>170150215007010</v>
      </c>
      <c r="C433" s="63"/>
    </row>
    <row r="434" spans="1:3" ht="12.75" customHeight="1" x14ac:dyDescent="0.2">
      <c r="A434" s="40" t="s">
        <v>1045</v>
      </c>
      <c r="B434" s="40">
        <v>170150215006008</v>
      </c>
      <c r="C434" s="63"/>
    </row>
    <row r="435" spans="1:3" ht="12.75" customHeight="1" x14ac:dyDescent="0.2">
      <c r="A435" s="40" t="s">
        <v>1045</v>
      </c>
      <c r="B435" s="40">
        <v>170150215006010</v>
      </c>
      <c r="C435" s="63"/>
    </row>
    <row r="436" spans="1:3" ht="12.75" customHeight="1" x14ac:dyDescent="0.2">
      <c r="A436" s="38" t="s">
        <v>1046</v>
      </c>
      <c r="B436" s="38">
        <v>170150010008014</v>
      </c>
    </row>
    <row r="437" spans="1:3" ht="12.75" customHeight="1" x14ac:dyDescent="0.2">
      <c r="A437" s="38" t="s">
        <v>1046</v>
      </c>
      <c r="B437" s="38">
        <v>170150010008013</v>
      </c>
    </row>
    <row r="438" spans="1:3" ht="12.75" customHeight="1" x14ac:dyDescent="0.2">
      <c r="A438" s="38" t="s">
        <v>1046</v>
      </c>
      <c r="B438" s="38">
        <v>170150010008016</v>
      </c>
    </row>
    <row r="439" spans="1:3" ht="12.75" customHeight="1" x14ac:dyDescent="0.2">
      <c r="A439" s="38" t="s">
        <v>1046</v>
      </c>
      <c r="B439" s="38">
        <v>170150010008015</v>
      </c>
    </row>
    <row r="440" spans="1:3" ht="12.75" customHeight="1" x14ac:dyDescent="0.2">
      <c r="A440" s="38" t="s">
        <v>1046</v>
      </c>
      <c r="B440" s="38">
        <v>170150010008018</v>
      </c>
    </row>
    <row r="441" spans="1:3" ht="12.75" customHeight="1" x14ac:dyDescent="0.2">
      <c r="A441" s="38" t="s">
        <v>1046</v>
      </c>
      <c r="B441" s="38">
        <v>170150010008017</v>
      </c>
    </row>
    <row r="442" spans="1:3" ht="12.75" customHeight="1" x14ac:dyDescent="0.2">
      <c r="A442" s="38" t="s">
        <v>1047</v>
      </c>
      <c r="B442" s="38">
        <v>170180010004001</v>
      </c>
    </row>
    <row r="443" spans="1:3" ht="12.75" customHeight="1" x14ac:dyDescent="0.2">
      <c r="A443" s="38" t="s">
        <v>1048</v>
      </c>
      <c r="B443" s="38">
        <v>170165001009002</v>
      </c>
    </row>
    <row r="444" spans="1:3" ht="12.75" customHeight="1" x14ac:dyDescent="0.2">
      <c r="A444" s="38" t="s">
        <v>1046</v>
      </c>
      <c r="B444" s="38">
        <v>170150052007001</v>
      </c>
    </row>
    <row r="445" spans="1:3" ht="12.75" customHeight="1" x14ac:dyDescent="0.2">
      <c r="A445" s="38" t="s">
        <v>1049</v>
      </c>
      <c r="B445" s="38">
        <v>170150090006001</v>
      </c>
    </row>
    <row r="446" spans="1:3" ht="12.75" customHeight="1" x14ac:dyDescent="0.2">
      <c r="A446" s="38" t="s">
        <v>1048</v>
      </c>
      <c r="B446" s="38">
        <v>170155053002003</v>
      </c>
    </row>
    <row r="447" spans="1:3" ht="12.75" customHeight="1" x14ac:dyDescent="0.2">
      <c r="A447" s="38" t="s">
        <v>1049</v>
      </c>
      <c r="B447" s="38">
        <v>170177004005001</v>
      </c>
    </row>
    <row r="448" spans="1:3" ht="12.75" customHeight="1" x14ac:dyDescent="0.2">
      <c r="A448" s="38" t="s">
        <v>1048</v>
      </c>
      <c r="B448" s="38">
        <v>170150137011001</v>
      </c>
    </row>
    <row r="449" spans="1:2" ht="12.75" customHeight="1" x14ac:dyDescent="0.2">
      <c r="A449" s="38" t="s">
        <v>1050</v>
      </c>
      <c r="B449" s="38">
        <v>170159001006003</v>
      </c>
    </row>
    <row r="450" spans="1:2" ht="12.75" customHeight="1" x14ac:dyDescent="0.2">
      <c r="A450" s="38" t="s">
        <v>1050</v>
      </c>
      <c r="B450" s="38">
        <v>170185001007001</v>
      </c>
    </row>
    <row r="451" spans="1:2" ht="12.75" customHeight="1" x14ac:dyDescent="0.2">
      <c r="A451" s="38" t="s">
        <v>1050</v>
      </c>
      <c r="B451" s="38">
        <v>170185001007006</v>
      </c>
    </row>
    <row r="452" spans="1:2" ht="12.75" customHeight="1" x14ac:dyDescent="0.2">
      <c r="A452" s="38" t="s">
        <v>1047</v>
      </c>
      <c r="B452" s="38">
        <v>170150039011001</v>
      </c>
    </row>
    <row r="453" spans="1:2" ht="12.75" customHeight="1" x14ac:dyDescent="0.2">
      <c r="A453" s="38" t="s">
        <v>1051</v>
      </c>
      <c r="B453" s="38">
        <v>170150039011004</v>
      </c>
    </row>
    <row r="454" spans="1:2" ht="12.75" customHeight="1" x14ac:dyDescent="0.2">
      <c r="A454" s="38" t="s">
        <v>1052</v>
      </c>
      <c r="B454" s="38">
        <v>170156013003003</v>
      </c>
    </row>
    <row r="455" spans="1:2" ht="12.75" customHeight="1" x14ac:dyDescent="0.2">
      <c r="A455" s="38" t="s">
        <v>1052</v>
      </c>
      <c r="B455" s="38">
        <v>170156013003005</v>
      </c>
    </row>
    <row r="456" spans="1:2" ht="12.75" customHeight="1" x14ac:dyDescent="0.2">
      <c r="A456" s="38" t="s">
        <v>1052</v>
      </c>
      <c r="B456" s="38">
        <v>170156013003004</v>
      </c>
    </row>
    <row r="457" spans="1:2" ht="12.75" customHeight="1" x14ac:dyDescent="0.2">
      <c r="A457" s="38" t="s">
        <v>1053</v>
      </c>
      <c r="B457" s="38">
        <v>170180003009005</v>
      </c>
    </row>
    <row r="458" spans="1:2" ht="12.75" customHeight="1" x14ac:dyDescent="0.2">
      <c r="A458" s="38" t="s">
        <v>1053</v>
      </c>
      <c r="B458" s="38">
        <v>170180003009007</v>
      </c>
    </row>
    <row r="459" spans="1:2" ht="12.75" customHeight="1" x14ac:dyDescent="0.2">
      <c r="A459" s="38" t="s">
        <v>1053</v>
      </c>
      <c r="B459" s="38">
        <v>170180003009006</v>
      </c>
    </row>
    <row r="460" spans="1:2" ht="12.75" customHeight="1" x14ac:dyDescent="0.2">
      <c r="A460" s="38" t="s">
        <v>1053</v>
      </c>
      <c r="B460" s="38">
        <v>170180003009001</v>
      </c>
    </row>
    <row r="461" spans="1:2" ht="12.75" customHeight="1" x14ac:dyDescent="0.2">
      <c r="A461" s="38" t="s">
        <v>1053</v>
      </c>
      <c r="B461" s="38">
        <v>170180003009002</v>
      </c>
    </row>
    <row r="462" spans="1:2" ht="12.75" customHeight="1" x14ac:dyDescent="0.2">
      <c r="A462" s="38" t="s">
        <v>1052</v>
      </c>
      <c r="B462" s="38">
        <v>170156003009002</v>
      </c>
    </row>
    <row r="463" spans="1:2" ht="12.75" customHeight="1" x14ac:dyDescent="0.2">
      <c r="A463" s="38" t="s">
        <v>1052</v>
      </c>
      <c r="B463" s="38">
        <v>170156003009001</v>
      </c>
    </row>
    <row r="464" spans="1:2" ht="12.75" customHeight="1" x14ac:dyDescent="0.2">
      <c r="A464" s="38" t="s">
        <v>1052</v>
      </c>
      <c r="B464" s="38">
        <v>170150227003005</v>
      </c>
    </row>
    <row r="465" spans="1:2" ht="12.75" customHeight="1" x14ac:dyDescent="0.2">
      <c r="A465" s="38" t="s">
        <v>1054</v>
      </c>
      <c r="B465" s="38">
        <v>170179001004001</v>
      </c>
    </row>
    <row r="466" spans="1:2" ht="12.75" customHeight="1" x14ac:dyDescent="0.2">
      <c r="A466" s="38" t="s">
        <v>1049</v>
      </c>
      <c r="B466" s="38">
        <v>170177006004003</v>
      </c>
    </row>
    <row r="467" spans="1:2" ht="12.75" customHeight="1" x14ac:dyDescent="0.2">
      <c r="A467" s="38" t="s">
        <v>1047</v>
      </c>
      <c r="B467" s="38">
        <v>170155001004001</v>
      </c>
    </row>
    <row r="468" spans="1:2" ht="12.75" customHeight="1" x14ac:dyDescent="0.2">
      <c r="A468" s="38" t="s">
        <v>1048</v>
      </c>
      <c r="B468" s="38">
        <v>170165002002002</v>
      </c>
    </row>
    <row r="469" spans="1:2" ht="12.75" customHeight="1" x14ac:dyDescent="0.2">
      <c r="A469" s="38" t="s">
        <v>1048</v>
      </c>
      <c r="B469" s="38">
        <v>170165002002004</v>
      </c>
    </row>
    <row r="470" spans="1:2" ht="12.75" customHeight="1" x14ac:dyDescent="0.2">
      <c r="A470" s="38" t="s">
        <v>1048</v>
      </c>
      <c r="B470" s="38">
        <v>170165002002003</v>
      </c>
    </row>
    <row r="471" spans="1:2" ht="12.75" customHeight="1" x14ac:dyDescent="0.2">
      <c r="A471" s="38" t="s">
        <v>1051</v>
      </c>
      <c r="B471" s="38">
        <v>170150073011009</v>
      </c>
    </row>
    <row r="472" spans="1:2" ht="12.75" customHeight="1" x14ac:dyDescent="0.2">
      <c r="A472" s="38" t="s">
        <v>1046</v>
      </c>
      <c r="B472" s="38">
        <v>170150168003002</v>
      </c>
    </row>
    <row r="473" spans="1:2" ht="12.75" customHeight="1" x14ac:dyDescent="0.2">
      <c r="A473" s="38" t="s">
        <v>1046</v>
      </c>
      <c r="B473" s="38">
        <v>170150168003001</v>
      </c>
    </row>
    <row r="474" spans="1:2" ht="12.75" customHeight="1" x14ac:dyDescent="0.2">
      <c r="A474" s="38" t="s">
        <v>1046</v>
      </c>
      <c r="B474" s="38">
        <v>170150168003004</v>
      </c>
    </row>
    <row r="475" spans="1:2" ht="12.75" customHeight="1" x14ac:dyDescent="0.2">
      <c r="A475" s="38" t="s">
        <v>1051</v>
      </c>
      <c r="B475" s="38">
        <v>170150073011001</v>
      </c>
    </row>
    <row r="476" spans="1:2" ht="12.75" customHeight="1" x14ac:dyDescent="0.2">
      <c r="A476" s="38" t="s">
        <v>1052</v>
      </c>
      <c r="B476" s="38">
        <v>170156003010006</v>
      </c>
    </row>
    <row r="477" spans="1:2" ht="12.75" customHeight="1" x14ac:dyDescent="0.2">
      <c r="A477" s="38" t="s">
        <v>1052</v>
      </c>
      <c r="B477" s="38">
        <v>170156003010005</v>
      </c>
    </row>
    <row r="478" spans="1:2" ht="12.75" customHeight="1" x14ac:dyDescent="0.2">
      <c r="A478" s="38" t="s">
        <v>1049</v>
      </c>
      <c r="B478" s="38">
        <v>170150065012002</v>
      </c>
    </row>
    <row r="479" spans="1:2" ht="12.75" customHeight="1" x14ac:dyDescent="0.2">
      <c r="A479" s="38" t="s">
        <v>1049</v>
      </c>
      <c r="B479" s="38">
        <v>170150065012001</v>
      </c>
    </row>
    <row r="480" spans="1:2" ht="12.75" customHeight="1" x14ac:dyDescent="0.2">
      <c r="A480" s="38" t="s">
        <v>1047</v>
      </c>
      <c r="B480" s="38">
        <v>170155002004009</v>
      </c>
    </row>
    <row r="481" spans="1:2" ht="12.75" customHeight="1" x14ac:dyDescent="0.2">
      <c r="A481" s="38" t="s">
        <v>1047</v>
      </c>
      <c r="B481" s="38">
        <v>170155002004008</v>
      </c>
    </row>
    <row r="482" spans="1:2" ht="12.75" customHeight="1" x14ac:dyDescent="0.2">
      <c r="A482" s="38" t="s">
        <v>1051</v>
      </c>
      <c r="B482" s="38">
        <v>170155002004003</v>
      </c>
    </row>
    <row r="483" spans="1:2" ht="12.75" customHeight="1" x14ac:dyDescent="0.2">
      <c r="A483" s="38" t="s">
        <v>1047</v>
      </c>
      <c r="B483" s="38">
        <v>170155002004005</v>
      </c>
    </row>
    <row r="484" spans="1:2" ht="12.75" customHeight="1" x14ac:dyDescent="0.2">
      <c r="A484" s="38" t="s">
        <v>1051</v>
      </c>
      <c r="B484" s="38">
        <v>170155002004004</v>
      </c>
    </row>
    <row r="485" spans="1:2" ht="12.75" customHeight="1" x14ac:dyDescent="0.2">
      <c r="A485" s="38" t="s">
        <v>1047</v>
      </c>
      <c r="B485" s="38">
        <v>170155002004007</v>
      </c>
    </row>
    <row r="486" spans="1:2" ht="12.75" customHeight="1" x14ac:dyDescent="0.2">
      <c r="A486" s="38" t="s">
        <v>1047</v>
      </c>
      <c r="B486" s="38">
        <v>170155002004006</v>
      </c>
    </row>
    <row r="487" spans="1:2" ht="12.75" customHeight="1" x14ac:dyDescent="0.2">
      <c r="A487" s="38" t="s">
        <v>1050</v>
      </c>
      <c r="B487" s="38">
        <v>170160916003004</v>
      </c>
    </row>
    <row r="488" spans="1:2" ht="12.75" customHeight="1" x14ac:dyDescent="0.2">
      <c r="A488" s="38" t="s">
        <v>1050</v>
      </c>
      <c r="B488" s="38">
        <v>170160916003003</v>
      </c>
    </row>
    <row r="489" spans="1:2" ht="12.75" customHeight="1" x14ac:dyDescent="0.2">
      <c r="A489" s="38" t="s">
        <v>1050</v>
      </c>
      <c r="B489" s="38">
        <v>170163004003002</v>
      </c>
    </row>
    <row r="490" spans="1:2" ht="12.75" customHeight="1" x14ac:dyDescent="0.2">
      <c r="A490" s="38" t="s">
        <v>1052</v>
      </c>
      <c r="B490" s="38">
        <v>170176001007004</v>
      </c>
    </row>
    <row r="491" spans="1:2" ht="12.75" customHeight="1" x14ac:dyDescent="0.2">
      <c r="A491" s="38" t="s">
        <v>1050</v>
      </c>
      <c r="B491" s="38">
        <v>170157007002003</v>
      </c>
    </row>
    <row r="492" spans="1:2" ht="12.75" customHeight="1" x14ac:dyDescent="0.2">
      <c r="A492" s="38" t="s">
        <v>1055</v>
      </c>
      <c r="B492" s="38">
        <v>170150236009001</v>
      </c>
    </row>
    <row r="493" spans="1:2" ht="12.75" customHeight="1" x14ac:dyDescent="0.2">
      <c r="A493" s="38" t="s">
        <v>1049</v>
      </c>
      <c r="B493" s="38">
        <v>170150096009001</v>
      </c>
    </row>
    <row r="494" spans="1:2" ht="12.75" customHeight="1" x14ac:dyDescent="0.2">
      <c r="A494" s="38" t="s">
        <v>1050</v>
      </c>
      <c r="B494" s="38">
        <v>170184012007001</v>
      </c>
    </row>
    <row r="495" spans="1:2" ht="12.75" customHeight="1" x14ac:dyDescent="0.2">
      <c r="A495" s="38" t="s">
        <v>1047</v>
      </c>
      <c r="B495" s="38">
        <v>170180002005002</v>
      </c>
    </row>
    <row r="496" spans="1:2" ht="12.75" customHeight="1" x14ac:dyDescent="0.2">
      <c r="A496" s="38" t="s">
        <v>1047</v>
      </c>
      <c r="B496" s="38">
        <v>170180002005001</v>
      </c>
    </row>
    <row r="497" spans="1:2" ht="12.75" customHeight="1" x14ac:dyDescent="0.2">
      <c r="A497" s="38" t="s">
        <v>1052</v>
      </c>
      <c r="B497" s="38">
        <v>170150225011001</v>
      </c>
    </row>
    <row r="498" spans="1:2" ht="12.75" customHeight="1" x14ac:dyDescent="0.2">
      <c r="A498" s="38" t="s">
        <v>1050</v>
      </c>
      <c r="B498" s="38">
        <v>170157009001002</v>
      </c>
    </row>
    <row r="499" spans="1:2" ht="12.75" customHeight="1" x14ac:dyDescent="0.2">
      <c r="A499" s="38" t="s">
        <v>1049</v>
      </c>
      <c r="B499" s="38">
        <v>170150112011002</v>
      </c>
    </row>
    <row r="500" spans="1:2" ht="12.75" customHeight="1" x14ac:dyDescent="0.2">
      <c r="A500" s="38" t="s">
        <v>1049</v>
      </c>
      <c r="B500" s="38">
        <v>170150112011001</v>
      </c>
    </row>
    <row r="501" spans="1:2" ht="12.75" customHeight="1" x14ac:dyDescent="0.2">
      <c r="A501" s="38" t="s">
        <v>1048</v>
      </c>
      <c r="B501" s="38">
        <v>170155048006008</v>
      </c>
    </row>
    <row r="502" spans="1:2" ht="12.75" customHeight="1" x14ac:dyDescent="0.2">
      <c r="A502" s="38" t="s">
        <v>1048</v>
      </c>
      <c r="B502" s="38">
        <v>170155048006005</v>
      </c>
    </row>
    <row r="503" spans="1:2" ht="12.75" customHeight="1" x14ac:dyDescent="0.2">
      <c r="A503" s="38" t="s">
        <v>1048</v>
      </c>
      <c r="B503" s="38">
        <v>170155048006007</v>
      </c>
    </row>
    <row r="504" spans="1:2" ht="12.75" customHeight="1" x14ac:dyDescent="0.2">
      <c r="A504" s="38" t="s">
        <v>1048</v>
      </c>
      <c r="B504" s="38">
        <v>170155048006006</v>
      </c>
    </row>
    <row r="505" spans="1:2" ht="12.75" customHeight="1" x14ac:dyDescent="0.2">
      <c r="A505" s="38" t="s">
        <v>1052</v>
      </c>
      <c r="B505" s="38">
        <v>170156016002005</v>
      </c>
    </row>
    <row r="506" spans="1:2" ht="12.75" customHeight="1" x14ac:dyDescent="0.2">
      <c r="A506" s="38" t="s">
        <v>1052</v>
      </c>
      <c r="B506" s="38">
        <v>170150267010005</v>
      </c>
    </row>
    <row r="507" spans="1:2" ht="12.75" customHeight="1" x14ac:dyDescent="0.2">
      <c r="A507" s="38" t="s">
        <v>1049</v>
      </c>
      <c r="B507" s="38">
        <v>170180010011002</v>
      </c>
    </row>
    <row r="508" spans="1:2" ht="12.75" customHeight="1" x14ac:dyDescent="0.2">
      <c r="A508" s="38" t="s">
        <v>1049</v>
      </c>
      <c r="B508" s="38">
        <v>170180010011003</v>
      </c>
    </row>
    <row r="509" spans="1:2" ht="12.75" customHeight="1" x14ac:dyDescent="0.2">
      <c r="A509" s="38" t="s">
        <v>1049</v>
      </c>
      <c r="B509" s="38">
        <v>170180010011007</v>
      </c>
    </row>
    <row r="510" spans="1:2" ht="12.75" customHeight="1" x14ac:dyDescent="0.2">
      <c r="A510" s="38" t="s">
        <v>1047</v>
      </c>
      <c r="B510" s="38">
        <v>170150039009001</v>
      </c>
    </row>
    <row r="511" spans="1:2" ht="12.75" customHeight="1" x14ac:dyDescent="0.2">
      <c r="A511" s="38" t="s">
        <v>1047</v>
      </c>
      <c r="B511" s="38">
        <v>170150039009002</v>
      </c>
    </row>
    <row r="512" spans="1:2" ht="12.75" customHeight="1" x14ac:dyDescent="0.2">
      <c r="A512" s="38" t="s">
        <v>1052</v>
      </c>
      <c r="B512" s="38">
        <v>170156012007001</v>
      </c>
    </row>
    <row r="513" spans="1:2" ht="12.75" customHeight="1" x14ac:dyDescent="0.2">
      <c r="A513" s="38" t="s">
        <v>1051</v>
      </c>
      <c r="B513" s="38">
        <v>170150034012002</v>
      </c>
    </row>
    <row r="514" spans="1:2" ht="12.75" customHeight="1" x14ac:dyDescent="0.2">
      <c r="A514" s="38" t="s">
        <v>1051</v>
      </c>
      <c r="B514" s="38">
        <v>170150034012001</v>
      </c>
    </row>
    <row r="515" spans="1:2" ht="12.75" customHeight="1" x14ac:dyDescent="0.2">
      <c r="A515" s="38" t="s">
        <v>1054</v>
      </c>
      <c r="B515" s="38">
        <v>170150153005001</v>
      </c>
    </row>
    <row r="516" spans="1:2" ht="12.75" customHeight="1" x14ac:dyDescent="0.2">
      <c r="A516" s="38" t="s">
        <v>1052</v>
      </c>
      <c r="B516" s="38">
        <v>170150227002001</v>
      </c>
    </row>
    <row r="517" spans="1:2" ht="12.75" customHeight="1" x14ac:dyDescent="0.2">
      <c r="A517" s="38" t="s">
        <v>1051</v>
      </c>
      <c r="B517" s="38">
        <v>170154001003001</v>
      </c>
    </row>
    <row r="518" spans="1:2" ht="12.75" customHeight="1" x14ac:dyDescent="0.2">
      <c r="A518" s="38" t="s">
        <v>1052</v>
      </c>
      <c r="B518" s="38">
        <v>170150227002002</v>
      </c>
    </row>
    <row r="519" spans="1:2" ht="12.75" customHeight="1" x14ac:dyDescent="0.2">
      <c r="A519" s="38" t="s">
        <v>1047</v>
      </c>
      <c r="B519" s="38">
        <v>170154001003003</v>
      </c>
    </row>
    <row r="520" spans="1:2" ht="12.75" customHeight="1" x14ac:dyDescent="0.2">
      <c r="A520" s="38" t="s">
        <v>1047</v>
      </c>
      <c r="B520" s="38">
        <v>170155046002003</v>
      </c>
    </row>
    <row r="521" spans="1:2" ht="12.75" customHeight="1" x14ac:dyDescent="0.2">
      <c r="A521" s="38" t="s">
        <v>1047</v>
      </c>
      <c r="B521" s="38">
        <v>170155046002002</v>
      </c>
    </row>
    <row r="522" spans="1:2" ht="12.75" customHeight="1" x14ac:dyDescent="0.2">
      <c r="A522" s="38" t="s">
        <v>1047</v>
      </c>
      <c r="B522" s="38">
        <v>170155046002004</v>
      </c>
    </row>
    <row r="523" spans="1:2" ht="12.75" customHeight="1" x14ac:dyDescent="0.2">
      <c r="A523" s="38" t="s">
        <v>1056</v>
      </c>
      <c r="B523" s="38">
        <v>170150238004002</v>
      </c>
    </row>
    <row r="524" spans="1:2" ht="12.75" customHeight="1" x14ac:dyDescent="0.2">
      <c r="A524" s="38" t="s">
        <v>1049</v>
      </c>
      <c r="B524" s="38">
        <v>170150093010001</v>
      </c>
    </row>
    <row r="525" spans="1:2" ht="12.75" customHeight="1" x14ac:dyDescent="0.2">
      <c r="A525" s="38" t="s">
        <v>1049</v>
      </c>
      <c r="B525" s="38">
        <v>170150093010002</v>
      </c>
    </row>
    <row r="526" spans="1:2" ht="12.75" customHeight="1" x14ac:dyDescent="0.2">
      <c r="A526" s="38" t="s">
        <v>1047</v>
      </c>
      <c r="B526" s="38">
        <v>170165002001001</v>
      </c>
    </row>
    <row r="527" spans="1:2" ht="12.75" customHeight="1" x14ac:dyDescent="0.2">
      <c r="A527" s="38" t="s">
        <v>1047</v>
      </c>
      <c r="B527" s="38">
        <v>170165002001003</v>
      </c>
    </row>
    <row r="528" spans="1:2" ht="12.75" customHeight="1" x14ac:dyDescent="0.2">
      <c r="A528" s="38" t="s">
        <v>1047</v>
      </c>
      <c r="B528" s="38">
        <v>170165002001002</v>
      </c>
    </row>
    <row r="529" spans="1:2" ht="12.75" customHeight="1" x14ac:dyDescent="0.2">
      <c r="A529" s="38" t="s">
        <v>1046</v>
      </c>
      <c r="B529" s="38">
        <v>170150168002002</v>
      </c>
    </row>
    <row r="530" spans="1:2" ht="12.75" customHeight="1" x14ac:dyDescent="0.2">
      <c r="A530" s="38" t="s">
        <v>1052</v>
      </c>
      <c r="B530" s="38">
        <v>170150221004001</v>
      </c>
    </row>
    <row r="531" spans="1:2" ht="12.75" customHeight="1" x14ac:dyDescent="0.2">
      <c r="A531" s="38" t="s">
        <v>1052</v>
      </c>
      <c r="B531" s="38">
        <v>170150221004002</v>
      </c>
    </row>
    <row r="532" spans="1:2" ht="12.75" customHeight="1" x14ac:dyDescent="0.2">
      <c r="A532" s="38" t="s">
        <v>1048</v>
      </c>
      <c r="B532" s="38">
        <v>170150179004003</v>
      </c>
    </row>
    <row r="533" spans="1:2" ht="12.75" customHeight="1" x14ac:dyDescent="0.2">
      <c r="A533" s="38" t="s">
        <v>1048</v>
      </c>
      <c r="B533" s="38">
        <v>170150179004001</v>
      </c>
    </row>
    <row r="534" spans="1:2" ht="12.75" customHeight="1" x14ac:dyDescent="0.2">
      <c r="A534" s="38" t="s">
        <v>1050</v>
      </c>
      <c r="B534" s="38">
        <v>170184010007001</v>
      </c>
    </row>
    <row r="535" spans="1:2" ht="12.75" customHeight="1" x14ac:dyDescent="0.2">
      <c r="A535" s="38" t="s">
        <v>1047</v>
      </c>
      <c r="B535" s="38">
        <v>170180001008005</v>
      </c>
    </row>
    <row r="536" spans="1:2" ht="12.75" customHeight="1" x14ac:dyDescent="0.2">
      <c r="A536" s="38" t="s">
        <v>1050</v>
      </c>
      <c r="B536" s="38">
        <v>170184010007003</v>
      </c>
    </row>
    <row r="537" spans="1:2" ht="12.75" customHeight="1" x14ac:dyDescent="0.2">
      <c r="A537" s="38" t="s">
        <v>1047</v>
      </c>
      <c r="B537" s="38">
        <v>170180001008002</v>
      </c>
    </row>
    <row r="538" spans="1:2" ht="12.75" customHeight="1" x14ac:dyDescent="0.2">
      <c r="A538" s="38" t="s">
        <v>1047</v>
      </c>
      <c r="B538" s="38">
        <v>170180001008001</v>
      </c>
    </row>
    <row r="539" spans="1:2" ht="12.75" customHeight="1" x14ac:dyDescent="0.2">
      <c r="A539" s="38" t="s">
        <v>1047</v>
      </c>
      <c r="B539" s="38">
        <v>170180001008004</v>
      </c>
    </row>
    <row r="540" spans="1:2" ht="12.75" customHeight="1" x14ac:dyDescent="0.2">
      <c r="A540" s="38" t="s">
        <v>1047</v>
      </c>
      <c r="B540" s="38">
        <v>170180001008003</v>
      </c>
    </row>
    <row r="541" spans="1:2" ht="12.75" customHeight="1" x14ac:dyDescent="0.2">
      <c r="A541" s="38" t="s">
        <v>1051</v>
      </c>
      <c r="B541" s="38">
        <v>170150114005001</v>
      </c>
    </row>
    <row r="542" spans="1:2" ht="12.75" customHeight="1" x14ac:dyDescent="0.2">
      <c r="A542" s="38" t="s">
        <v>1052</v>
      </c>
      <c r="B542" s="38">
        <v>170150265009001</v>
      </c>
    </row>
    <row r="543" spans="1:2" ht="12.75" customHeight="1" x14ac:dyDescent="0.2">
      <c r="A543" s="38" t="s">
        <v>1050</v>
      </c>
      <c r="B543" s="38">
        <v>170175001006002</v>
      </c>
    </row>
    <row r="544" spans="1:2" ht="12.75" customHeight="1" x14ac:dyDescent="0.2">
      <c r="A544" s="38" t="s">
        <v>1050</v>
      </c>
      <c r="B544" s="38">
        <v>170175001006001</v>
      </c>
    </row>
    <row r="545" spans="1:2" ht="12.75" customHeight="1" x14ac:dyDescent="0.2">
      <c r="A545" s="38" t="s">
        <v>1053</v>
      </c>
      <c r="B545" s="38">
        <v>170178001005002</v>
      </c>
    </row>
    <row r="546" spans="1:2" ht="12.75" customHeight="1" x14ac:dyDescent="0.2">
      <c r="A546" s="38" t="s">
        <v>1053</v>
      </c>
      <c r="B546" s="38">
        <v>170178001005001</v>
      </c>
    </row>
    <row r="547" spans="1:2" ht="12.75" customHeight="1" x14ac:dyDescent="0.2">
      <c r="A547" s="38" t="s">
        <v>1055</v>
      </c>
      <c r="B547" s="38">
        <v>170150236008004</v>
      </c>
    </row>
    <row r="548" spans="1:2" ht="12.75" customHeight="1" x14ac:dyDescent="0.2">
      <c r="A548" s="38" t="s">
        <v>1055</v>
      </c>
      <c r="B548" s="38">
        <v>170150236008003</v>
      </c>
    </row>
    <row r="549" spans="1:2" ht="12.75" customHeight="1" x14ac:dyDescent="0.2">
      <c r="A549" s="38" t="s">
        <v>1052</v>
      </c>
      <c r="B549" s="38">
        <v>170156015002001</v>
      </c>
    </row>
    <row r="550" spans="1:2" ht="12.75" customHeight="1" x14ac:dyDescent="0.2">
      <c r="A550" s="38" t="s">
        <v>1049</v>
      </c>
      <c r="B550" s="38">
        <v>170150143012001</v>
      </c>
    </row>
    <row r="551" spans="1:2" ht="12.75" customHeight="1" x14ac:dyDescent="0.2">
      <c r="A551" s="38" t="s">
        <v>1050</v>
      </c>
      <c r="B551" s="38">
        <v>170157007001001</v>
      </c>
    </row>
    <row r="552" spans="1:2" ht="12.75" customHeight="1" x14ac:dyDescent="0.2">
      <c r="A552" s="38" t="s">
        <v>1046</v>
      </c>
      <c r="B552" s="38">
        <v>170150180004001</v>
      </c>
    </row>
    <row r="553" spans="1:2" ht="12.75" customHeight="1" x14ac:dyDescent="0.2">
      <c r="A553" s="38" t="s">
        <v>1046</v>
      </c>
      <c r="B553" s="38">
        <v>170150180004002</v>
      </c>
    </row>
    <row r="554" spans="1:2" ht="12.75" customHeight="1" x14ac:dyDescent="0.2">
      <c r="A554" s="38" t="s">
        <v>1051</v>
      </c>
      <c r="B554" s="38">
        <v>170150088003002</v>
      </c>
    </row>
    <row r="555" spans="1:2" ht="12.75" customHeight="1" x14ac:dyDescent="0.2">
      <c r="A555" s="38" t="s">
        <v>1049</v>
      </c>
      <c r="B555" s="38">
        <v>170150091009001</v>
      </c>
    </row>
    <row r="556" spans="1:2" ht="12.75" customHeight="1" x14ac:dyDescent="0.2">
      <c r="A556" s="38" t="s">
        <v>1046</v>
      </c>
      <c r="B556" s="38">
        <v>170150171005003</v>
      </c>
    </row>
    <row r="557" spans="1:2" ht="12.75" customHeight="1" x14ac:dyDescent="0.2">
      <c r="A557" s="38" t="s">
        <v>1046</v>
      </c>
      <c r="B557" s="38">
        <v>170150010007009</v>
      </c>
    </row>
    <row r="558" spans="1:2" ht="12.75" customHeight="1" x14ac:dyDescent="0.2">
      <c r="A558" s="38" t="s">
        <v>1050</v>
      </c>
      <c r="B558" s="38">
        <v>170160002006001</v>
      </c>
    </row>
    <row r="559" spans="1:2" ht="12.75" customHeight="1" x14ac:dyDescent="0.2">
      <c r="A559" s="38" t="s">
        <v>1050</v>
      </c>
      <c r="B559" s="38">
        <v>170160002006003</v>
      </c>
    </row>
    <row r="560" spans="1:2" ht="12.75" customHeight="1" x14ac:dyDescent="0.2">
      <c r="A560" s="38" t="s">
        <v>1049</v>
      </c>
      <c r="B560" s="38">
        <v>170150157008001</v>
      </c>
    </row>
    <row r="561" spans="1:2" ht="12.75" customHeight="1" x14ac:dyDescent="0.2">
      <c r="A561" s="38" t="s">
        <v>1049</v>
      </c>
      <c r="B561" s="38">
        <v>170150090005004</v>
      </c>
    </row>
    <row r="562" spans="1:2" ht="12.75" customHeight="1" x14ac:dyDescent="0.2">
      <c r="A562" s="38" t="s">
        <v>1049</v>
      </c>
      <c r="B562" s="38">
        <v>170150090005006</v>
      </c>
    </row>
    <row r="563" spans="1:2" ht="12.75" customHeight="1" x14ac:dyDescent="0.2">
      <c r="A563" s="38" t="s">
        <v>1049</v>
      </c>
      <c r="B563" s="38">
        <v>170150090005005</v>
      </c>
    </row>
    <row r="564" spans="1:2" ht="12.75" customHeight="1" x14ac:dyDescent="0.2">
      <c r="A564" s="38" t="s">
        <v>1049</v>
      </c>
      <c r="B564" s="38">
        <v>170150090005007</v>
      </c>
    </row>
    <row r="565" spans="1:2" ht="12.75" customHeight="1" x14ac:dyDescent="0.2">
      <c r="A565" s="38" t="s">
        <v>1048</v>
      </c>
      <c r="B565" s="38">
        <v>170165001008003</v>
      </c>
    </row>
    <row r="566" spans="1:2" ht="12.75" customHeight="1" x14ac:dyDescent="0.2">
      <c r="A566" s="38" t="s">
        <v>1048</v>
      </c>
      <c r="B566" s="38">
        <v>170165001008002</v>
      </c>
    </row>
    <row r="567" spans="1:2" ht="12.75" customHeight="1" x14ac:dyDescent="0.2">
      <c r="A567" s="38" t="s">
        <v>1046</v>
      </c>
      <c r="B567" s="38">
        <v>170150103004002</v>
      </c>
    </row>
    <row r="568" spans="1:2" ht="12.75" customHeight="1" x14ac:dyDescent="0.2">
      <c r="A568" s="38" t="s">
        <v>1057</v>
      </c>
      <c r="B568" s="38">
        <v>170150178007001</v>
      </c>
    </row>
    <row r="569" spans="1:2" ht="12.75" customHeight="1" x14ac:dyDescent="0.2">
      <c r="A569" s="38" t="s">
        <v>1050</v>
      </c>
      <c r="B569" s="38">
        <v>170175002001003</v>
      </c>
    </row>
    <row r="570" spans="1:2" ht="12.75" customHeight="1" x14ac:dyDescent="0.2">
      <c r="A570" s="38" t="s">
        <v>1050</v>
      </c>
      <c r="B570" s="38">
        <v>170175002001006</v>
      </c>
    </row>
    <row r="571" spans="1:2" ht="12.75" customHeight="1" x14ac:dyDescent="0.2">
      <c r="A571" s="38" t="s">
        <v>1050</v>
      </c>
      <c r="B571" s="38">
        <v>170175002001002</v>
      </c>
    </row>
    <row r="572" spans="1:2" ht="12.75" customHeight="1" x14ac:dyDescent="0.2">
      <c r="A572" s="38" t="s">
        <v>1050</v>
      </c>
      <c r="B572" s="38">
        <v>170175002001001</v>
      </c>
    </row>
    <row r="573" spans="1:2" ht="12.75" customHeight="1" x14ac:dyDescent="0.2">
      <c r="A573" s="38" t="s">
        <v>1048</v>
      </c>
      <c r="B573" s="38">
        <v>170150137010004</v>
      </c>
    </row>
    <row r="574" spans="1:2" ht="12.75" customHeight="1" x14ac:dyDescent="0.2">
      <c r="A574" s="38" t="s">
        <v>1046</v>
      </c>
      <c r="B574" s="38">
        <v>170150052006002</v>
      </c>
    </row>
    <row r="575" spans="1:2" ht="12.75" customHeight="1" x14ac:dyDescent="0.2">
      <c r="A575" s="38" t="s">
        <v>1047</v>
      </c>
      <c r="B575" s="38">
        <v>170155053001009</v>
      </c>
    </row>
    <row r="576" spans="1:2" ht="12.75" customHeight="1" x14ac:dyDescent="0.2">
      <c r="A576" s="38" t="s">
        <v>1047</v>
      </c>
      <c r="B576" s="38">
        <v>170180010003001</v>
      </c>
    </row>
    <row r="577" spans="1:2" ht="12.75" customHeight="1" x14ac:dyDescent="0.2">
      <c r="A577" s="38" t="s">
        <v>1048</v>
      </c>
      <c r="B577" s="38">
        <v>170155053001002</v>
      </c>
    </row>
    <row r="578" spans="1:2" ht="12.75" customHeight="1" x14ac:dyDescent="0.2">
      <c r="A578" s="38" t="s">
        <v>1048</v>
      </c>
      <c r="B578" s="38">
        <v>170155053001001</v>
      </c>
    </row>
    <row r="579" spans="1:2" ht="12.75" customHeight="1" x14ac:dyDescent="0.2">
      <c r="A579" s="38" t="s">
        <v>1048</v>
      </c>
      <c r="B579" s="38">
        <v>170155053001004</v>
      </c>
    </row>
    <row r="580" spans="1:2" ht="12.75" customHeight="1" x14ac:dyDescent="0.2">
      <c r="A580" s="38" t="s">
        <v>1048</v>
      </c>
      <c r="B580" s="38">
        <v>170155053001003</v>
      </c>
    </row>
    <row r="581" spans="1:2" ht="12.75" customHeight="1" x14ac:dyDescent="0.2">
      <c r="A581" s="38" t="s">
        <v>1048</v>
      </c>
      <c r="B581" s="38">
        <v>170155053001008</v>
      </c>
    </row>
    <row r="582" spans="1:2" ht="12.75" customHeight="1" x14ac:dyDescent="0.2">
      <c r="A582" s="38" t="s">
        <v>1051</v>
      </c>
      <c r="B582" s="38">
        <v>170155053001007</v>
      </c>
    </row>
    <row r="583" spans="1:2" ht="12.75" customHeight="1" x14ac:dyDescent="0.2">
      <c r="A583" s="38" t="s">
        <v>1046</v>
      </c>
      <c r="B583" s="38">
        <v>170150052006001</v>
      </c>
    </row>
    <row r="584" spans="1:2" ht="12.75" customHeight="1" x14ac:dyDescent="0.2">
      <c r="A584" s="38" t="s">
        <v>1050</v>
      </c>
      <c r="B584" s="38">
        <v>170185001006003</v>
      </c>
    </row>
    <row r="585" spans="1:2" ht="12.75" customHeight="1" x14ac:dyDescent="0.2">
      <c r="A585" s="38" t="s">
        <v>1050</v>
      </c>
      <c r="B585" s="38">
        <v>170185001006002</v>
      </c>
    </row>
    <row r="586" spans="1:2" ht="12.75" customHeight="1" x14ac:dyDescent="0.2">
      <c r="A586" s="38" t="s">
        <v>1051</v>
      </c>
      <c r="B586" s="38">
        <v>170150039010001</v>
      </c>
    </row>
    <row r="587" spans="1:2" ht="12.75" customHeight="1" x14ac:dyDescent="0.2">
      <c r="A587" s="38" t="s">
        <v>1050</v>
      </c>
      <c r="B587" s="38">
        <v>170160001006005</v>
      </c>
    </row>
    <row r="588" spans="1:2" ht="12.75" customHeight="1" x14ac:dyDescent="0.2">
      <c r="A588" s="38" t="s">
        <v>1057</v>
      </c>
      <c r="B588" s="38">
        <v>170180007003001</v>
      </c>
    </row>
    <row r="589" spans="1:2" ht="12.75" customHeight="1" x14ac:dyDescent="0.2">
      <c r="A589" s="38" t="s">
        <v>1050</v>
      </c>
      <c r="B589" s="38">
        <v>170160001006002</v>
      </c>
    </row>
    <row r="590" spans="1:2" ht="12.75" customHeight="1" x14ac:dyDescent="0.2">
      <c r="A590" s="38" t="s">
        <v>1050</v>
      </c>
      <c r="B590" s="38">
        <v>170160001006004</v>
      </c>
    </row>
    <row r="591" spans="1:2" ht="12.75" customHeight="1" x14ac:dyDescent="0.2">
      <c r="A591" s="38" t="s">
        <v>1050</v>
      </c>
      <c r="B591" s="38">
        <v>170160001006003</v>
      </c>
    </row>
    <row r="592" spans="1:2" ht="12.75" customHeight="1" x14ac:dyDescent="0.2">
      <c r="A592" s="38" t="s">
        <v>1052</v>
      </c>
      <c r="B592" s="38">
        <v>170156004001001</v>
      </c>
    </row>
    <row r="593" spans="1:2" ht="12.75" customHeight="1" x14ac:dyDescent="0.2">
      <c r="A593" s="38" t="s">
        <v>1052</v>
      </c>
      <c r="B593" s="38">
        <v>170156004001002</v>
      </c>
    </row>
    <row r="594" spans="1:2" ht="12.75" customHeight="1" x14ac:dyDescent="0.2">
      <c r="A594" s="38" t="s">
        <v>1046</v>
      </c>
      <c r="B594" s="38">
        <v>170150167002002</v>
      </c>
    </row>
    <row r="595" spans="1:2" ht="12.75" customHeight="1" x14ac:dyDescent="0.2">
      <c r="A595" s="38" t="s">
        <v>1046</v>
      </c>
      <c r="B595" s="38">
        <v>170150167002001</v>
      </c>
    </row>
    <row r="596" spans="1:2" ht="12.75" customHeight="1" x14ac:dyDescent="0.2">
      <c r="A596" s="38" t="s">
        <v>1046</v>
      </c>
      <c r="B596" s="38">
        <v>170150159003001</v>
      </c>
    </row>
    <row r="597" spans="1:2" ht="12.75" customHeight="1" x14ac:dyDescent="0.2">
      <c r="A597" s="38" t="s">
        <v>1051</v>
      </c>
      <c r="B597" s="38">
        <v>170150073010009</v>
      </c>
    </row>
    <row r="598" spans="1:2" ht="12.75" customHeight="1" x14ac:dyDescent="0.2">
      <c r="A598" s="38" t="s">
        <v>1051</v>
      </c>
      <c r="B598" s="38">
        <v>170150073010008</v>
      </c>
    </row>
    <row r="599" spans="1:2" ht="12.75" customHeight="1" x14ac:dyDescent="0.2">
      <c r="A599" s="38" t="s">
        <v>1051</v>
      </c>
      <c r="B599" s="38">
        <v>170150073010001</v>
      </c>
    </row>
    <row r="600" spans="1:2" ht="12.75" customHeight="1" x14ac:dyDescent="0.2">
      <c r="A600" s="38" t="s">
        <v>1053</v>
      </c>
      <c r="B600" s="38">
        <v>170180003008005</v>
      </c>
    </row>
    <row r="601" spans="1:2" ht="12.75" customHeight="1" x14ac:dyDescent="0.2">
      <c r="A601" s="38" t="s">
        <v>1051</v>
      </c>
      <c r="B601" s="38">
        <v>170150073010016</v>
      </c>
    </row>
    <row r="602" spans="1:2" ht="12.75" customHeight="1" x14ac:dyDescent="0.2">
      <c r="A602" s="38" t="s">
        <v>1049</v>
      </c>
      <c r="B602" s="38">
        <v>170150065011001</v>
      </c>
    </row>
    <row r="603" spans="1:2" ht="12.75" customHeight="1" x14ac:dyDescent="0.2">
      <c r="A603" s="38" t="s">
        <v>1051</v>
      </c>
      <c r="B603" s="38">
        <v>170150073010012</v>
      </c>
    </row>
    <row r="604" spans="1:2" ht="12.75" customHeight="1" x14ac:dyDescent="0.2">
      <c r="A604" s="38" t="s">
        <v>1051</v>
      </c>
      <c r="B604" s="38">
        <v>170150073010013</v>
      </c>
    </row>
    <row r="605" spans="1:2" ht="12.75" customHeight="1" x14ac:dyDescent="0.2">
      <c r="A605" s="38" t="s">
        <v>1050</v>
      </c>
      <c r="B605" s="38">
        <v>170160002005004</v>
      </c>
    </row>
    <row r="606" spans="1:2" ht="12.75" customHeight="1" x14ac:dyDescent="0.2">
      <c r="A606" s="38" t="s">
        <v>1050</v>
      </c>
      <c r="B606" s="38">
        <v>170160002005003</v>
      </c>
    </row>
    <row r="607" spans="1:2" ht="12.75" customHeight="1" x14ac:dyDescent="0.2">
      <c r="A607" s="38" t="s">
        <v>1050</v>
      </c>
      <c r="B607" s="38">
        <v>170160002005005</v>
      </c>
    </row>
    <row r="608" spans="1:2" ht="12.75" customHeight="1" x14ac:dyDescent="0.2">
      <c r="A608" s="38" t="s">
        <v>1050</v>
      </c>
      <c r="B608" s="38">
        <v>170160002005008</v>
      </c>
    </row>
    <row r="609" spans="1:2" ht="12.75" customHeight="1" x14ac:dyDescent="0.2">
      <c r="A609" s="38" t="s">
        <v>1050</v>
      </c>
      <c r="B609" s="38">
        <v>170160002005007</v>
      </c>
    </row>
    <row r="610" spans="1:2" ht="12.75" customHeight="1" x14ac:dyDescent="0.2">
      <c r="A610" s="38" t="s">
        <v>1050</v>
      </c>
      <c r="B610" s="38">
        <v>170160002005002</v>
      </c>
    </row>
    <row r="611" spans="1:2" ht="12.75" customHeight="1" x14ac:dyDescent="0.2">
      <c r="A611" s="38" t="s">
        <v>1046</v>
      </c>
      <c r="B611" s="38">
        <v>170150180003002</v>
      </c>
    </row>
    <row r="612" spans="1:2" ht="12.75" customHeight="1" x14ac:dyDescent="0.2">
      <c r="A612" s="38" t="s">
        <v>1046</v>
      </c>
      <c r="B612" s="38">
        <v>170150180003001</v>
      </c>
    </row>
    <row r="613" spans="1:2" ht="12.75" customHeight="1" x14ac:dyDescent="0.2">
      <c r="A613" s="38" t="s">
        <v>1049</v>
      </c>
      <c r="B613" s="38">
        <v>170177006003004</v>
      </c>
    </row>
    <row r="614" spans="1:2" ht="12.75" customHeight="1" x14ac:dyDescent="0.2">
      <c r="A614" s="38" t="s">
        <v>1049</v>
      </c>
      <c r="B614" s="38">
        <v>170177006003005</v>
      </c>
    </row>
    <row r="615" spans="1:2" ht="12.75" customHeight="1" x14ac:dyDescent="0.2">
      <c r="A615" s="38" t="s">
        <v>1050</v>
      </c>
      <c r="B615" s="38">
        <v>170163004002001</v>
      </c>
    </row>
    <row r="616" spans="1:2" ht="12.75" customHeight="1" x14ac:dyDescent="0.2">
      <c r="A616" s="38" t="s">
        <v>1050</v>
      </c>
      <c r="B616" s="38">
        <v>170160916002002</v>
      </c>
    </row>
    <row r="617" spans="1:2" ht="12.75" customHeight="1" x14ac:dyDescent="0.2">
      <c r="A617" s="38" t="s">
        <v>1050</v>
      </c>
      <c r="B617" s="38">
        <v>170184015006001</v>
      </c>
    </row>
    <row r="618" spans="1:2" ht="12.75" customHeight="1" x14ac:dyDescent="0.2">
      <c r="A618" s="38" t="s">
        <v>1051</v>
      </c>
      <c r="B618" s="38">
        <v>170150043004009</v>
      </c>
    </row>
    <row r="619" spans="1:2" ht="12.75" customHeight="1" x14ac:dyDescent="0.2">
      <c r="A619" s="38" t="s">
        <v>1051</v>
      </c>
      <c r="B619" s="38">
        <v>170150043004008</v>
      </c>
    </row>
    <row r="620" spans="1:2" ht="12.75" customHeight="1" x14ac:dyDescent="0.2">
      <c r="A620" s="38" t="s">
        <v>1049</v>
      </c>
      <c r="B620" s="38">
        <v>170180010010001</v>
      </c>
    </row>
    <row r="621" spans="1:2" ht="12.75" customHeight="1" x14ac:dyDescent="0.2">
      <c r="A621" s="38" t="s">
        <v>1053</v>
      </c>
      <c r="B621" s="38">
        <v>170150096008005</v>
      </c>
    </row>
    <row r="622" spans="1:2" ht="12.75" customHeight="1" x14ac:dyDescent="0.2">
      <c r="A622" s="38" t="s">
        <v>1053</v>
      </c>
      <c r="B622" s="38">
        <v>170150096008004</v>
      </c>
    </row>
    <row r="623" spans="1:2" ht="12.75" customHeight="1" x14ac:dyDescent="0.2">
      <c r="A623" s="38" t="s">
        <v>1050</v>
      </c>
      <c r="B623" s="38">
        <v>170184012006002</v>
      </c>
    </row>
    <row r="624" spans="1:2" ht="12.75" customHeight="1" x14ac:dyDescent="0.2">
      <c r="A624" s="38" t="s">
        <v>1046</v>
      </c>
      <c r="B624" s="38">
        <v>170150054010001</v>
      </c>
    </row>
    <row r="625" spans="1:2" ht="12.75" customHeight="1" x14ac:dyDescent="0.2">
      <c r="A625" s="38" t="s">
        <v>1051</v>
      </c>
      <c r="B625" s="38">
        <v>170150043004010</v>
      </c>
    </row>
    <row r="626" spans="1:2" ht="12.75" customHeight="1" x14ac:dyDescent="0.2">
      <c r="A626" s="38" t="s">
        <v>1051</v>
      </c>
      <c r="B626" s="38">
        <v>170150043004012</v>
      </c>
    </row>
    <row r="627" spans="1:2" ht="12.75" customHeight="1" x14ac:dyDescent="0.2">
      <c r="A627" s="38" t="s">
        <v>1051</v>
      </c>
      <c r="B627" s="38">
        <v>170150043004011</v>
      </c>
    </row>
    <row r="628" spans="1:2" ht="12.75" customHeight="1" x14ac:dyDescent="0.2">
      <c r="A628" s="38" t="s">
        <v>1054</v>
      </c>
      <c r="B628" s="38">
        <v>170150151005002</v>
      </c>
    </row>
    <row r="629" spans="1:2" ht="12.75" customHeight="1" x14ac:dyDescent="0.2">
      <c r="A629" s="38" t="s">
        <v>1054</v>
      </c>
      <c r="B629" s="38">
        <v>170150151005001</v>
      </c>
    </row>
    <row r="630" spans="1:2" ht="12.75" customHeight="1" x14ac:dyDescent="0.2">
      <c r="A630" s="38" t="s">
        <v>1054</v>
      </c>
      <c r="B630" s="38">
        <v>170150151005003</v>
      </c>
    </row>
    <row r="631" spans="1:2" ht="12.75" customHeight="1" x14ac:dyDescent="0.2">
      <c r="A631" s="38" t="s">
        <v>1050</v>
      </c>
      <c r="B631" s="38">
        <v>170163003010001</v>
      </c>
    </row>
    <row r="632" spans="1:2" ht="12.75" customHeight="1" x14ac:dyDescent="0.2">
      <c r="A632" s="38" t="s">
        <v>1051</v>
      </c>
      <c r="B632" s="38">
        <v>170150034011001</v>
      </c>
    </row>
    <row r="633" spans="1:2" ht="12.75" customHeight="1" x14ac:dyDescent="0.2">
      <c r="A633" s="38" t="s">
        <v>1054</v>
      </c>
      <c r="B633" s="38">
        <v>170150153004001</v>
      </c>
    </row>
    <row r="634" spans="1:2" ht="12.75" customHeight="1" x14ac:dyDescent="0.2">
      <c r="A634" s="38" t="s">
        <v>1054</v>
      </c>
      <c r="B634" s="38">
        <v>170150153004002</v>
      </c>
    </row>
    <row r="635" spans="1:2" ht="12.75" customHeight="1" x14ac:dyDescent="0.2">
      <c r="A635" s="38" t="s">
        <v>1051</v>
      </c>
      <c r="B635" s="38">
        <v>170150130009001</v>
      </c>
    </row>
    <row r="636" spans="1:2" ht="12.75" customHeight="1" x14ac:dyDescent="0.2">
      <c r="A636" s="38" t="s">
        <v>1052</v>
      </c>
      <c r="B636" s="38">
        <v>170150266001003</v>
      </c>
    </row>
    <row r="637" spans="1:2" ht="12.75" customHeight="1" x14ac:dyDescent="0.2">
      <c r="A637" s="38" t="s">
        <v>1052</v>
      </c>
      <c r="B637" s="38">
        <v>170150266001002</v>
      </c>
    </row>
    <row r="638" spans="1:2" ht="12.75" customHeight="1" x14ac:dyDescent="0.2">
      <c r="A638" s="38" t="s">
        <v>1053</v>
      </c>
      <c r="B638" s="38">
        <v>170180002004001</v>
      </c>
    </row>
    <row r="639" spans="1:2" ht="12.75" customHeight="1" x14ac:dyDescent="0.2">
      <c r="A639" s="38" t="s">
        <v>1053</v>
      </c>
      <c r="B639" s="38">
        <v>170180002004005</v>
      </c>
    </row>
    <row r="640" spans="1:2" ht="12.75" customHeight="1" x14ac:dyDescent="0.2">
      <c r="A640" s="38" t="s">
        <v>1054</v>
      </c>
      <c r="B640" s="38">
        <v>170185001005002</v>
      </c>
    </row>
    <row r="641" spans="1:2" ht="12.75" customHeight="1" x14ac:dyDescent="0.2">
      <c r="A641" s="38" t="s">
        <v>1054</v>
      </c>
      <c r="B641" s="38">
        <v>170185001005001</v>
      </c>
    </row>
    <row r="642" spans="1:2" ht="12.75" customHeight="1" x14ac:dyDescent="0.2">
      <c r="A642" s="38" t="s">
        <v>1050</v>
      </c>
      <c r="B642" s="38">
        <v>170185001005003</v>
      </c>
    </row>
    <row r="643" spans="1:2" ht="12.75" customHeight="1" x14ac:dyDescent="0.2">
      <c r="A643" s="38" t="s">
        <v>1052</v>
      </c>
      <c r="B643" s="38">
        <v>170156012006006</v>
      </c>
    </row>
    <row r="644" spans="1:2" ht="12.75" customHeight="1" x14ac:dyDescent="0.2">
      <c r="A644" s="38" t="s">
        <v>1049</v>
      </c>
      <c r="B644" s="38">
        <v>170150172008002</v>
      </c>
    </row>
    <row r="645" spans="1:2" ht="12.75" customHeight="1" x14ac:dyDescent="0.2">
      <c r="A645" s="38" t="s">
        <v>1048</v>
      </c>
      <c r="B645" s="38">
        <v>170155048005002</v>
      </c>
    </row>
    <row r="646" spans="1:2" ht="12.75" customHeight="1" x14ac:dyDescent="0.2">
      <c r="A646" s="38" t="s">
        <v>1048</v>
      </c>
      <c r="B646" s="38">
        <v>170155048005003</v>
      </c>
    </row>
    <row r="647" spans="1:2" ht="12.75" customHeight="1" x14ac:dyDescent="0.2">
      <c r="A647" s="38" t="s">
        <v>1048</v>
      </c>
      <c r="B647" s="38">
        <v>170150190008001</v>
      </c>
    </row>
    <row r="648" spans="1:2" ht="12.75" customHeight="1" x14ac:dyDescent="0.2">
      <c r="A648" s="38" t="s">
        <v>1052</v>
      </c>
      <c r="B648" s="38">
        <v>170156003007004</v>
      </c>
    </row>
    <row r="649" spans="1:2" ht="12.75" customHeight="1" x14ac:dyDescent="0.2">
      <c r="A649" s="38" t="s">
        <v>1052</v>
      </c>
      <c r="B649" s="38">
        <v>170156003007003</v>
      </c>
    </row>
    <row r="650" spans="1:2" ht="12.75" customHeight="1" x14ac:dyDescent="0.2">
      <c r="A650" s="38" t="s">
        <v>1052</v>
      </c>
      <c r="B650" s="38">
        <v>170156003007006</v>
      </c>
    </row>
    <row r="651" spans="1:2" ht="12.75" customHeight="1" x14ac:dyDescent="0.2">
      <c r="A651" s="38" t="s">
        <v>1052</v>
      </c>
      <c r="B651" s="38">
        <v>170156003007008</v>
      </c>
    </row>
    <row r="652" spans="1:2" ht="12.75" customHeight="1" x14ac:dyDescent="0.2">
      <c r="A652" s="38" t="s">
        <v>1052</v>
      </c>
      <c r="B652" s="38">
        <v>170156003007007</v>
      </c>
    </row>
    <row r="653" spans="1:2" ht="12.75" customHeight="1" x14ac:dyDescent="0.2">
      <c r="A653" s="38" t="s">
        <v>1056</v>
      </c>
      <c r="B653" s="38">
        <v>170150238003002</v>
      </c>
    </row>
    <row r="654" spans="1:2" ht="12.75" customHeight="1" x14ac:dyDescent="0.2">
      <c r="A654" s="38" t="s">
        <v>1056</v>
      </c>
      <c r="B654" s="38">
        <v>170150238003001</v>
      </c>
    </row>
    <row r="655" spans="1:2" ht="12.75" customHeight="1" x14ac:dyDescent="0.2">
      <c r="A655" s="38" t="s">
        <v>1052</v>
      </c>
      <c r="B655" s="38">
        <v>170156003007002</v>
      </c>
    </row>
    <row r="656" spans="1:2" ht="12.75" customHeight="1" x14ac:dyDescent="0.2">
      <c r="A656" s="38" t="s">
        <v>1052</v>
      </c>
      <c r="B656" s="38">
        <v>170156003007001</v>
      </c>
    </row>
    <row r="657" spans="1:2" ht="12.75" customHeight="1" x14ac:dyDescent="0.2">
      <c r="A657" s="38" t="s">
        <v>1058</v>
      </c>
      <c r="B657" s="38">
        <v>170175003004002</v>
      </c>
    </row>
    <row r="658" spans="1:2" ht="12.75" customHeight="1" x14ac:dyDescent="0.2">
      <c r="A658" s="38" t="s">
        <v>1058</v>
      </c>
      <c r="B658" s="38">
        <v>170175003004001</v>
      </c>
    </row>
    <row r="659" spans="1:2" ht="12.75" customHeight="1" x14ac:dyDescent="0.2">
      <c r="A659" s="38" t="s">
        <v>1048</v>
      </c>
      <c r="B659" s="38">
        <v>170150179003001</v>
      </c>
    </row>
    <row r="660" spans="1:2" ht="12.75" customHeight="1" x14ac:dyDescent="0.2">
      <c r="A660" s="38" t="s">
        <v>1052</v>
      </c>
      <c r="B660" s="38">
        <v>170156012006001</v>
      </c>
    </row>
    <row r="661" spans="1:2" ht="12.75" customHeight="1" x14ac:dyDescent="0.2">
      <c r="A661" s="38" t="s">
        <v>1052</v>
      </c>
      <c r="B661" s="38">
        <v>170156012006002</v>
      </c>
    </row>
    <row r="662" spans="1:2" ht="12.75" customHeight="1" x14ac:dyDescent="0.2">
      <c r="A662" s="38" t="s">
        <v>1054</v>
      </c>
      <c r="B662" s="38">
        <v>170150191003002</v>
      </c>
    </row>
    <row r="663" spans="1:2" ht="12.75" customHeight="1" x14ac:dyDescent="0.2">
      <c r="A663" s="38" t="s">
        <v>1050</v>
      </c>
      <c r="B663" s="38">
        <v>170150191003001</v>
      </c>
    </row>
    <row r="664" spans="1:2" ht="12.75" customHeight="1" x14ac:dyDescent="0.2">
      <c r="A664" s="38" t="s">
        <v>1047</v>
      </c>
      <c r="B664" s="38">
        <v>170155046001004</v>
      </c>
    </row>
    <row r="665" spans="1:2" ht="12.75" customHeight="1" x14ac:dyDescent="0.2">
      <c r="A665" s="38" t="s">
        <v>1050</v>
      </c>
      <c r="B665" s="38">
        <v>170184010006001</v>
      </c>
    </row>
    <row r="666" spans="1:2" ht="12.75" customHeight="1" x14ac:dyDescent="0.2">
      <c r="A666" s="38" t="s">
        <v>1052</v>
      </c>
      <c r="B666" s="38">
        <v>170150220011001</v>
      </c>
    </row>
    <row r="667" spans="1:2" ht="12.75" customHeight="1" x14ac:dyDescent="0.2">
      <c r="A667" s="38" t="s">
        <v>1056</v>
      </c>
      <c r="B667" s="38">
        <v>170150236007001</v>
      </c>
    </row>
    <row r="668" spans="1:2" ht="12.75" customHeight="1" x14ac:dyDescent="0.2">
      <c r="A668" s="38" t="s">
        <v>1052</v>
      </c>
      <c r="B668" s="38">
        <v>170150221003001</v>
      </c>
    </row>
    <row r="669" spans="1:2" ht="12.75" customHeight="1" x14ac:dyDescent="0.2">
      <c r="A669" s="38" t="s">
        <v>1049</v>
      </c>
      <c r="B669" s="38">
        <v>170150105003001</v>
      </c>
    </row>
    <row r="670" spans="1:2" ht="12.75" customHeight="1" x14ac:dyDescent="0.2">
      <c r="A670" s="38" t="s">
        <v>1049</v>
      </c>
      <c r="B670" s="38">
        <v>170150105003003</v>
      </c>
    </row>
    <row r="671" spans="1:2" ht="12.75" customHeight="1" x14ac:dyDescent="0.2">
      <c r="A671" s="38" t="s">
        <v>1049</v>
      </c>
      <c r="B671" s="38">
        <v>170150105003002</v>
      </c>
    </row>
    <row r="672" spans="1:2" ht="12.75" customHeight="1" x14ac:dyDescent="0.2">
      <c r="A672" s="38" t="s">
        <v>1049</v>
      </c>
      <c r="B672" s="38">
        <v>170150105003005</v>
      </c>
    </row>
    <row r="673" spans="1:2" ht="12.75" customHeight="1" x14ac:dyDescent="0.2">
      <c r="A673" s="38" t="s">
        <v>1049</v>
      </c>
      <c r="B673" s="38">
        <v>170150105003004</v>
      </c>
    </row>
    <row r="674" spans="1:2" ht="12.75" customHeight="1" x14ac:dyDescent="0.2">
      <c r="A674" s="38" t="s">
        <v>1049</v>
      </c>
      <c r="B674" s="38">
        <v>170150105003007</v>
      </c>
    </row>
    <row r="675" spans="1:2" ht="12.75" customHeight="1" x14ac:dyDescent="0.2">
      <c r="A675" s="38" t="s">
        <v>1049</v>
      </c>
      <c r="B675" s="38">
        <v>170150105003006</v>
      </c>
    </row>
    <row r="676" spans="1:2" ht="12.75" customHeight="1" x14ac:dyDescent="0.2">
      <c r="A676" s="38" t="s">
        <v>1051</v>
      </c>
      <c r="B676" s="38">
        <v>170150088002003</v>
      </c>
    </row>
    <row r="677" spans="1:2" ht="12.75" customHeight="1" x14ac:dyDescent="0.2">
      <c r="A677" s="38" t="s">
        <v>1051</v>
      </c>
      <c r="B677" s="38">
        <v>170150088002002</v>
      </c>
    </row>
    <row r="678" spans="1:2" ht="12.75" customHeight="1" x14ac:dyDescent="0.2">
      <c r="A678" s="38" t="s">
        <v>1049</v>
      </c>
      <c r="B678" s="38">
        <v>170177905001001</v>
      </c>
    </row>
    <row r="679" spans="1:2" ht="12.75" customHeight="1" x14ac:dyDescent="0.2">
      <c r="A679" s="38" t="s">
        <v>1049</v>
      </c>
      <c r="B679" s="38">
        <v>170177905001006</v>
      </c>
    </row>
    <row r="680" spans="1:2" ht="12.75" customHeight="1" x14ac:dyDescent="0.2">
      <c r="A680" s="38" t="s">
        <v>1049</v>
      </c>
      <c r="B680" s="38">
        <v>170150157007002</v>
      </c>
    </row>
    <row r="681" spans="1:2" ht="12.75" customHeight="1" x14ac:dyDescent="0.2">
      <c r="A681" s="38" t="s">
        <v>1049</v>
      </c>
      <c r="B681" s="38">
        <v>170150157007001</v>
      </c>
    </row>
    <row r="682" spans="1:2" ht="12.75" customHeight="1" x14ac:dyDescent="0.2">
      <c r="A682" s="38" t="s">
        <v>1049</v>
      </c>
      <c r="B682" s="38">
        <v>170150171004005</v>
      </c>
    </row>
    <row r="683" spans="1:2" ht="12.75" customHeight="1" x14ac:dyDescent="0.2">
      <c r="A683" s="38" t="s">
        <v>1052</v>
      </c>
      <c r="B683" s="38">
        <v>170156014005001</v>
      </c>
    </row>
    <row r="684" spans="1:2" ht="12.75" customHeight="1" x14ac:dyDescent="0.2">
      <c r="A684" s="38" t="s">
        <v>1051</v>
      </c>
      <c r="B684" s="38">
        <v>170150071010003</v>
      </c>
    </row>
    <row r="685" spans="1:2" ht="12.75" customHeight="1" x14ac:dyDescent="0.2">
      <c r="A685" s="38" t="s">
        <v>1051</v>
      </c>
      <c r="B685" s="38">
        <v>170150071010002</v>
      </c>
    </row>
    <row r="686" spans="1:2" ht="12.75" customHeight="1" x14ac:dyDescent="0.2">
      <c r="A686" s="38" t="s">
        <v>1051</v>
      </c>
      <c r="B686" s="38">
        <v>170150071010004</v>
      </c>
    </row>
    <row r="687" spans="1:2" ht="12.75" customHeight="1" x14ac:dyDescent="0.2">
      <c r="A687" s="38" t="s">
        <v>1051</v>
      </c>
      <c r="B687" s="38">
        <v>170150034009002</v>
      </c>
    </row>
    <row r="688" spans="1:2" ht="12.75" customHeight="1" x14ac:dyDescent="0.2">
      <c r="A688" s="38" t="s">
        <v>1051</v>
      </c>
      <c r="B688" s="38">
        <v>170150034009001</v>
      </c>
    </row>
    <row r="689" spans="1:2" ht="12.75" customHeight="1" x14ac:dyDescent="0.2">
      <c r="A689" s="38" t="s">
        <v>1054</v>
      </c>
      <c r="B689" s="38">
        <v>170175001005001</v>
      </c>
    </row>
    <row r="690" spans="1:2" ht="12.75" customHeight="1" x14ac:dyDescent="0.2">
      <c r="A690" s="38" t="s">
        <v>1047</v>
      </c>
      <c r="B690" s="38">
        <v>170150034010002</v>
      </c>
    </row>
    <row r="691" spans="1:2" ht="12.75" customHeight="1" x14ac:dyDescent="0.2">
      <c r="A691" s="38" t="s">
        <v>1047</v>
      </c>
      <c r="B691" s="38">
        <v>170150034010001</v>
      </c>
    </row>
    <row r="692" spans="1:2" ht="12.75" customHeight="1" x14ac:dyDescent="0.2">
      <c r="A692" s="38" t="s">
        <v>1051</v>
      </c>
      <c r="B692" s="38">
        <v>170150034010004</v>
      </c>
    </row>
    <row r="693" spans="1:2" ht="12.75" customHeight="1" x14ac:dyDescent="0.2">
      <c r="A693" s="38" t="s">
        <v>1047</v>
      </c>
      <c r="B693" s="38">
        <v>170150034010003</v>
      </c>
    </row>
    <row r="694" spans="1:2" ht="12.75" customHeight="1" x14ac:dyDescent="0.2">
      <c r="A694" s="38" t="s">
        <v>1052</v>
      </c>
      <c r="B694" s="38">
        <v>170156015001001</v>
      </c>
    </row>
    <row r="695" spans="1:2" ht="12.75" customHeight="1" x14ac:dyDescent="0.2">
      <c r="A695" s="38" t="s">
        <v>1047</v>
      </c>
      <c r="B695" s="38">
        <v>170150034010006</v>
      </c>
    </row>
    <row r="696" spans="1:2" ht="12.75" customHeight="1" x14ac:dyDescent="0.2">
      <c r="A696" s="38" t="s">
        <v>1051</v>
      </c>
      <c r="B696" s="38">
        <v>170150034010005</v>
      </c>
    </row>
    <row r="697" spans="1:2" ht="12.75" customHeight="1" x14ac:dyDescent="0.2">
      <c r="A697" s="38" t="s">
        <v>1053</v>
      </c>
      <c r="B697" s="38">
        <v>170150091008002</v>
      </c>
    </row>
    <row r="698" spans="1:2" ht="12.75" customHeight="1" x14ac:dyDescent="0.2">
      <c r="A698" s="38" t="s">
        <v>1053</v>
      </c>
      <c r="B698" s="38">
        <v>170150091008004</v>
      </c>
    </row>
    <row r="699" spans="1:2" ht="12.75" customHeight="1" x14ac:dyDescent="0.2">
      <c r="A699" s="38" t="s">
        <v>1053</v>
      </c>
      <c r="B699" s="38">
        <v>170150091008003</v>
      </c>
    </row>
    <row r="700" spans="1:2" ht="12.75" customHeight="1" x14ac:dyDescent="0.2">
      <c r="A700" s="38" t="s">
        <v>1053</v>
      </c>
      <c r="B700" s="38">
        <v>170150091008005</v>
      </c>
    </row>
    <row r="701" spans="1:2" ht="12.75" customHeight="1" x14ac:dyDescent="0.2">
      <c r="A701" s="38" t="s">
        <v>1046</v>
      </c>
      <c r="B701" s="38">
        <v>170150103003002</v>
      </c>
    </row>
    <row r="702" spans="1:2" ht="12.75" customHeight="1" x14ac:dyDescent="0.2">
      <c r="A702" s="38" t="s">
        <v>1046</v>
      </c>
      <c r="B702" s="38">
        <v>170150052005001</v>
      </c>
    </row>
    <row r="703" spans="1:2" ht="12.75" customHeight="1" x14ac:dyDescent="0.2">
      <c r="A703" s="38" t="s">
        <v>1046</v>
      </c>
      <c r="B703" s="38">
        <v>170150052005004</v>
      </c>
    </row>
    <row r="704" spans="1:2" ht="12.75" customHeight="1" x14ac:dyDescent="0.2">
      <c r="A704" s="38" t="s">
        <v>1046</v>
      </c>
      <c r="B704" s="38">
        <v>170150052005006</v>
      </c>
    </row>
    <row r="705" spans="1:2" ht="12.75" customHeight="1" x14ac:dyDescent="0.2">
      <c r="A705" s="38" t="s">
        <v>1046</v>
      </c>
      <c r="B705" s="38">
        <v>170150052005005</v>
      </c>
    </row>
    <row r="706" spans="1:2" ht="12.75" customHeight="1" x14ac:dyDescent="0.2">
      <c r="A706" s="38" t="s">
        <v>1047</v>
      </c>
      <c r="B706" s="38">
        <v>170165001007003</v>
      </c>
    </row>
    <row r="707" spans="1:2" ht="12.75" customHeight="1" x14ac:dyDescent="0.2">
      <c r="A707" s="38" t="s">
        <v>1048</v>
      </c>
      <c r="B707" s="38">
        <v>170165001007005</v>
      </c>
    </row>
    <row r="708" spans="1:2" ht="12.75" customHeight="1" x14ac:dyDescent="0.2">
      <c r="A708" s="38" t="s">
        <v>1046</v>
      </c>
      <c r="B708" s="38">
        <v>170150102003002</v>
      </c>
    </row>
    <row r="709" spans="1:2" ht="12.75" customHeight="1" x14ac:dyDescent="0.2">
      <c r="A709" s="38" t="s">
        <v>1049</v>
      </c>
      <c r="B709" s="38">
        <v>170150090004001</v>
      </c>
    </row>
    <row r="710" spans="1:2" ht="12.75" customHeight="1" x14ac:dyDescent="0.2">
      <c r="A710" s="38" t="s">
        <v>1057</v>
      </c>
      <c r="B710" s="38">
        <v>170180007002001</v>
      </c>
    </row>
    <row r="711" spans="1:2" ht="12.75" customHeight="1" x14ac:dyDescent="0.2">
      <c r="A711" s="38" t="s">
        <v>1048</v>
      </c>
      <c r="B711" s="38">
        <v>170150179002001</v>
      </c>
    </row>
    <row r="712" spans="1:2" ht="12.75" customHeight="1" x14ac:dyDescent="0.2">
      <c r="A712" s="38" t="s">
        <v>1048</v>
      </c>
      <c r="B712" s="38">
        <v>170150179002003</v>
      </c>
    </row>
    <row r="713" spans="1:2" ht="12.75" customHeight="1" x14ac:dyDescent="0.2">
      <c r="A713" s="38" t="s">
        <v>1049</v>
      </c>
      <c r="B713" s="38">
        <v>170150179002002</v>
      </c>
    </row>
    <row r="714" spans="1:2" ht="12.75" customHeight="1" x14ac:dyDescent="0.2">
      <c r="A714" s="38" t="s">
        <v>1046</v>
      </c>
      <c r="B714" s="38">
        <v>170150051009001</v>
      </c>
    </row>
    <row r="715" spans="1:2" ht="12.75" customHeight="1" x14ac:dyDescent="0.2">
      <c r="A715" s="38" t="s">
        <v>1054</v>
      </c>
      <c r="B715" s="38">
        <v>170179001002002</v>
      </c>
    </row>
    <row r="716" spans="1:2" ht="12.75" customHeight="1" x14ac:dyDescent="0.2">
      <c r="A716" s="38" t="s">
        <v>1046</v>
      </c>
      <c r="B716" s="38">
        <v>170150051009002</v>
      </c>
    </row>
    <row r="717" spans="1:2" ht="12.75" customHeight="1" x14ac:dyDescent="0.2">
      <c r="A717" s="38" t="s">
        <v>1054</v>
      </c>
      <c r="B717" s="38">
        <v>170179001002004</v>
      </c>
    </row>
    <row r="718" spans="1:2" ht="12.75" customHeight="1" x14ac:dyDescent="0.2">
      <c r="A718" s="38" t="s">
        <v>1054</v>
      </c>
      <c r="B718" s="38">
        <v>170179001002003</v>
      </c>
    </row>
    <row r="719" spans="1:2" ht="12.75" customHeight="1" x14ac:dyDescent="0.2">
      <c r="A719" s="38" t="s">
        <v>1053</v>
      </c>
      <c r="B719" s="38">
        <v>170180003007005</v>
      </c>
    </row>
    <row r="720" spans="1:2" ht="12.75" customHeight="1" x14ac:dyDescent="0.2">
      <c r="A720" s="38" t="s">
        <v>1053</v>
      </c>
      <c r="B720" s="38">
        <v>170180003007004</v>
      </c>
    </row>
    <row r="721" spans="1:2" ht="12.75" customHeight="1" x14ac:dyDescent="0.2">
      <c r="A721" s="38" t="s">
        <v>1053</v>
      </c>
      <c r="B721" s="38">
        <v>170180003007007</v>
      </c>
    </row>
    <row r="722" spans="1:2" ht="12.75" customHeight="1" x14ac:dyDescent="0.2">
      <c r="A722" s="38" t="s">
        <v>1053</v>
      </c>
      <c r="B722" s="38">
        <v>170180003007006</v>
      </c>
    </row>
    <row r="723" spans="1:2" ht="12.75" customHeight="1" x14ac:dyDescent="0.2">
      <c r="A723" s="38" t="s">
        <v>1053</v>
      </c>
      <c r="B723" s="38">
        <v>170180003007008</v>
      </c>
    </row>
    <row r="724" spans="1:2" ht="12.75" customHeight="1" x14ac:dyDescent="0.2">
      <c r="A724" s="38" t="s">
        <v>1046</v>
      </c>
      <c r="B724" s="38">
        <v>170150167001001</v>
      </c>
    </row>
    <row r="725" spans="1:2" ht="12.75" customHeight="1" x14ac:dyDescent="0.2">
      <c r="A725" s="38" t="s">
        <v>1046</v>
      </c>
      <c r="B725" s="38">
        <v>170150167001003</v>
      </c>
    </row>
    <row r="726" spans="1:2" ht="12.75" customHeight="1" x14ac:dyDescent="0.2">
      <c r="A726" s="38" t="s">
        <v>1046</v>
      </c>
      <c r="B726" s="38">
        <v>170150167001002</v>
      </c>
    </row>
    <row r="727" spans="1:2" ht="12.75" customHeight="1" x14ac:dyDescent="0.2">
      <c r="A727" s="38" t="s">
        <v>1046</v>
      </c>
      <c r="B727" s="38">
        <v>170150159002003</v>
      </c>
    </row>
    <row r="728" spans="1:2" ht="12.75" customHeight="1" x14ac:dyDescent="0.2">
      <c r="A728" s="38" t="s">
        <v>1049</v>
      </c>
      <c r="B728" s="38">
        <v>170177007010003</v>
      </c>
    </row>
    <row r="729" spans="1:2" ht="12.75" customHeight="1" x14ac:dyDescent="0.2">
      <c r="A729" s="38" t="s">
        <v>1049</v>
      </c>
      <c r="B729" s="38">
        <v>170177007010002</v>
      </c>
    </row>
    <row r="730" spans="1:2" ht="12.75" customHeight="1" x14ac:dyDescent="0.2">
      <c r="A730" s="38" t="s">
        <v>1049</v>
      </c>
      <c r="B730" s="38">
        <v>170177007010004</v>
      </c>
    </row>
    <row r="731" spans="1:2" ht="12.75" customHeight="1" x14ac:dyDescent="0.2">
      <c r="A731" s="38" t="s">
        <v>1052</v>
      </c>
      <c r="B731" s="38">
        <v>170150228008002</v>
      </c>
    </row>
    <row r="732" spans="1:2" ht="12.75" customHeight="1" x14ac:dyDescent="0.2">
      <c r="A732" s="38" t="s">
        <v>1052</v>
      </c>
      <c r="B732" s="38">
        <v>170150228008001</v>
      </c>
    </row>
    <row r="733" spans="1:2" ht="12.75" customHeight="1" x14ac:dyDescent="0.2">
      <c r="A733" s="38" t="s">
        <v>1052</v>
      </c>
      <c r="B733" s="38">
        <v>170150228008003</v>
      </c>
    </row>
    <row r="734" spans="1:2" ht="12.75" customHeight="1" x14ac:dyDescent="0.2">
      <c r="A734" s="38" t="s">
        <v>1053</v>
      </c>
      <c r="B734" s="38">
        <v>170178001003002</v>
      </c>
    </row>
    <row r="735" spans="1:2" ht="12.75" customHeight="1" x14ac:dyDescent="0.2">
      <c r="A735" s="38" t="s">
        <v>1052</v>
      </c>
      <c r="B735" s="38">
        <v>170150220010003</v>
      </c>
    </row>
    <row r="736" spans="1:2" ht="12.75" customHeight="1" x14ac:dyDescent="0.2">
      <c r="A736" s="38" t="s">
        <v>1046</v>
      </c>
      <c r="B736" s="38">
        <v>170150180002003</v>
      </c>
    </row>
    <row r="737" spans="1:2" ht="12.75" customHeight="1" x14ac:dyDescent="0.2">
      <c r="A737" s="38" t="s">
        <v>1046</v>
      </c>
      <c r="B737" s="38">
        <v>170150180002004</v>
      </c>
    </row>
    <row r="738" spans="1:2" ht="12.75" customHeight="1" x14ac:dyDescent="0.2">
      <c r="A738" s="38" t="s">
        <v>1050</v>
      </c>
      <c r="B738" s="38">
        <v>170160002004003</v>
      </c>
    </row>
    <row r="739" spans="1:2" ht="12.75" customHeight="1" x14ac:dyDescent="0.2">
      <c r="A739" s="38" t="s">
        <v>1050</v>
      </c>
      <c r="B739" s="38">
        <v>170160002004002</v>
      </c>
    </row>
    <row r="740" spans="1:2" ht="12.75" customHeight="1" x14ac:dyDescent="0.2">
      <c r="A740" s="38" t="s">
        <v>1050</v>
      </c>
      <c r="B740" s="38">
        <v>170160002004004</v>
      </c>
    </row>
    <row r="741" spans="1:2" ht="12.75" customHeight="1" x14ac:dyDescent="0.2">
      <c r="A741" s="38" t="s">
        <v>1050</v>
      </c>
      <c r="B741" s="38">
        <v>170184015005003</v>
      </c>
    </row>
    <row r="742" spans="1:2" ht="12.75" customHeight="1" x14ac:dyDescent="0.2">
      <c r="A742" s="38" t="s">
        <v>1050</v>
      </c>
      <c r="B742" s="38">
        <v>170160002004001</v>
      </c>
    </row>
    <row r="743" spans="1:2" ht="12.75" customHeight="1" x14ac:dyDescent="0.2">
      <c r="A743" s="38" t="s">
        <v>1050</v>
      </c>
      <c r="B743" s="38">
        <v>170184015005002</v>
      </c>
    </row>
    <row r="744" spans="1:2" ht="12.75" customHeight="1" x14ac:dyDescent="0.2">
      <c r="A744" s="38" t="s">
        <v>1050</v>
      </c>
      <c r="B744" s="38">
        <v>170160916001004</v>
      </c>
    </row>
    <row r="745" spans="1:2" ht="12.75" customHeight="1" x14ac:dyDescent="0.2">
      <c r="A745" s="38" t="s">
        <v>1050</v>
      </c>
      <c r="B745" s="38">
        <v>170160916001005</v>
      </c>
    </row>
    <row r="746" spans="1:2" ht="12.75" customHeight="1" x14ac:dyDescent="0.2">
      <c r="A746" s="38" t="s">
        <v>1049</v>
      </c>
      <c r="B746" s="38">
        <v>170150065009002</v>
      </c>
    </row>
    <row r="747" spans="1:2" ht="12.75" customHeight="1" x14ac:dyDescent="0.2">
      <c r="A747" s="38" t="s">
        <v>1049</v>
      </c>
      <c r="B747" s="38">
        <v>170150065009001</v>
      </c>
    </row>
    <row r="748" spans="1:2" ht="12.75" customHeight="1" x14ac:dyDescent="0.2">
      <c r="A748" s="38" t="s">
        <v>1049</v>
      </c>
      <c r="B748" s="38">
        <v>170150065010002</v>
      </c>
    </row>
    <row r="749" spans="1:2" ht="12.75" customHeight="1" x14ac:dyDescent="0.2">
      <c r="A749" s="38" t="s">
        <v>1049</v>
      </c>
      <c r="B749" s="38">
        <v>170150065010003</v>
      </c>
    </row>
    <row r="750" spans="1:2" ht="12.75" customHeight="1" x14ac:dyDescent="0.2">
      <c r="A750" s="38" t="s">
        <v>1049</v>
      </c>
      <c r="B750" s="38">
        <v>170177005010001</v>
      </c>
    </row>
    <row r="751" spans="1:2" ht="12.75" customHeight="1" x14ac:dyDescent="0.2">
      <c r="A751" s="38" t="s">
        <v>1048</v>
      </c>
      <c r="B751" s="38">
        <v>170165003006001</v>
      </c>
    </row>
    <row r="752" spans="1:2" ht="12.75" customHeight="1" x14ac:dyDescent="0.2">
      <c r="A752" s="38" t="s">
        <v>1048</v>
      </c>
      <c r="B752" s="38">
        <v>170165003006002</v>
      </c>
    </row>
    <row r="753" spans="1:2" ht="12.75" customHeight="1" x14ac:dyDescent="0.2">
      <c r="A753" s="38" t="s">
        <v>1046</v>
      </c>
      <c r="B753" s="38">
        <v>170150112008001</v>
      </c>
    </row>
    <row r="754" spans="1:2" ht="12.75" customHeight="1" x14ac:dyDescent="0.2">
      <c r="A754" s="38" t="s">
        <v>1051</v>
      </c>
      <c r="B754" s="38">
        <v>170150043003010</v>
      </c>
    </row>
    <row r="755" spans="1:2" ht="12.75" customHeight="1" x14ac:dyDescent="0.2">
      <c r="A755" s="38" t="s">
        <v>1049</v>
      </c>
      <c r="B755" s="38">
        <v>170150903007002</v>
      </c>
    </row>
    <row r="756" spans="1:2" ht="12.75" customHeight="1" x14ac:dyDescent="0.2">
      <c r="A756" s="38" t="s">
        <v>1047</v>
      </c>
      <c r="B756" s="38">
        <v>170155002002007</v>
      </c>
    </row>
    <row r="757" spans="1:2" ht="12.75" customHeight="1" x14ac:dyDescent="0.2">
      <c r="A757" s="38" t="s">
        <v>1047</v>
      </c>
      <c r="B757" s="38">
        <v>170155002002006</v>
      </c>
    </row>
    <row r="758" spans="1:2" ht="12.75" customHeight="1" x14ac:dyDescent="0.2">
      <c r="A758" s="38" t="s">
        <v>1051</v>
      </c>
      <c r="B758" s="38">
        <v>170150130008003</v>
      </c>
    </row>
    <row r="759" spans="1:2" ht="12.75" customHeight="1" x14ac:dyDescent="0.2">
      <c r="A759" s="38" t="s">
        <v>1051</v>
      </c>
      <c r="B759" s="38">
        <v>170155001002001</v>
      </c>
    </row>
    <row r="760" spans="1:2" ht="12.75" customHeight="1" x14ac:dyDescent="0.2">
      <c r="A760" s="38" t="s">
        <v>1051</v>
      </c>
      <c r="B760" s="38">
        <v>170150128002003</v>
      </c>
    </row>
    <row r="761" spans="1:2" ht="12.75" customHeight="1" x14ac:dyDescent="0.2">
      <c r="A761" s="38" t="s">
        <v>1051</v>
      </c>
      <c r="B761" s="38">
        <v>170150128002002</v>
      </c>
    </row>
    <row r="762" spans="1:2" ht="12.75" customHeight="1" x14ac:dyDescent="0.2">
      <c r="A762" s="38" t="s">
        <v>1047</v>
      </c>
      <c r="B762" s="38">
        <v>170150039007001</v>
      </c>
    </row>
    <row r="763" spans="1:2" ht="12.75" customHeight="1" x14ac:dyDescent="0.2">
      <c r="A763" s="38" t="s">
        <v>1051</v>
      </c>
      <c r="B763" s="38">
        <v>170150130008002</v>
      </c>
    </row>
    <row r="764" spans="1:2" ht="12.75" customHeight="1" x14ac:dyDescent="0.2">
      <c r="A764" s="38" t="s">
        <v>1046</v>
      </c>
      <c r="B764" s="38">
        <v>170150108002001</v>
      </c>
    </row>
    <row r="765" spans="1:2" ht="12.75" customHeight="1" x14ac:dyDescent="0.2">
      <c r="A765" s="38" t="s">
        <v>1048</v>
      </c>
      <c r="B765" s="38">
        <v>170155048004001</v>
      </c>
    </row>
    <row r="766" spans="1:2" ht="12.75" customHeight="1" x14ac:dyDescent="0.2">
      <c r="A766" s="38" t="s">
        <v>1052</v>
      </c>
      <c r="B766" s="38">
        <v>170150189007006</v>
      </c>
    </row>
    <row r="767" spans="1:2" ht="12.75" customHeight="1" x14ac:dyDescent="0.2">
      <c r="A767" s="38" t="s">
        <v>1052</v>
      </c>
      <c r="B767" s="38">
        <v>170150189007001</v>
      </c>
    </row>
    <row r="768" spans="1:2" ht="12.75" customHeight="1" x14ac:dyDescent="0.2">
      <c r="A768" s="38" t="s">
        <v>1052</v>
      </c>
      <c r="B768" s="38">
        <v>170150189007003</v>
      </c>
    </row>
    <row r="769" spans="1:2" ht="12.75" customHeight="1" x14ac:dyDescent="0.2">
      <c r="A769" s="38" t="s">
        <v>1052</v>
      </c>
      <c r="B769" s="38">
        <v>170150189007002</v>
      </c>
    </row>
    <row r="770" spans="1:2" ht="12.75" customHeight="1" x14ac:dyDescent="0.2">
      <c r="A770" s="38" t="s">
        <v>1052</v>
      </c>
      <c r="B770" s="38">
        <v>170150189007005</v>
      </c>
    </row>
    <row r="771" spans="1:2" ht="12.75" customHeight="1" x14ac:dyDescent="0.2">
      <c r="A771" s="38" t="s">
        <v>1052</v>
      </c>
      <c r="B771" s="38">
        <v>170150189007004</v>
      </c>
    </row>
    <row r="772" spans="1:2" ht="12.75" customHeight="1" x14ac:dyDescent="0.2">
      <c r="A772" s="38" t="s">
        <v>1048</v>
      </c>
      <c r="B772" s="38">
        <v>170170001009002</v>
      </c>
    </row>
    <row r="773" spans="1:2" ht="12.75" customHeight="1" x14ac:dyDescent="0.2">
      <c r="A773" s="38" t="s">
        <v>1048</v>
      </c>
      <c r="B773" s="38">
        <v>170170001009001</v>
      </c>
    </row>
    <row r="774" spans="1:2" ht="12.75" customHeight="1" x14ac:dyDescent="0.2">
      <c r="A774" s="38" t="s">
        <v>1048</v>
      </c>
      <c r="B774" s="38">
        <v>170170001009004</v>
      </c>
    </row>
    <row r="775" spans="1:2" ht="12.75" customHeight="1" x14ac:dyDescent="0.2">
      <c r="A775" s="38" t="s">
        <v>1048</v>
      </c>
      <c r="B775" s="38">
        <v>170170001009003</v>
      </c>
    </row>
    <row r="776" spans="1:2" ht="12.75" customHeight="1" x14ac:dyDescent="0.2">
      <c r="A776" s="38" t="s">
        <v>1052</v>
      </c>
      <c r="B776" s="38">
        <v>170156003006001</v>
      </c>
    </row>
    <row r="777" spans="1:2" ht="12.75" customHeight="1" x14ac:dyDescent="0.2">
      <c r="A777" s="38" t="s">
        <v>1053</v>
      </c>
      <c r="B777" s="38">
        <v>170180002003003</v>
      </c>
    </row>
    <row r="778" spans="1:2" ht="12.75" customHeight="1" x14ac:dyDescent="0.2">
      <c r="A778" s="38" t="s">
        <v>1052</v>
      </c>
      <c r="B778" s="38">
        <v>170156003006003</v>
      </c>
    </row>
    <row r="779" spans="1:2" ht="12.75" customHeight="1" x14ac:dyDescent="0.2">
      <c r="A779" s="38" t="s">
        <v>1052</v>
      </c>
      <c r="B779" s="38">
        <v>170156005006001</v>
      </c>
    </row>
    <row r="780" spans="1:2" ht="12.75" customHeight="1" x14ac:dyDescent="0.2">
      <c r="A780" s="38" t="s">
        <v>1054</v>
      </c>
      <c r="B780" s="38">
        <v>170179001001008</v>
      </c>
    </row>
    <row r="781" spans="1:2" ht="12.75" customHeight="1" x14ac:dyDescent="0.2">
      <c r="A781" s="38" t="s">
        <v>1052</v>
      </c>
      <c r="B781" s="38">
        <v>170156005006005</v>
      </c>
    </row>
    <row r="782" spans="1:2" ht="12.75" customHeight="1" x14ac:dyDescent="0.2">
      <c r="A782" s="38" t="s">
        <v>1054</v>
      </c>
      <c r="B782" s="38">
        <v>170179001001003</v>
      </c>
    </row>
    <row r="783" spans="1:2" ht="12.75" customHeight="1" x14ac:dyDescent="0.2">
      <c r="A783" s="38" t="s">
        <v>1054</v>
      </c>
      <c r="B783" s="38">
        <v>170179001001005</v>
      </c>
    </row>
    <row r="784" spans="1:2" ht="12.75" customHeight="1" x14ac:dyDescent="0.2">
      <c r="A784" s="38" t="s">
        <v>1054</v>
      </c>
      <c r="B784" s="38">
        <v>170179001001004</v>
      </c>
    </row>
    <row r="785" spans="1:2" ht="12.75" customHeight="1" x14ac:dyDescent="0.2">
      <c r="A785" s="38" t="s">
        <v>1054</v>
      </c>
      <c r="B785" s="38">
        <v>170179001001007</v>
      </c>
    </row>
    <row r="786" spans="1:2" ht="12.75" customHeight="1" x14ac:dyDescent="0.2">
      <c r="A786" s="38" t="s">
        <v>1054</v>
      </c>
      <c r="B786" s="38">
        <v>170179001001006</v>
      </c>
    </row>
    <row r="787" spans="1:2" ht="12.75" customHeight="1" x14ac:dyDescent="0.2">
      <c r="A787" s="38" t="s">
        <v>1048</v>
      </c>
      <c r="B787" s="38">
        <v>170150190007001</v>
      </c>
    </row>
    <row r="788" spans="1:2" ht="12.75" customHeight="1" x14ac:dyDescent="0.2">
      <c r="A788" s="38" t="s">
        <v>1056</v>
      </c>
      <c r="B788" s="38">
        <v>170150238002001</v>
      </c>
    </row>
    <row r="789" spans="1:2" ht="12.75" customHeight="1" x14ac:dyDescent="0.2">
      <c r="A789" s="38" t="s">
        <v>1048</v>
      </c>
      <c r="B789" s="38">
        <v>170150173003002</v>
      </c>
    </row>
    <row r="790" spans="1:2" ht="12.75" customHeight="1" x14ac:dyDescent="0.2">
      <c r="A790" s="38" t="s">
        <v>1048</v>
      </c>
      <c r="B790" s="38">
        <v>170150173003001</v>
      </c>
    </row>
    <row r="791" spans="1:2" ht="12.75" customHeight="1" x14ac:dyDescent="0.2">
      <c r="A791" s="38" t="s">
        <v>1048</v>
      </c>
      <c r="B791" s="38">
        <v>170150173003003</v>
      </c>
    </row>
    <row r="792" spans="1:2" ht="12.75" customHeight="1" x14ac:dyDescent="0.2">
      <c r="A792" s="38" t="s">
        <v>1049</v>
      </c>
      <c r="B792" s="38">
        <v>170177005009003</v>
      </c>
    </row>
    <row r="793" spans="1:2" ht="12.75" customHeight="1" x14ac:dyDescent="0.2">
      <c r="A793" s="38" t="s">
        <v>1049</v>
      </c>
      <c r="B793" s="38">
        <v>170177005009002</v>
      </c>
    </row>
    <row r="794" spans="1:2" ht="12.75" customHeight="1" x14ac:dyDescent="0.2">
      <c r="A794" s="38" t="s">
        <v>1051</v>
      </c>
      <c r="B794" s="38">
        <v>170154001001006</v>
      </c>
    </row>
    <row r="795" spans="1:2" ht="12.75" customHeight="1" x14ac:dyDescent="0.2">
      <c r="A795" s="38" t="s">
        <v>1051</v>
      </c>
      <c r="B795" s="38">
        <v>170154001001005</v>
      </c>
    </row>
    <row r="796" spans="1:2" ht="12.75" customHeight="1" x14ac:dyDescent="0.2">
      <c r="A796" s="38" t="s">
        <v>1054</v>
      </c>
      <c r="B796" s="38">
        <v>170150153003001</v>
      </c>
    </row>
    <row r="797" spans="1:2" ht="12.75" customHeight="1" x14ac:dyDescent="0.2">
      <c r="A797" s="38" t="s">
        <v>1049</v>
      </c>
      <c r="B797" s="38">
        <v>170150172007001</v>
      </c>
    </row>
    <row r="798" spans="1:2" ht="12.75" customHeight="1" x14ac:dyDescent="0.2">
      <c r="A798" s="38" t="s">
        <v>1049</v>
      </c>
      <c r="B798" s="38">
        <v>170150172007002</v>
      </c>
    </row>
    <row r="799" spans="1:2" ht="12.75" customHeight="1" x14ac:dyDescent="0.2">
      <c r="A799" s="38" t="s">
        <v>1046</v>
      </c>
      <c r="B799" s="38">
        <v>170150169007001</v>
      </c>
    </row>
    <row r="800" spans="1:2" ht="12.75" customHeight="1" x14ac:dyDescent="0.2">
      <c r="A800" s="38" t="s">
        <v>1046</v>
      </c>
      <c r="B800" s="38">
        <v>170150169007003</v>
      </c>
    </row>
    <row r="801" spans="1:2" ht="12.75" customHeight="1" x14ac:dyDescent="0.2">
      <c r="A801" s="38" t="s">
        <v>1046</v>
      </c>
      <c r="B801" s="38">
        <v>170150169007002</v>
      </c>
    </row>
    <row r="802" spans="1:2" ht="12.75" customHeight="1" x14ac:dyDescent="0.2">
      <c r="A802" s="38" t="s">
        <v>1050</v>
      </c>
      <c r="B802" s="38">
        <v>170160003008001</v>
      </c>
    </row>
    <row r="803" spans="1:2" ht="12.75" customHeight="1" x14ac:dyDescent="0.2">
      <c r="A803" s="38" t="s">
        <v>1049</v>
      </c>
      <c r="B803" s="38">
        <v>170177001002001</v>
      </c>
    </row>
    <row r="804" spans="1:2" ht="12.75" customHeight="1" x14ac:dyDescent="0.2">
      <c r="A804" s="38" t="s">
        <v>1046</v>
      </c>
      <c r="B804" s="38">
        <v>170150145002001</v>
      </c>
    </row>
    <row r="805" spans="1:2" ht="12.75" customHeight="1" x14ac:dyDescent="0.2">
      <c r="A805" s="38" t="s">
        <v>1052</v>
      </c>
      <c r="B805" s="38">
        <v>170156012005007</v>
      </c>
    </row>
    <row r="806" spans="1:2" ht="12.75" customHeight="1" x14ac:dyDescent="0.2">
      <c r="A806" s="38" t="s">
        <v>1052</v>
      </c>
      <c r="B806" s="38">
        <v>170156012005011</v>
      </c>
    </row>
    <row r="807" spans="1:2" ht="12.75" customHeight="1" x14ac:dyDescent="0.2">
      <c r="A807" s="38" t="s">
        <v>1050</v>
      </c>
      <c r="B807" s="38">
        <v>170183001006005</v>
      </c>
    </row>
    <row r="808" spans="1:2" ht="12.75" customHeight="1" x14ac:dyDescent="0.2">
      <c r="A808" s="38" t="s">
        <v>1056</v>
      </c>
      <c r="B808" s="38">
        <v>170150236006002</v>
      </c>
    </row>
    <row r="809" spans="1:2" ht="12.75" customHeight="1" x14ac:dyDescent="0.2">
      <c r="A809" s="38" t="s">
        <v>1056</v>
      </c>
      <c r="B809" s="38">
        <v>170150236006001</v>
      </c>
    </row>
    <row r="810" spans="1:2" ht="12.75" customHeight="1" x14ac:dyDescent="0.2">
      <c r="A810" s="38" t="s">
        <v>1058</v>
      </c>
      <c r="B810" s="38">
        <v>170175003003001</v>
      </c>
    </row>
    <row r="811" spans="1:2" ht="12.75" customHeight="1" x14ac:dyDescent="0.2">
      <c r="A811" s="38" t="s">
        <v>1049</v>
      </c>
      <c r="B811" s="38">
        <v>170150157006004</v>
      </c>
    </row>
    <row r="812" spans="1:2" ht="12.75" customHeight="1" x14ac:dyDescent="0.2">
      <c r="A812" s="38" t="s">
        <v>1049</v>
      </c>
      <c r="B812" s="38">
        <v>170150157006001</v>
      </c>
    </row>
    <row r="813" spans="1:2" ht="12.75" customHeight="1" x14ac:dyDescent="0.2">
      <c r="A813" s="38" t="s">
        <v>1049</v>
      </c>
      <c r="B813" s="38">
        <v>170150157006003</v>
      </c>
    </row>
    <row r="814" spans="1:2" ht="12.75" customHeight="1" x14ac:dyDescent="0.2">
      <c r="A814" s="38" t="s">
        <v>1053</v>
      </c>
      <c r="B814" s="38">
        <v>170180004002001</v>
      </c>
    </row>
    <row r="815" spans="1:2" ht="12.75" customHeight="1" x14ac:dyDescent="0.2">
      <c r="A815" s="38" t="s">
        <v>1053</v>
      </c>
      <c r="B815" s="38">
        <v>170180004002002</v>
      </c>
    </row>
    <row r="816" spans="1:2" ht="12.75" customHeight="1" x14ac:dyDescent="0.2">
      <c r="A816" s="38" t="s">
        <v>1056</v>
      </c>
      <c r="B816" s="38">
        <v>170150237002007</v>
      </c>
    </row>
    <row r="817" spans="1:2" ht="12.75" customHeight="1" x14ac:dyDescent="0.2">
      <c r="A817" s="38" t="s">
        <v>1051</v>
      </c>
      <c r="B817" s="38">
        <v>170150072003001</v>
      </c>
    </row>
    <row r="818" spans="1:2" ht="12.75" customHeight="1" x14ac:dyDescent="0.2">
      <c r="A818" s="38" t="s">
        <v>1048</v>
      </c>
      <c r="B818" s="38">
        <v>170150175006001</v>
      </c>
    </row>
    <row r="819" spans="1:2" ht="12.75" customHeight="1" x14ac:dyDescent="0.2">
      <c r="A819" s="38" t="s">
        <v>1053</v>
      </c>
      <c r="B819" s="38">
        <v>170180004002004</v>
      </c>
    </row>
    <row r="820" spans="1:2" ht="12.75" customHeight="1" x14ac:dyDescent="0.2">
      <c r="A820" s="38" t="s">
        <v>1046</v>
      </c>
      <c r="B820" s="38">
        <v>170150104010001</v>
      </c>
    </row>
    <row r="821" spans="1:2" ht="12.75" customHeight="1" x14ac:dyDescent="0.2">
      <c r="A821" s="38" t="s">
        <v>1051</v>
      </c>
      <c r="B821" s="38">
        <v>170150128001001</v>
      </c>
    </row>
    <row r="822" spans="1:2" ht="12.75" customHeight="1" x14ac:dyDescent="0.2">
      <c r="A822" s="38" t="s">
        <v>1049</v>
      </c>
      <c r="B822" s="38">
        <v>170150105002001</v>
      </c>
    </row>
    <row r="823" spans="1:2" ht="12.75" customHeight="1" x14ac:dyDescent="0.2">
      <c r="A823" s="38" t="s">
        <v>1046</v>
      </c>
      <c r="B823" s="38">
        <v>170150063002001</v>
      </c>
    </row>
    <row r="824" spans="1:2" ht="12.75" customHeight="1" x14ac:dyDescent="0.2">
      <c r="A824" s="38" t="s">
        <v>1054</v>
      </c>
      <c r="B824" s="38">
        <v>170175001004001</v>
      </c>
    </row>
    <row r="825" spans="1:2" ht="12.75" customHeight="1" x14ac:dyDescent="0.2">
      <c r="A825" s="38" t="s">
        <v>1054</v>
      </c>
      <c r="B825" s="38">
        <v>170175001004004</v>
      </c>
    </row>
    <row r="826" spans="1:2" ht="12.75" customHeight="1" x14ac:dyDescent="0.2">
      <c r="A826" s="38" t="s">
        <v>1054</v>
      </c>
      <c r="B826" s="38">
        <v>170175001004003</v>
      </c>
    </row>
    <row r="827" spans="1:2" ht="12.75" customHeight="1" x14ac:dyDescent="0.2">
      <c r="A827" s="38" t="s">
        <v>1047</v>
      </c>
      <c r="B827" s="38">
        <v>170165001006001</v>
      </c>
    </row>
    <row r="828" spans="1:2" ht="12.75" customHeight="1" x14ac:dyDescent="0.2">
      <c r="A828" s="38" t="s">
        <v>1046</v>
      </c>
      <c r="B828" s="38">
        <v>170150052004001</v>
      </c>
    </row>
    <row r="829" spans="1:2" ht="12.75" customHeight="1" x14ac:dyDescent="0.2">
      <c r="A829" s="38" t="s">
        <v>1047</v>
      </c>
      <c r="B829" s="38">
        <v>170165001006006</v>
      </c>
    </row>
    <row r="830" spans="1:2" ht="12.75" customHeight="1" x14ac:dyDescent="0.2">
      <c r="A830" s="38" t="s">
        <v>1046</v>
      </c>
      <c r="B830" s="38">
        <v>170150052004005</v>
      </c>
    </row>
    <row r="831" spans="1:2" ht="12.75" customHeight="1" x14ac:dyDescent="0.2">
      <c r="A831" s="38" t="s">
        <v>1046</v>
      </c>
      <c r="B831" s="38">
        <v>170150052004004</v>
      </c>
    </row>
    <row r="832" spans="1:2" ht="12.75" customHeight="1" x14ac:dyDescent="0.2">
      <c r="A832" s="38" t="s">
        <v>1046</v>
      </c>
      <c r="B832" s="38">
        <v>170150052004006</v>
      </c>
    </row>
    <row r="833" spans="1:2" ht="12.75" customHeight="1" x14ac:dyDescent="0.2">
      <c r="A833" s="38" t="s">
        <v>1049</v>
      </c>
      <c r="B833" s="38">
        <v>170150090003002</v>
      </c>
    </row>
    <row r="834" spans="1:2" ht="12.75" customHeight="1" x14ac:dyDescent="0.2">
      <c r="A834" s="38" t="s">
        <v>1049</v>
      </c>
      <c r="B834" s="38">
        <v>170150090003001</v>
      </c>
    </row>
    <row r="835" spans="1:2" ht="12.75" customHeight="1" x14ac:dyDescent="0.2">
      <c r="A835" s="38" t="s">
        <v>1049</v>
      </c>
      <c r="B835" s="38">
        <v>170150090003004</v>
      </c>
    </row>
    <row r="836" spans="1:2" ht="12.75" customHeight="1" x14ac:dyDescent="0.2">
      <c r="A836" s="38" t="s">
        <v>1050</v>
      </c>
      <c r="B836" s="38">
        <v>170184007009002</v>
      </c>
    </row>
    <row r="837" spans="1:2" ht="12.75" customHeight="1" x14ac:dyDescent="0.2">
      <c r="A837" s="38" t="s">
        <v>1049</v>
      </c>
      <c r="B837" s="38">
        <v>170150090003005</v>
      </c>
    </row>
    <row r="838" spans="1:2" ht="12.75" customHeight="1" x14ac:dyDescent="0.2">
      <c r="A838" s="38" t="s">
        <v>1046</v>
      </c>
      <c r="B838" s="38">
        <v>170150144008001</v>
      </c>
    </row>
    <row r="839" spans="1:2" ht="12.75" customHeight="1" x14ac:dyDescent="0.2">
      <c r="A839" s="38" t="s">
        <v>1047</v>
      </c>
      <c r="B839" s="38">
        <v>170169001003002</v>
      </c>
    </row>
    <row r="840" spans="1:2" ht="12.75" customHeight="1" x14ac:dyDescent="0.2">
      <c r="A840" s="38" t="s">
        <v>1047</v>
      </c>
      <c r="B840" s="38">
        <v>170169001003001</v>
      </c>
    </row>
    <row r="841" spans="1:2" ht="12.75" customHeight="1" x14ac:dyDescent="0.2">
      <c r="A841" s="38" t="s">
        <v>1046</v>
      </c>
      <c r="B841" s="38">
        <v>170150144008002</v>
      </c>
    </row>
    <row r="842" spans="1:2" ht="12.75" customHeight="1" x14ac:dyDescent="0.2">
      <c r="A842" s="38" t="s">
        <v>1046</v>
      </c>
      <c r="B842" s="38">
        <v>170150162001001</v>
      </c>
    </row>
    <row r="843" spans="1:2" ht="12.75" customHeight="1" x14ac:dyDescent="0.2">
      <c r="A843" s="38" t="s">
        <v>1047</v>
      </c>
      <c r="B843" s="38">
        <v>170169001003004</v>
      </c>
    </row>
    <row r="844" spans="1:2" ht="12.75" customHeight="1" x14ac:dyDescent="0.2">
      <c r="A844" s="38" t="s">
        <v>1047</v>
      </c>
      <c r="B844" s="38">
        <v>170169001003003</v>
      </c>
    </row>
    <row r="845" spans="1:2" ht="12.75" customHeight="1" x14ac:dyDescent="0.2">
      <c r="A845" s="38" t="s">
        <v>1047</v>
      </c>
      <c r="B845" s="38">
        <v>170169001003005</v>
      </c>
    </row>
    <row r="846" spans="1:2" ht="12.75" customHeight="1" x14ac:dyDescent="0.2">
      <c r="A846" s="38" t="s">
        <v>1048</v>
      </c>
      <c r="B846" s="38">
        <v>170150179001001</v>
      </c>
    </row>
    <row r="847" spans="1:2" ht="12.75" customHeight="1" x14ac:dyDescent="0.2">
      <c r="A847" s="38" t="s">
        <v>1046</v>
      </c>
      <c r="B847" s="38">
        <v>170150051008001</v>
      </c>
    </row>
    <row r="848" spans="1:2" ht="12.75" customHeight="1" x14ac:dyDescent="0.2">
      <c r="A848" s="38" t="s">
        <v>1052</v>
      </c>
      <c r="B848" s="38">
        <v>170150199001003</v>
      </c>
    </row>
    <row r="849" spans="1:2" ht="12.75" customHeight="1" x14ac:dyDescent="0.2">
      <c r="A849" s="38" t="s">
        <v>1050</v>
      </c>
      <c r="B849" s="38">
        <v>170160003007005</v>
      </c>
    </row>
    <row r="850" spans="1:2" ht="12.75" customHeight="1" x14ac:dyDescent="0.2">
      <c r="A850" s="38" t="s">
        <v>1050</v>
      </c>
      <c r="B850" s="38">
        <v>170160001004003</v>
      </c>
    </row>
    <row r="851" spans="1:2" ht="12.75" customHeight="1" x14ac:dyDescent="0.2">
      <c r="A851" s="38" t="s">
        <v>1050</v>
      </c>
      <c r="B851" s="38">
        <v>170160003007004</v>
      </c>
    </row>
    <row r="852" spans="1:2" ht="12.75" customHeight="1" x14ac:dyDescent="0.2">
      <c r="A852" s="38" t="s">
        <v>1050</v>
      </c>
      <c r="B852" s="38">
        <v>170160003007007</v>
      </c>
    </row>
    <row r="853" spans="1:2" ht="12.75" customHeight="1" x14ac:dyDescent="0.2">
      <c r="A853" s="38" t="s">
        <v>1050</v>
      </c>
      <c r="B853" s="38">
        <v>170160003007006</v>
      </c>
    </row>
    <row r="854" spans="1:2" ht="12.75" customHeight="1" x14ac:dyDescent="0.2">
      <c r="A854" s="38" t="s">
        <v>1050</v>
      </c>
      <c r="B854" s="38">
        <v>170160003007001</v>
      </c>
    </row>
    <row r="855" spans="1:2" ht="12.75" customHeight="1" x14ac:dyDescent="0.2">
      <c r="A855" s="38" t="s">
        <v>1056</v>
      </c>
      <c r="B855" s="38">
        <v>170150238001001</v>
      </c>
    </row>
    <row r="856" spans="1:2" ht="12.75" customHeight="1" x14ac:dyDescent="0.2">
      <c r="A856" s="38" t="s">
        <v>1050</v>
      </c>
      <c r="B856" s="38">
        <v>170160001004002</v>
      </c>
    </row>
    <row r="857" spans="1:2" ht="12.75" customHeight="1" x14ac:dyDescent="0.2">
      <c r="A857" s="38" t="s">
        <v>1050</v>
      </c>
      <c r="B857" s="38">
        <v>170160003007003</v>
      </c>
    </row>
    <row r="858" spans="1:2" ht="12.75" customHeight="1" x14ac:dyDescent="0.2">
      <c r="A858" s="38" t="s">
        <v>1050</v>
      </c>
      <c r="B858" s="38">
        <v>170160003007002</v>
      </c>
    </row>
    <row r="859" spans="1:2" ht="12.75" customHeight="1" x14ac:dyDescent="0.2">
      <c r="A859" s="38" t="s">
        <v>1046</v>
      </c>
      <c r="B859" s="38">
        <v>170150145001001</v>
      </c>
    </row>
    <row r="860" spans="1:2" ht="12.75" customHeight="1" x14ac:dyDescent="0.2">
      <c r="A860" s="38" t="s">
        <v>1053</v>
      </c>
      <c r="B860" s="38">
        <v>170180007001001</v>
      </c>
    </row>
    <row r="861" spans="1:2" ht="12.75" customHeight="1" x14ac:dyDescent="0.2">
      <c r="A861" s="38" t="s">
        <v>1047</v>
      </c>
      <c r="B861" s="38">
        <v>170180007013004</v>
      </c>
    </row>
    <row r="862" spans="1:2" ht="12.75" customHeight="1" x14ac:dyDescent="0.2">
      <c r="A862" s="38" t="s">
        <v>1047</v>
      </c>
      <c r="B862" s="38">
        <v>170180007013006</v>
      </c>
    </row>
    <row r="863" spans="1:2" ht="12.75" customHeight="1" x14ac:dyDescent="0.2">
      <c r="A863" s="38" t="s">
        <v>1047</v>
      </c>
      <c r="B863" s="38">
        <v>170180007013005</v>
      </c>
    </row>
    <row r="864" spans="1:2" ht="12.75" customHeight="1" x14ac:dyDescent="0.2">
      <c r="A864" s="38" t="s">
        <v>1046</v>
      </c>
      <c r="B864" s="38">
        <v>170150102002001</v>
      </c>
    </row>
    <row r="865" spans="1:2" ht="12.75" customHeight="1" x14ac:dyDescent="0.2">
      <c r="A865" s="38" t="s">
        <v>1049</v>
      </c>
      <c r="B865" s="38">
        <v>170150158005003</v>
      </c>
    </row>
    <row r="866" spans="1:2" ht="12.75" customHeight="1" x14ac:dyDescent="0.2">
      <c r="A866" s="38" t="s">
        <v>1049</v>
      </c>
      <c r="B866" s="38">
        <v>170150158005002</v>
      </c>
    </row>
    <row r="867" spans="1:2" ht="12.75" customHeight="1" x14ac:dyDescent="0.2">
      <c r="A867" s="38" t="s">
        <v>1051</v>
      </c>
      <c r="B867" s="38">
        <v>170150067008001</v>
      </c>
    </row>
    <row r="868" spans="1:2" ht="12.75" customHeight="1" x14ac:dyDescent="0.2">
      <c r="A868" s="38" t="s">
        <v>1053</v>
      </c>
      <c r="B868" s="38">
        <v>170178001002001</v>
      </c>
    </row>
    <row r="869" spans="1:2" ht="12.75" customHeight="1" x14ac:dyDescent="0.2">
      <c r="A869" s="38" t="s">
        <v>1053</v>
      </c>
      <c r="B869" s="38">
        <v>170178001002002</v>
      </c>
    </row>
    <row r="870" spans="1:2" ht="12.75" customHeight="1" x14ac:dyDescent="0.2">
      <c r="A870" s="38" t="s">
        <v>1053</v>
      </c>
      <c r="B870" s="38">
        <v>170178001002005</v>
      </c>
    </row>
    <row r="871" spans="1:2" ht="12.75" customHeight="1" x14ac:dyDescent="0.2">
      <c r="A871" s="38" t="s">
        <v>1046</v>
      </c>
      <c r="B871" s="38">
        <v>170150099005006</v>
      </c>
    </row>
    <row r="872" spans="1:2" ht="12.75" customHeight="1" x14ac:dyDescent="0.2">
      <c r="A872" s="38" t="s">
        <v>1046</v>
      </c>
      <c r="B872" s="38">
        <v>170150099005001</v>
      </c>
    </row>
    <row r="873" spans="1:2" ht="12.75" customHeight="1" x14ac:dyDescent="0.2">
      <c r="A873" s="38" t="s">
        <v>1046</v>
      </c>
      <c r="B873" s="38">
        <v>170150099005005</v>
      </c>
    </row>
    <row r="874" spans="1:2" ht="12.75" customHeight="1" x14ac:dyDescent="0.2">
      <c r="A874" s="38" t="s">
        <v>1046</v>
      </c>
      <c r="B874" s="38">
        <v>170150099005004</v>
      </c>
    </row>
    <row r="875" spans="1:2" ht="12.75" customHeight="1" x14ac:dyDescent="0.2">
      <c r="A875" s="38" t="s">
        <v>1050</v>
      </c>
      <c r="B875" s="38">
        <v>170163001007001</v>
      </c>
    </row>
    <row r="876" spans="1:2" ht="12.75" customHeight="1" x14ac:dyDescent="0.2">
      <c r="A876" s="38" t="s">
        <v>1050</v>
      </c>
      <c r="B876" s="38">
        <v>170163001007005</v>
      </c>
    </row>
    <row r="877" spans="1:2" ht="12.75" customHeight="1" x14ac:dyDescent="0.2">
      <c r="A877" s="38" t="s">
        <v>1046</v>
      </c>
      <c r="B877" s="38">
        <v>170150098006003</v>
      </c>
    </row>
    <row r="878" spans="1:2" ht="12.75" customHeight="1" x14ac:dyDescent="0.2">
      <c r="A878" s="38" t="s">
        <v>1046</v>
      </c>
      <c r="B878" s="38">
        <v>170150098006004</v>
      </c>
    </row>
    <row r="879" spans="1:2" ht="12.75" customHeight="1" x14ac:dyDescent="0.2">
      <c r="A879" s="38" t="s">
        <v>1046</v>
      </c>
      <c r="B879" s="38">
        <v>170150098006007</v>
      </c>
    </row>
    <row r="880" spans="1:2" ht="12.75" customHeight="1" x14ac:dyDescent="0.2">
      <c r="A880" s="38" t="s">
        <v>1050</v>
      </c>
      <c r="B880" s="38">
        <v>170160002003001</v>
      </c>
    </row>
    <row r="881" spans="1:2" ht="12.75" customHeight="1" x14ac:dyDescent="0.2">
      <c r="A881" s="38" t="s">
        <v>1046</v>
      </c>
      <c r="B881" s="38">
        <v>170150180001002</v>
      </c>
    </row>
    <row r="882" spans="1:2" ht="12.75" customHeight="1" x14ac:dyDescent="0.2">
      <c r="A882" s="38" t="s">
        <v>1046</v>
      </c>
      <c r="B882" s="38">
        <v>170150180001001</v>
      </c>
    </row>
    <row r="883" spans="1:2" ht="12.75" customHeight="1" x14ac:dyDescent="0.2">
      <c r="A883" s="38" t="s">
        <v>1050</v>
      </c>
      <c r="B883" s="38">
        <v>170184015004002</v>
      </c>
    </row>
    <row r="884" spans="1:2" ht="12.75" customHeight="1" x14ac:dyDescent="0.2">
      <c r="A884" s="38" t="s">
        <v>1050</v>
      </c>
      <c r="B884" s="38">
        <v>170184015004001</v>
      </c>
    </row>
    <row r="885" spans="1:2" ht="12.75" customHeight="1" x14ac:dyDescent="0.2">
      <c r="A885" s="38" t="s">
        <v>1050</v>
      </c>
      <c r="B885" s="38">
        <v>170184014008002</v>
      </c>
    </row>
    <row r="886" spans="1:2" ht="12.75" customHeight="1" x14ac:dyDescent="0.2">
      <c r="A886" s="38" t="s">
        <v>1048</v>
      </c>
      <c r="B886" s="38">
        <v>170150176013001</v>
      </c>
    </row>
    <row r="887" spans="1:2" ht="12.75" customHeight="1" x14ac:dyDescent="0.2">
      <c r="A887" s="38" t="s">
        <v>1053</v>
      </c>
      <c r="B887" s="38">
        <v>170180003006004</v>
      </c>
    </row>
    <row r="888" spans="1:2" ht="12.75" customHeight="1" x14ac:dyDescent="0.2">
      <c r="A888" s="38" t="s">
        <v>1053</v>
      </c>
      <c r="B888" s="38">
        <v>170180003006006</v>
      </c>
    </row>
    <row r="889" spans="1:2" ht="12.75" customHeight="1" x14ac:dyDescent="0.2">
      <c r="A889" s="38" t="s">
        <v>1053</v>
      </c>
      <c r="B889" s="38">
        <v>170180003006005</v>
      </c>
    </row>
    <row r="890" spans="1:2" ht="12.75" customHeight="1" x14ac:dyDescent="0.2">
      <c r="A890" s="38" t="s">
        <v>1053</v>
      </c>
      <c r="B890" s="38">
        <v>170180003006007</v>
      </c>
    </row>
    <row r="891" spans="1:2" ht="12.75" customHeight="1" x14ac:dyDescent="0.2">
      <c r="A891" s="38" t="s">
        <v>1049</v>
      </c>
      <c r="B891" s="38">
        <v>170150065008001</v>
      </c>
    </row>
    <row r="892" spans="1:2" ht="12.75" customHeight="1" x14ac:dyDescent="0.2">
      <c r="A892" s="38" t="s">
        <v>1048</v>
      </c>
      <c r="B892" s="38">
        <v>170150175005002</v>
      </c>
    </row>
    <row r="893" spans="1:2" ht="12.75" customHeight="1" x14ac:dyDescent="0.2">
      <c r="A893" s="38" t="s">
        <v>1052</v>
      </c>
      <c r="B893" s="38">
        <v>170156010012002</v>
      </c>
    </row>
    <row r="894" spans="1:2" ht="12.75" customHeight="1" x14ac:dyDescent="0.2">
      <c r="A894" s="38" t="s">
        <v>1052</v>
      </c>
      <c r="B894" s="38">
        <v>170156010012001</v>
      </c>
    </row>
    <row r="895" spans="1:2" ht="12.75" customHeight="1" x14ac:dyDescent="0.2">
      <c r="A895" s="38" t="s">
        <v>1052</v>
      </c>
      <c r="B895" s="38">
        <v>170156010012003</v>
      </c>
    </row>
    <row r="896" spans="1:2" ht="12.75" customHeight="1" x14ac:dyDescent="0.2">
      <c r="A896" s="38" t="s">
        <v>1049</v>
      </c>
      <c r="B896" s="38">
        <v>170150113007001</v>
      </c>
    </row>
    <row r="897" spans="1:2" ht="12.75" customHeight="1" x14ac:dyDescent="0.2">
      <c r="A897" s="38" t="s">
        <v>1050</v>
      </c>
      <c r="B897" s="38">
        <v>170184011008001</v>
      </c>
    </row>
    <row r="898" spans="1:2" ht="12.75" customHeight="1" x14ac:dyDescent="0.2">
      <c r="A898" s="38" t="s">
        <v>1046</v>
      </c>
      <c r="B898" s="38">
        <v>170150097002002</v>
      </c>
    </row>
    <row r="899" spans="1:2" ht="12.75" customHeight="1" x14ac:dyDescent="0.2">
      <c r="A899" s="38" t="s">
        <v>1046</v>
      </c>
      <c r="B899" s="38">
        <v>170150097002001</v>
      </c>
    </row>
    <row r="900" spans="1:2" ht="12.75" customHeight="1" x14ac:dyDescent="0.2">
      <c r="A900" s="38" t="s">
        <v>1046</v>
      </c>
      <c r="B900" s="38">
        <v>170150108001001</v>
      </c>
    </row>
    <row r="901" spans="1:2" ht="12.75" customHeight="1" x14ac:dyDescent="0.2">
      <c r="A901" s="38" t="s">
        <v>1052</v>
      </c>
      <c r="B901" s="38">
        <v>170150189006001</v>
      </c>
    </row>
    <row r="902" spans="1:2" ht="12.75" customHeight="1" x14ac:dyDescent="0.2">
      <c r="A902" s="38" t="s">
        <v>1050</v>
      </c>
      <c r="B902" s="38">
        <v>170184011008003</v>
      </c>
    </row>
    <row r="903" spans="1:2" ht="12.75" customHeight="1" x14ac:dyDescent="0.2">
      <c r="A903" s="38" t="s">
        <v>1050</v>
      </c>
      <c r="B903" s="38">
        <v>170184011008002</v>
      </c>
    </row>
    <row r="904" spans="1:2" ht="12.75" customHeight="1" x14ac:dyDescent="0.2">
      <c r="A904" s="38" t="s">
        <v>1054</v>
      </c>
      <c r="B904" s="38">
        <v>170150151003002</v>
      </c>
    </row>
    <row r="905" spans="1:2" ht="12.75" customHeight="1" x14ac:dyDescent="0.2">
      <c r="A905" s="38" t="s">
        <v>1054</v>
      </c>
      <c r="B905" s="38">
        <v>170150151003001</v>
      </c>
    </row>
    <row r="906" spans="1:2" ht="12.75" customHeight="1" x14ac:dyDescent="0.2">
      <c r="A906" s="38" t="s">
        <v>1054</v>
      </c>
      <c r="B906" s="38">
        <v>170150151003004</v>
      </c>
    </row>
    <row r="907" spans="1:2" ht="12.75" customHeight="1" x14ac:dyDescent="0.2">
      <c r="A907" s="38" t="s">
        <v>1054</v>
      </c>
      <c r="B907" s="38">
        <v>170150151003003</v>
      </c>
    </row>
    <row r="908" spans="1:2" ht="12.75" customHeight="1" x14ac:dyDescent="0.2">
      <c r="A908" s="38" t="s">
        <v>1049</v>
      </c>
      <c r="B908" s="38">
        <v>170150156001004</v>
      </c>
    </row>
    <row r="909" spans="1:2" ht="12.75" customHeight="1" x14ac:dyDescent="0.2">
      <c r="A909" s="38" t="s">
        <v>1049</v>
      </c>
      <c r="B909" s="38">
        <v>170168001002002</v>
      </c>
    </row>
    <row r="910" spans="1:2" ht="12.75" customHeight="1" x14ac:dyDescent="0.2">
      <c r="A910" s="38" t="s">
        <v>1049</v>
      </c>
      <c r="B910" s="38">
        <v>170168001002001</v>
      </c>
    </row>
    <row r="911" spans="1:2" ht="12.75" customHeight="1" x14ac:dyDescent="0.2">
      <c r="A911" s="38" t="s">
        <v>1049</v>
      </c>
      <c r="B911" s="38">
        <v>170168001002004</v>
      </c>
    </row>
    <row r="912" spans="1:2" ht="12.75" customHeight="1" x14ac:dyDescent="0.2">
      <c r="A912" s="38" t="s">
        <v>1049</v>
      </c>
      <c r="B912" s="38">
        <v>170168001002003</v>
      </c>
    </row>
    <row r="913" spans="1:2" ht="12.75" customHeight="1" x14ac:dyDescent="0.2">
      <c r="A913" s="38" t="s">
        <v>1047</v>
      </c>
      <c r="B913" s="38">
        <v>170168001002006</v>
      </c>
    </row>
    <row r="914" spans="1:2" ht="12.75" customHeight="1" x14ac:dyDescent="0.2">
      <c r="A914" s="38" t="s">
        <v>1047</v>
      </c>
      <c r="B914" s="38">
        <v>170168001002005</v>
      </c>
    </row>
    <row r="915" spans="1:2" ht="12.75" customHeight="1" x14ac:dyDescent="0.2">
      <c r="A915" s="38" t="s">
        <v>1047</v>
      </c>
      <c r="B915" s="38">
        <v>170168001002008</v>
      </c>
    </row>
    <row r="916" spans="1:2" ht="12.75" customHeight="1" x14ac:dyDescent="0.2">
      <c r="A916" s="38" t="s">
        <v>1047</v>
      </c>
      <c r="B916" s="38">
        <v>170168001002007</v>
      </c>
    </row>
    <row r="917" spans="1:2" ht="12.75" customHeight="1" x14ac:dyDescent="0.2">
      <c r="A917" s="38" t="s">
        <v>1049</v>
      </c>
      <c r="B917" s="38">
        <v>170177005008001</v>
      </c>
    </row>
    <row r="918" spans="1:2" ht="12.75" customHeight="1" x14ac:dyDescent="0.2">
      <c r="A918" s="38" t="s">
        <v>1047</v>
      </c>
      <c r="B918" s="38">
        <v>170180007012001</v>
      </c>
    </row>
    <row r="919" spans="1:2" ht="12.75" customHeight="1" x14ac:dyDescent="0.2">
      <c r="A919" s="38" t="s">
        <v>1047</v>
      </c>
      <c r="B919" s="38">
        <v>170150039006002</v>
      </c>
    </row>
    <row r="920" spans="1:2" ht="12.75" customHeight="1" x14ac:dyDescent="0.2">
      <c r="A920" s="38" t="s">
        <v>1051</v>
      </c>
      <c r="B920" s="38">
        <v>170150039006001</v>
      </c>
    </row>
    <row r="921" spans="1:2" ht="12.75" customHeight="1" x14ac:dyDescent="0.2">
      <c r="A921" s="38" t="s">
        <v>1047</v>
      </c>
      <c r="B921" s="38">
        <v>170150039006005</v>
      </c>
    </row>
    <row r="922" spans="1:2" ht="12.75" customHeight="1" x14ac:dyDescent="0.2">
      <c r="A922" s="38" t="s">
        <v>1046</v>
      </c>
      <c r="B922" s="38">
        <v>170150095002002</v>
      </c>
    </row>
    <row r="923" spans="1:2" ht="12.75" customHeight="1" x14ac:dyDescent="0.2">
      <c r="A923" s="38" t="s">
        <v>1046</v>
      </c>
      <c r="B923" s="38">
        <v>170150095002001</v>
      </c>
    </row>
    <row r="924" spans="1:2" ht="12.75" customHeight="1" x14ac:dyDescent="0.2">
      <c r="A924" s="38" t="s">
        <v>1051</v>
      </c>
      <c r="B924" s="38">
        <v>170155001001001</v>
      </c>
    </row>
    <row r="925" spans="1:2" ht="12.75" customHeight="1" x14ac:dyDescent="0.2">
      <c r="A925" s="38" t="s">
        <v>1054</v>
      </c>
      <c r="B925" s="38">
        <v>170185001003006</v>
      </c>
    </row>
    <row r="926" spans="1:2" ht="12.75" customHeight="1" x14ac:dyDescent="0.2">
      <c r="A926" s="38" t="s">
        <v>1054</v>
      </c>
      <c r="B926" s="38">
        <v>170185001003005</v>
      </c>
    </row>
    <row r="927" spans="1:2" ht="12.75" customHeight="1" x14ac:dyDescent="0.2">
      <c r="A927" s="38" t="s">
        <v>1054</v>
      </c>
      <c r="B927" s="38">
        <v>170185001003007</v>
      </c>
    </row>
    <row r="928" spans="1:2" ht="12.75" customHeight="1" x14ac:dyDescent="0.2">
      <c r="A928" s="38" t="s">
        <v>1054</v>
      </c>
      <c r="B928" s="38">
        <v>170185001003002</v>
      </c>
    </row>
    <row r="929" spans="1:2" ht="12.75" customHeight="1" x14ac:dyDescent="0.2">
      <c r="A929" s="38" t="s">
        <v>1054</v>
      </c>
      <c r="B929" s="38">
        <v>170185001003001</v>
      </c>
    </row>
    <row r="930" spans="1:2" ht="12.75" customHeight="1" x14ac:dyDescent="0.2">
      <c r="A930" s="38" t="s">
        <v>1049</v>
      </c>
      <c r="B930" s="38">
        <v>170150172006001</v>
      </c>
    </row>
    <row r="931" spans="1:2" ht="12.75" customHeight="1" x14ac:dyDescent="0.2">
      <c r="A931" s="38" t="s">
        <v>1054</v>
      </c>
      <c r="B931" s="38">
        <v>170150153002001</v>
      </c>
    </row>
    <row r="932" spans="1:2" ht="12.75" customHeight="1" x14ac:dyDescent="0.2">
      <c r="A932" s="38" t="s">
        <v>1048</v>
      </c>
      <c r="B932" s="38">
        <v>170165002010002</v>
      </c>
    </row>
    <row r="933" spans="1:2" ht="12.75" customHeight="1" x14ac:dyDescent="0.2">
      <c r="A933" s="38" t="s">
        <v>1048</v>
      </c>
      <c r="B933" s="38">
        <v>170165002010001</v>
      </c>
    </row>
    <row r="934" spans="1:2" ht="12.75" customHeight="1" x14ac:dyDescent="0.2">
      <c r="A934" s="38" t="s">
        <v>1052</v>
      </c>
      <c r="B934" s="38">
        <v>170150197005001</v>
      </c>
    </row>
    <row r="935" spans="1:2" ht="12.75" customHeight="1" x14ac:dyDescent="0.2">
      <c r="A935" s="38" t="s">
        <v>1050</v>
      </c>
      <c r="B935" s="38">
        <v>170183001005005</v>
      </c>
    </row>
    <row r="936" spans="1:2" ht="12.75" customHeight="1" x14ac:dyDescent="0.2">
      <c r="A936" s="38" t="s">
        <v>1050</v>
      </c>
      <c r="B936" s="38">
        <v>170150191001001</v>
      </c>
    </row>
    <row r="937" spans="1:2" ht="12.75" customHeight="1" x14ac:dyDescent="0.2">
      <c r="A937" s="38" t="s">
        <v>1058</v>
      </c>
      <c r="B937" s="38">
        <v>170175003002002</v>
      </c>
    </row>
    <row r="938" spans="1:2" ht="12.75" customHeight="1" x14ac:dyDescent="0.2">
      <c r="A938" s="38" t="s">
        <v>1058</v>
      </c>
      <c r="B938" s="38">
        <v>170175003002001</v>
      </c>
    </row>
    <row r="939" spans="1:2" ht="12.75" customHeight="1" x14ac:dyDescent="0.2">
      <c r="A939" s="38" t="s">
        <v>1048</v>
      </c>
      <c r="B939" s="38">
        <v>170150190006002</v>
      </c>
    </row>
    <row r="940" spans="1:2" ht="12.75" customHeight="1" x14ac:dyDescent="0.2">
      <c r="A940" s="38" t="s">
        <v>1048</v>
      </c>
      <c r="B940" s="38">
        <v>170150190006001</v>
      </c>
    </row>
    <row r="941" spans="1:2" ht="12.75" customHeight="1" x14ac:dyDescent="0.2">
      <c r="A941" s="38" t="s">
        <v>1048</v>
      </c>
      <c r="B941" s="38">
        <v>170150190006003</v>
      </c>
    </row>
    <row r="942" spans="1:2" ht="12.75" customHeight="1" x14ac:dyDescent="0.2">
      <c r="A942" s="38" t="s">
        <v>1050</v>
      </c>
      <c r="B942" s="38">
        <v>170184015003002</v>
      </c>
    </row>
    <row r="943" spans="1:2" ht="12.75" customHeight="1" x14ac:dyDescent="0.2">
      <c r="A943" s="38" t="s">
        <v>1050</v>
      </c>
      <c r="B943" s="38">
        <v>170184015003001</v>
      </c>
    </row>
    <row r="944" spans="1:2" ht="12.75" customHeight="1" x14ac:dyDescent="0.2">
      <c r="A944" s="38" t="s">
        <v>1050</v>
      </c>
      <c r="B944" s="38">
        <v>170184015003004</v>
      </c>
    </row>
    <row r="945" spans="1:2" ht="12.75" customHeight="1" x14ac:dyDescent="0.2">
      <c r="A945" s="38" t="s">
        <v>1050</v>
      </c>
      <c r="B945" s="38">
        <v>170184015003003</v>
      </c>
    </row>
    <row r="946" spans="1:2" ht="12.75" customHeight="1" x14ac:dyDescent="0.2">
      <c r="A946" s="38" t="s">
        <v>1050</v>
      </c>
      <c r="B946" s="38">
        <v>170184015003006</v>
      </c>
    </row>
    <row r="947" spans="1:2" ht="12.75" customHeight="1" x14ac:dyDescent="0.2">
      <c r="A947" s="38" t="s">
        <v>1050</v>
      </c>
      <c r="B947" s="38">
        <v>170184015003005</v>
      </c>
    </row>
    <row r="948" spans="1:2" ht="12.75" customHeight="1" x14ac:dyDescent="0.2">
      <c r="A948" s="38" t="s">
        <v>1050</v>
      </c>
      <c r="B948" s="38">
        <v>170184015003007</v>
      </c>
    </row>
    <row r="949" spans="1:2" ht="12.75" customHeight="1" x14ac:dyDescent="0.2">
      <c r="A949" s="38" t="s">
        <v>1049</v>
      </c>
      <c r="B949" s="38">
        <v>170150170006001</v>
      </c>
    </row>
    <row r="950" spans="1:2" ht="12.75" customHeight="1" x14ac:dyDescent="0.2">
      <c r="A950" s="38" t="s">
        <v>1048</v>
      </c>
      <c r="B950" s="38">
        <v>170165002009001</v>
      </c>
    </row>
    <row r="951" spans="1:2" ht="12.75" customHeight="1" x14ac:dyDescent="0.2">
      <c r="A951" s="38" t="s">
        <v>1048</v>
      </c>
      <c r="B951" s="38">
        <v>170165002009002</v>
      </c>
    </row>
    <row r="952" spans="1:2" ht="12.75" customHeight="1" x14ac:dyDescent="0.2">
      <c r="A952" s="38" t="s">
        <v>1052</v>
      </c>
      <c r="B952" s="38">
        <v>170150223007004</v>
      </c>
    </row>
    <row r="953" spans="1:2" ht="12.75" customHeight="1" x14ac:dyDescent="0.2">
      <c r="A953" s="38" t="s">
        <v>1052</v>
      </c>
      <c r="B953" s="38">
        <v>170150223007003</v>
      </c>
    </row>
    <row r="954" spans="1:2" ht="12.75" customHeight="1" x14ac:dyDescent="0.2">
      <c r="A954" s="38" t="s">
        <v>1046</v>
      </c>
      <c r="B954" s="38">
        <v>170150168011001</v>
      </c>
    </row>
    <row r="955" spans="1:2" ht="12.75" customHeight="1" x14ac:dyDescent="0.2">
      <c r="A955" s="38" t="s">
        <v>1046</v>
      </c>
      <c r="B955" s="38">
        <v>170150168011005</v>
      </c>
    </row>
    <row r="956" spans="1:2" ht="12.75" customHeight="1" x14ac:dyDescent="0.2">
      <c r="A956" s="38" t="s">
        <v>1046</v>
      </c>
      <c r="B956" s="38">
        <v>170150168011004</v>
      </c>
    </row>
    <row r="957" spans="1:2" ht="12.75" customHeight="1" x14ac:dyDescent="0.2">
      <c r="A957" s="38" t="s">
        <v>1047</v>
      </c>
      <c r="B957" s="38">
        <v>170150040009003</v>
      </c>
    </row>
    <row r="958" spans="1:2" ht="12.75" customHeight="1" x14ac:dyDescent="0.2">
      <c r="A958" s="38" t="s">
        <v>1047</v>
      </c>
      <c r="B958" s="38">
        <v>170150040009002</v>
      </c>
    </row>
    <row r="959" spans="1:2" ht="12.75" customHeight="1" x14ac:dyDescent="0.2">
      <c r="A959" s="38" t="s">
        <v>1053</v>
      </c>
      <c r="B959" s="38">
        <v>170180004001001</v>
      </c>
    </row>
    <row r="960" spans="1:2" ht="12.75" customHeight="1" x14ac:dyDescent="0.2">
      <c r="A960" s="38" t="s">
        <v>1052</v>
      </c>
      <c r="B960" s="38">
        <v>170150265006001</v>
      </c>
    </row>
    <row r="961" spans="1:2" ht="12.75" customHeight="1" x14ac:dyDescent="0.2">
      <c r="A961" s="38" t="s">
        <v>1052</v>
      </c>
      <c r="B961" s="38">
        <v>170150265006005</v>
      </c>
    </row>
    <row r="962" spans="1:2" ht="12.75" customHeight="1" x14ac:dyDescent="0.2">
      <c r="A962" s="38" t="s">
        <v>1052</v>
      </c>
      <c r="B962" s="38">
        <v>170150265006004</v>
      </c>
    </row>
    <row r="963" spans="1:2" ht="12.75" customHeight="1" x14ac:dyDescent="0.2">
      <c r="A963" s="38" t="s">
        <v>1049</v>
      </c>
      <c r="B963" s="38">
        <v>170177001001006</v>
      </c>
    </row>
    <row r="964" spans="1:2" ht="12.75" customHeight="1" x14ac:dyDescent="0.2">
      <c r="A964" s="38" t="s">
        <v>1049</v>
      </c>
      <c r="B964" s="38">
        <v>170177001001003</v>
      </c>
    </row>
    <row r="965" spans="1:2" ht="12.75" customHeight="1" x14ac:dyDescent="0.2">
      <c r="A965" s="38" t="s">
        <v>1049</v>
      </c>
      <c r="B965" s="38">
        <v>170177001001005</v>
      </c>
    </row>
    <row r="966" spans="1:2" ht="12.75" customHeight="1" x14ac:dyDescent="0.2">
      <c r="A966" s="38" t="s">
        <v>1054</v>
      </c>
      <c r="B966" s="38">
        <v>170150150006001</v>
      </c>
    </row>
    <row r="967" spans="1:2" ht="12.75" customHeight="1" x14ac:dyDescent="0.2">
      <c r="A967" s="38" t="s">
        <v>1054</v>
      </c>
      <c r="B967" s="38">
        <v>170175001003001</v>
      </c>
    </row>
    <row r="968" spans="1:2" ht="12.75" customHeight="1" x14ac:dyDescent="0.2">
      <c r="A968" s="38" t="s">
        <v>1054</v>
      </c>
      <c r="B968" s="38">
        <v>170175001003002</v>
      </c>
    </row>
    <row r="969" spans="1:2" ht="12.75" customHeight="1" x14ac:dyDescent="0.2">
      <c r="A969" s="38" t="s">
        <v>1046</v>
      </c>
      <c r="B969" s="38">
        <v>170150097001001</v>
      </c>
    </row>
    <row r="970" spans="1:2" ht="12.75" customHeight="1" x14ac:dyDescent="0.2">
      <c r="A970" s="38" t="s">
        <v>1054</v>
      </c>
      <c r="B970" s="38">
        <v>170175001003004</v>
      </c>
    </row>
    <row r="971" spans="1:2" ht="12.75" customHeight="1" x14ac:dyDescent="0.2">
      <c r="A971" s="38" t="s">
        <v>1048</v>
      </c>
      <c r="B971" s="38">
        <v>170186001001001</v>
      </c>
    </row>
    <row r="972" spans="1:2" ht="12.75" customHeight="1" x14ac:dyDescent="0.2">
      <c r="A972" s="38" t="s">
        <v>1046</v>
      </c>
      <c r="B972" s="38">
        <v>170150063013001</v>
      </c>
    </row>
    <row r="973" spans="1:2" ht="12.75" customHeight="1" x14ac:dyDescent="0.2">
      <c r="A973" s="38" t="s">
        <v>1046</v>
      </c>
      <c r="B973" s="38">
        <v>170150063013002</v>
      </c>
    </row>
    <row r="974" spans="1:2" ht="12.75" customHeight="1" x14ac:dyDescent="0.2">
      <c r="A974" s="38" t="s">
        <v>1052</v>
      </c>
      <c r="B974" s="38">
        <v>170150191013003</v>
      </c>
    </row>
    <row r="975" spans="1:2" ht="12.75" customHeight="1" x14ac:dyDescent="0.2">
      <c r="A975" s="38" t="s">
        <v>1052</v>
      </c>
      <c r="B975" s="38">
        <v>170150191013002</v>
      </c>
    </row>
    <row r="976" spans="1:2" ht="12.75" customHeight="1" x14ac:dyDescent="0.2">
      <c r="A976" s="38" t="s">
        <v>1049</v>
      </c>
      <c r="B976" s="38">
        <v>170150146007002</v>
      </c>
    </row>
    <row r="977" spans="1:2" ht="12.75" customHeight="1" x14ac:dyDescent="0.2">
      <c r="A977" s="38" t="s">
        <v>1049</v>
      </c>
      <c r="B977" s="38">
        <v>170150146007001</v>
      </c>
    </row>
    <row r="978" spans="1:2" ht="12.75" customHeight="1" x14ac:dyDescent="0.2">
      <c r="A978" s="38" t="s">
        <v>1047</v>
      </c>
      <c r="B978" s="38">
        <v>170150034007002</v>
      </c>
    </row>
    <row r="979" spans="1:2" ht="12.75" customHeight="1" x14ac:dyDescent="0.2">
      <c r="A979" s="38" t="s">
        <v>1047</v>
      </c>
      <c r="B979" s="38">
        <v>170150034007001</v>
      </c>
    </row>
    <row r="980" spans="1:2" ht="12.75" customHeight="1" x14ac:dyDescent="0.2">
      <c r="A980" s="38" t="s">
        <v>1047</v>
      </c>
      <c r="B980" s="38">
        <v>170150034007003</v>
      </c>
    </row>
    <row r="981" spans="1:2" ht="12.75" customHeight="1" x14ac:dyDescent="0.2">
      <c r="A981" s="38" t="s">
        <v>1050</v>
      </c>
      <c r="B981" s="38">
        <v>170184007008002</v>
      </c>
    </row>
    <row r="982" spans="1:2" ht="12.75" customHeight="1" x14ac:dyDescent="0.2">
      <c r="A982" s="38" t="s">
        <v>1050</v>
      </c>
      <c r="B982" s="38">
        <v>170184007008001</v>
      </c>
    </row>
    <row r="983" spans="1:2" ht="12.75" customHeight="1" x14ac:dyDescent="0.2">
      <c r="A983" s="38" t="s">
        <v>1049</v>
      </c>
      <c r="B983" s="38">
        <v>170150049012005</v>
      </c>
    </row>
    <row r="984" spans="1:2" ht="12.75" customHeight="1" x14ac:dyDescent="0.2">
      <c r="A984" s="38" t="s">
        <v>1047</v>
      </c>
      <c r="B984" s="38">
        <v>170169001002001</v>
      </c>
    </row>
    <row r="985" spans="1:2" ht="12.75" customHeight="1" x14ac:dyDescent="0.2">
      <c r="A985" s="38" t="s">
        <v>1049</v>
      </c>
      <c r="B985" s="38">
        <v>170150091006002</v>
      </c>
    </row>
    <row r="986" spans="1:2" ht="12.75" customHeight="1" x14ac:dyDescent="0.2">
      <c r="A986" s="38" t="s">
        <v>1053</v>
      </c>
      <c r="B986" s="38">
        <v>170150091006004</v>
      </c>
    </row>
    <row r="987" spans="1:2" ht="12.75" customHeight="1" x14ac:dyDescent="0.2">
      <c r="A987" s="38" t="s">
        <v>1053</v>
      </c>
      <c r="B987" s="38">
        <v>170150091006003</v>
      </c>
    </row>
    <row r="988" spans="1:2" ht="12.75" customHeight="1" x14ac:dyDescent="0.2">
      <c r="A988" s="38" t="s">
        <v>1047</v>
      </c>
      <c r="B988" s="38">
        <v>170169001002003</v>
      </c>
    </row>
    <row r="989" spans="1:2" ht="12.75" customHeight="1" x14ac:dyDescent="0.2">
      <c r="A989" s="38" t="s">
        <v>1047</v>
      </c>
      <c r="B989" s="38">
        <v>170169001002002</v>
      </c>
    </row>
    <row r="990" spans="1:2" ht="12.75" customHeight="1" x14ac:dyDescent="0.2">
      <c r="A990" s="38" t="s">
        <v>1050</v>
      </c>
      <c r="B990" s="38">
        <v>170160003006004</v>
      </c>
    </row>
    <row r="991" spans="1:2" ht="12.75" customHeight="1" x14ac:dyDescent="0.2">
      <c r="A991" s="38" t="s">
        <v>1050</v>
      </c>
      <c r="B991" s="38">
        <v>170160003006003</v>
      </c>
    </row>
    <row r="992" spans="1:2" ht="12.75" customHeight="1" x14ac:dyDescent="0.2">
      <c r="A992" s="38" t="s">
        <v>1050</v>
      </c>
      <c r="B992" s="38">
        <v>170160003006006</v>
      </c>
    </row>
    <row r="993" spans="1:2" ht="12.75" customHeight="1" x14ac:dyDescent="0.2">
      <c r="A993" s="38" t="s">
        <v>1050</v>
      </c>
      <c r="B993" s="38">
        <v>170160003006005</v>
      </c>
    </row>
    <row r="994" spans="1:2" ht="12.75" customHeight="1" x14ac:dyDescent="0.2">
      <c r="A994" s="38" t="s">
        <v>1050</v>
      </c>
      <c r="B994" s="38">
        <v>170160003006007</v>
      </c>
    </row>
    <row r="995" spans="1:2" ht="12.75" customHeight="1" x14ac:dyDescent="0.2">
      <c r="A995" s="38" t="s">
        <v>1050</v>
      </c>
      <c r="B995" s="38">
        <v>170160003006002</v>
      </c>
    </row>
    <row r="996" spans="1:2" ht="12.75" customHeight="1" x14ac:dyDescent="0.2">
      <c r="A996" s="38" t="s">
        <v>1047</v>
      </c>
      <c r="B996" s="38">
        <v>170177002007002</v>
      </c>
    </row>
    <row r="997" spans="1:2" ht="12.75" customHeight="1" x14ac:dyDescent="0.2">
      <c r="A997" s="38" t="s">
        <v>1047</v>
      </c>
      <c r="B997" s="38">
        <v>170177002007001</v>
      </c>
    </row>
    <row r="998" spans="1:2" ht="12.75" customHeight="1" x14ac:dyDescent="0.2">
      <c r="A998" s="38" t="s">
        <v>1047</v>
      </c>
      <c r="B998" s="38">
        <v>170177002007004</v>
      </c>
    </row>
    <row r="999" spans="1:2" ht="12.75" customHeight="1" x14ac:dyDescent="0.2">
      <c r="A999" s="38" t="s">
        <v>1047</v>
      </c>
      <c r="B999" s="38">
        <v>170177002007003</v>
      </c>
    </row>
    <row r="1000" spans="1:2" ht="12.75" customHeight="1" x14ac:dyDescent="0.2">
      <c r="A1000" s="38" t="s">
        <v>1047</v>
      </c>
      <c r="B1000" s="38">
        <v>170177002007006</v>
      </c>
    </row>
    <row r="1001" spans="1:2" ht="12.75" customHeight="1" x14ac:dyDescent="0.2">
      <c r="A1001" s="38" t="s">
        <v>1047</v>
      </c>
      <c r="B1001" s="38">
        <v>170177002007005</v>
      </c>
    </row>
    <row r="1002" spans="1:2" ht="12.75" customHeight="1" x14ac:dyDescent="0.2">
      <c r="A1002" s="38" t="s">
        <v>1047</v>
      </c>
      <c r="B1002" s="38">
        <v>170177002007007</v>
      </c>
    </row>
    <row r="1003" spans="1:2" ht="12.75" customHeight="1" x14ac:dyDescent="0.2">
      <c r="A1003" s="38" t="s">
        <v>1051</v>
      </c>
      <c r="B1003" s="38">
        <v>170150067007001</v>
      </c>
    </row>
    <row r="1004" spans="1:2" ht="12.75" customHeight="1" x14ac:dyDescent="0.2">
      <c r="A1004" s="38" t="s">
        <v>1052</v>
      </c>
      <c r="B1004" s="38">
        <v>170150197004001</v>
      </c>
    </row>
    <row r="1005" spans="1:2" ht="12.75" customHeight="1" x14ac:dyDescent="0.2">
      <c r="A1005" s="38" t="s">
        <v>1052</v>
      </c>
      <c r="B1005" s="38">
        <v>170150197004002</v>
      </c>
    </row>
    <row r="1006" spans="1:2" ht="12.75" customHeight="1" x14ac:dyDescent="0.2">
      <c r="A1006" s="38" t="s">
        <v>1052</v>
      </c>
      <c r="B1006" s="38">
        <v>170150225006004</v>
      </c>
    </row>
    <row r="1007" spans="1:2" ht="12.75" customHeight="1" x14ac:dyDescent="0.2">
      <c r="A1007" s="38" t="s">
        <v>1046</v>
      </c>
      <c r="B1007" s="38">
        <v>170150144007001</v>
      </c>
    </row>
    <row r="1008" spans="1:2" ht="12.75" customHeight="1" x14ac:dyDescent="0.2">
      <c r="A1008" s="38" t="s">
        <v>1046</v>
      </c>
      <c r="B1008" s="38">
        <v>170150099004002</v>
      </c>
    </row>
    <row r="1009" spans="1:2" ht="12.75" customHeight="1" x14ac:dyDescent="0.2">
      <c r="A1009" s="38" t="s">
        <v>1049</v>
      </c>
      <c r="B1009" s="38">
        <v>170150158004002</v>
      </c>
    </row>
    <row r="1010" spans="1:2" ht="12.75" customHeight="1" x14ac:dyDescent="0.2">
      <c r="A1010" s="38" t="s">
        <v>1049</v>
      </c>
      <c r="B1010" s="38">
        <v>170150158004001</v>
      </c>
    </row>
    <row r="1011" spans="1:2" ht="12.75" customHeight="1" x14ac:dyDescent="0.2">
      <c r="A1011" s="38" t="s">
        <v>1050</v>
      </c>
      <c r="B1011" s="38">
        <v>170157010008002</v>
      </c>
    </row>
    <row r="1012" spans="1:2" ht="12.75" customHeight="1" x14ac:dyDescent="0.2">
      <c r="A1012" s="38" t="s">
        <v>1050</v>
      </c>
      <c r="B1012" s="38">
        <v>170157010008001</v>
      </c>
    </row>
    <row r="1013" spans="1:2" ht="12.75" customHeight="1" x14ac:dyDescent="0.2">
      <c r="A1013" s="38" t="s">
        <v>1046</v>
      </c>
      <c r="B1013" s="38">
        <v>170150098005002</v>
      </c>
    </row>
    <row r="1014" spans="1:2" ht="12.75" customHeight="1" x14ac:dyDescent="0.2">
      <c r="A1014" s="38" t="s">
        <v>1046</v>
      </c>
      <c r="B1014" s="38">
        <v>170150098005004</v>
      </c>
    </row>
    <row r="1015" spans="1:2" ht="12.75" customHeight="1" x14ac:dyDescent="0.2">
      <c r="A1015" s="38" t="s">
        <v>1046</v>
      </c>
      <c r="B1015" s="38">
        <v>170150098005006</v>
      </c>
    </row>
    <row r="1016" spans="1:2" ht="12.75" customHeight="1" x14ac:dyDescent="0.2">
      <c r="A1016" s="38" t="s">
        <v>1046</v>
      </c>
      <c r="B1016" s="38">
        <v>170150098005005</v>
      </c>
    </row>
    <row r="1017" spans="1:2" ht="12.75" customHeight="1" x14ac:dyDescent="0.2">
      <c r="A1017" s="38" t="s">
        <v>1052</v>
      </c>
      <c r="B1017" s="38">
        <v>170150232001002</v>
      </c>
    </row>
    <row r="1018" spans="1:2" ht="12.75" customHeight="1" x14ac:dyDescent="0.2">
      <c r="A1018" s="38" t="s">
        <v>1052</v>
      </c>
      <c r="B1018" s="38">
        <v>170150232001001</v>
      </c>
    </row>
    <row r="1019" spans="1:2" ht="12.75" customHeight="1" x14ac:dyDescent="0.2">
      <c r="A1019" s="38" t="s">
        <v>1053</v>
      </c>
      <c r="B1019" s="38">
        <v>170178001001002</v>
      </c>
    </row>
    <row r="1020" spans="1:2" ht="12.75" customHeight="1" x14ac:dyDescent="0.2">
      <c r="A1020" s="38" t="s">
        <v>1053</v>
      </c>
      <c r="B1020" s="38">
        <v>170178001001001</v>
      </c>
    </row>
    <row r="1021" spans="1:2" ht="12.75" customHeight="1" x14ac:dyDescent="0.2">
      <c r="A1021" s="38" t="s">
        <v>1053</v>
      </c>
      <c r="B1021" s="38">
        <v>170178001001004</v>
      </c>
    </row>
    <row r="1022" spans="1:2" ht="12.75" customHeight="1" x14ac:dyDescent="0.2">
      <c r="A1022" s="38" t="s">
        <v>1053</v>
      </c>
      <c r="B1022" s="38">
        <v>170178001001003</v>
      </c>
    </row>
    <row r="1023" spans="1:2" ht="12.75" customHeight="1" x14ac:dyDescent="0.2">
      <c r="A1023" s="38" t="s">
        <v>1053</v>
      </c>
      <c r="B1023" s="38">
        <v>170178001001006</v>
      </c>
    </row>
    <row r="1024" spans="1:2" ht="12.75" customHeight="1" x14ac:dyDescent="0.2">
      <c r="A1024" s="38" t="s">
        <v>1053</v>
      </c>
      <c r="B1024" s="38">
        <v>170178001001005</v>
      </c>
    </row>
    <row r="1025" spans="1:2" ht="12.75" customHeight="1" x14ac:dyDescent="0.2">
      <c r="A1025" s="38" t="s">
        <v>1057</v>
      </c>
      <c r="B1025" s="38">
        <v>170150176012003</v>
      </c>
    </row>
    <row r="1026" spans="1:2" ht="12.75" customHeight="1" x14ac:dyDescent="0.2">
      <c r="A1026" s="38" t="s">
        <v>1049</v>
      </c>
      <c r="B1026" s="38">
        <v>170150106007002</v>
      </c>
    </row>
    <row r="1027" spans="1:2" ht="12.75" customHeight="1" x14ac:dyDescent="0.2">
      <c r="A1027" s="38" t="s">
        <v>1057</v>
      </c>
      <c r="B1027" s="38">
        <v>170150176012002</v>
      </c>
    </row>
    <row r="1028" spans="1:2" ht="12.75" customHeight="1" x14ac:dyDescent="0.2">
      <c r="A1028" s="38" t="s">
        <v>1049</v>
      </c>
      <c r="B1028" s="38">
        <v>170150106007004</v>
      </c>
    </row>
    <row r="1029" spans="1:2" ht="12.75" customHeight="1" x14ac:dyDescent="0.2">
      <c r="A1029" s="38" t="s">
        <v>1049</v>
      </c>
      <c r="B1029" s="38">
        <v>170150106007003</v>
      </c>
    </row>
    <row r="1030" spans="1:2" ht="12.75" customHeight="1" x14ac:dyDescent="0.2">
      <c r="A1030" s="38" t="s">
        <v>1057</v>
      </c>
      <c r="B1030" s="38">
        <v>170150176012001</v>
      </c>
    </row>
    <row r="1031" spans="1:2" ht="12.75" customHeight="1" x14ac:dyDescent="0.2">
      <c r="A1031" s="38" t="s">
        <v>1053</v>
      </c>
      <c r="B1031" s="38">
        <v>170180003005001</v>
      </c>
    </row>
    <row r="1032" spans="1:2" ht="12.75" customHeight="1" x14ac:dyDescent="0.2">
      <c r="A1032" s="38" t="s">
        <v>1053</v>
      </c>
      <c r="B1032" s="38">
        <v>170180003005002</v>
      </c>
    </row>
    <row r="1033" spans="1:2" ht="12.75" customHeight="1" x14ac:dyDescent="0.2">
      <c r="A1033" s="38" t="s">
        <v>1053</v>
      </c>
      <c r="B1033" s="38">
        <v>170180003005005</v>
      </c>
    </row>
    <row r="1034" spans="1:2" ht="12.75" customHeight="1" x14ac:dyDescent="0.2">
      <c r="A1034" s="38" t="s">
        <v>1053</v>
      </c>
      <c r="B1034" s="38">
        <v>170180003005004</v>
      </c>
    </row>
    <row r="1035" spans="1:2" ht="12.75" customHeight="1" x14ac:dyDescent="0.2">
      <c r="A1035" s="38" t="s">
        <v>1053</v>
      </c>
      <c r="B1035" s="38">
        <v>170180003005006</v>
      </c>
    </row>
    <row r="1036" spans="1:2" ht="12.75" customHeight="1" x14ac:dyDescent="0.2">
      <c r="A1036" s="38" t="s">
        <v>1046</v>
      </c>
      <c r="B1036" s="38">
        <v>170150011007004</v>
      </c>
    </row>
    <row r="1037" spans="1:2" ht="12.75" customHeight="1" x14ac:dyDescent="0.2">
      <c r="A1037" s="38" t="s">
        <v>1050</v>
      </c>
      <c r="B1037" s="38">
        <v>170175001002009</v>
      </c>
    </row>
    <row r="1038" spans="1:2" ht="12.75" customHeight="1" x14ac:dyDescent="0.2">
      <c r="A1038" s="38" t="s">
        <v>1050</v>
      </c>
      <c r="B1038" s="38">
        <v>170175001002002</v>
      </c>
    </row>
    <row r="1039" spans="1:2" ht="12.75" customHeight="1" x14ac:dyDescent="0.2">
      <c r="A1039" s="38" t="s">
        <v>1050</v>
      </c>
      <c r="B1039" s="38">
        <v>170175001002003</v>
      </c>
    </row>
    <row r="1040" spans="1:2" ht="12.75" customHeight="1" x14ac:dyDescent="0.2">
      <c r="A1040" s="38" t="s">
        <v>1050</v>
      </c>
      <c r="B1040" s="38">
        <v>170175001002010</v>
      </c>
    </row>
    <row r="1041" spans="1:2" ht="12.75" customHeight="1" x14ac:dyDescent="0.2">
      <c r="A1041" s="38" t="s">
        <v>1049</v>
      </c>
      <c r="B1041" s="38">
        <v>170150047007001</v>
      </c>
    </row>
    <row r="1042" spans="1:2" ht="12.75" customHeight="1" x14ac:dyDescent="0.2">
      <c r="A1042" s="38" t="s">
        <v>1049</v>
      </c>
      <c r="B1042" s="38">
        <v>170150047007004</v>
      </c>
    </row>
    <row r="1043" spans="1:2" ht="12.75" customHeight="1" x14ac:dyDescent="0.2">
      <c r="A1043" s="38" t="s">
        <v>1049</v>
      </c>
      <c r="B1043" s="38">
        <v>170150047007003</v>
      </c>
    </row>
    <row r="1044" spans="1:2" ht="12.75" customHeight="1" x14ac:dyDescent="0.2">
      <c r="A1044" s="38" t="s">
        <v>1052</v>
      </c>
      <c r="B1044" s="38">
        <v>170176001003001</v>
      </c>
    </row>
    <row r="1045" spans="1:2" ht="12.75" customHeight="1" x14ac:dyDescent="0.2">
      <c r="A1045" s="38" t="s">
        <v>1049</v>
      </c>
      <c r="B1045" s="38">
        <v>170177006012001</v>
      </c>
    </row>
    <row r="1046" spans="1:2" ht="12.75" customHeight="1" x14ac:dyDescent="0.2">
      <c r="A1046" s="38" t="s">
        <v>1050</v>
      </c>
      <c r="B1046" s="38">
        <v>170160002002001</v>
      </c>
    </row>
    <row r="1047" spans="1:2" ht="12.75" customHeight="1" x14ac:dyDescent="0.2">
      <c r="A1047" s="38" t="s">
        <v>1050</v>
      </c>
      <c r="B1047" s="38">
        <v>170160002002002</v>
      </c>
    </row>
    <row r="1048" spans="1:2" ht="12.75" customHeight="1" x14ac:dyDescent="0.2">
      <c r="A1048" s="38" t="s">
        <v>1050</v>
      </c>
      <c r="B1048" s="38">
        <v>170160924004005</v>
      </c>
    </row>
    <row r="1049" spans="1:2" ht="12.75" customHeight="1" x14ac:dyDescent="0.2">
      <c r="A1049" s="38" t="s">
        <v>1049</v>
      </c>
      <c r="B1049" s="38">
        <v>170150065007002</v>
      </c>
    </row>
    <row r="1050" spans="1:2" ht="12.75" customHeight="1" x14ac:dyDescent="0.2">
      <c r="A1050" s="38" t="s">
        <v>1049</v>
      </c>
      <c r="B1050" s="38">
        <v>170150065007001</v>
      </c>
    </row>
    <row r="1051" spans="1:2" ht="12.75" customHeight="1" x14ac:dyDescent="0.2">
      <c r="A1051" s="38" t="s">
        <v>1046</v>
      </c>
      <c r="B1051" s="38">
        <v>170150112006002</v>
      </c>
    </row>
    <row r="1052" spans="1:2" ht="12.75" customHeight="1" x14ac:dyDescent="0.2">
      <c r="A1052" s="38" t="s">
        <v>1046</v>
      </c>
      <c r="B1052" s="38">
        <v>170150112006001</v>
      </c>
    </row>
    <row r="1053" spans="1:2" ht="12.75" customHeight="1" x14ac:dyDescent="0.2">
      <c r="A1053" s="38" t="s">
        <v>1052</v>
      </c>
      <c r="B1053" s="38">
        <v>170156021008001</v>
      </c>
    </row>
    <row r="1054" spans="1:2" ht="12.75" customHeight="1" x14ac:dyDescent="0.2">
      <c r="A1054" s="38" t="s">
        <v>1048</v>
      </c>
      <c r="B1054" s="38">
        <v>170170001007002</v>
      </c>
    </row>
    <row r="1055" spans="1:2" ht="12.75" customHeight="1" x14ac:dyDescent="0.2">
      <c r="A1055" s="38" t="s">
        <v>1048</v>
      </c>
      <c r="B1055" s="38">
        <v>170170001007001</v>
      </c>
    </row>
    <row r="1056" spans="1:2" ht="12.75" customHeight="1" x14ac:dyDescent="0.2">
      <c r="A1056" s="38" t="s">
        <v>1048</v>
      </c>
      <c r="B1056" s="38">
        <v>170170001007004</v>
      </c>
    </row>
    <row r="1057" spans="1:2" ht="12.75" customHeight="1" x14ac:dyDescent="0.2">
      <c r="A1057" s="38" t="s">
        <v>1048</v>
      </c>
      <c r="B1057" s="38">
        <v>170170001007003</v>
      </c>
    </row>
    <row r="1058" spans="1:2" ht="12.75" customHeight="1" x14ac:dyDescent="0.2">
      <c r="A1058" s="38" t="s">
        <v>1050</v>
      </c>
      <c r="B1058" s="38">
        <v>170184011007002</v>
      </c>
    </row>
    <row r="1059" spans="1:2" ht="12.75" customHeight="1" x14ac:dyDescent="0.2">
      <c r="A1059" s="38" t="s">
        <v>1050</v>
      </c>
      <c r="B1059" s="38">
        <v>170184011007001</v>
      </c>
    </row>
    <row r="1060" spans="1:2" ht="12.75" customHeight="1" x14ac:dyDescent="0.2">
      <c r="A1060" s="38" t="s">
        <v>1052</v>
      </c>
      <c r="B1060" s="38">
        <v>170150192004002</v>
      </c>
    </row>
    <row r="1061" spans="1:2" ht="12.75" customHeight="1" x14ac:dyDescent="0.2">
      <c r="A1061" s="38" t="s">
        <v>1055</v>
      </c>
      <c r="B1061" s="38">
        <v>170150234004001</v>
      </c>
    </row>
    <row r="1062" spans="1:2" ht="12.75" customHeight="1" x14ac:dyDescent="0.2">
      <c r="A1062" s="38" t="s">
        <v>1047</v>
      </c>
      <c r="B1062" s="38">
        <v>170180001005005</v>
      </c>
    </row>
    <row r="1063" spans="1:2" ht="12.75" customHeight="1" x14ac:dyDescent="0.2">
      <c r="A1063" s="38" t="s">
        <v>1047</v>
      </c>
      <c r="B1063" s="38">
        <v>170180001005004</v>
      </c>
    </row>
    <row r="1064" spans="1:2" ht="12.75" customHeight="1" x14ac:dyDescent="0.2">
      <c r="A1064" s="38" t="s">
        <v>1047</v>
      </c>
      <c r="B1064" s="38">
        <v>170180001005001</v>
      </c>
    </row>
    <row r="1065" spans="1:2" ht="12.75" customHeight="1" x14ac:dyDescent="0.2">
      <c r="A1065" s="38" t="s">
        <v>1051</v>
      </c>
      <c r="B1065" s="38">
        <v>170150039005001</v>
      </c>
    </row>
    <row r="1066" spans="1:2" ht="12.75" customHeight="1" x14ac:dyDescent="0.2">
      <c r="A1066" s="38" t="s">
        <v>1047</v>
      </c>
      <c r="B1066" s="38">
        <v>170177906002002</v>
      </c>
    </row>
    <row r="1067" spans="1:2" ht="12.75" customHeight="1" x14ac:dyDescent="0.2">
      <c r="A1067" s="38" t="s">
        <v>1047</v>
      </c>
      <c r="B1067" s="38">
        <v>170177906002001</v>
      </c>
    </row>
    <row r="1068" spans="1:2" ht="12.75" customHeight="1" x14ac:dyDescent="0.2">
      <c r="A1068" s="38" t="s">
        <v>1047</v>
      </c>
      <c r="B1068" s="38">
        <v>170177906002004</v>
      </c>
    </row>
    <row r="1069" spans="1:2" ht="12.75" customHeight="1" x14ac:dyDescent="0.2">
      <c r="A1069" s="38" t="s">
        <v>1047</v>
      </c>
      <c r="B1069" s="38">
        <v>170177906002003</v>
      </c>
    </row>
    <row r="1070" spans="1:2" ht="12.75" customHeight="1" x14ac:dyDescent="0.2">
      <c r="A1070" s="38" t="s">
        <v>1054</v>
      </c>
      <c r="B1070" s="38">
        <v>170179001011002</v>
      </c>
    </row>
    <row r="1071" spans="1:2" ht="12.75" customHeight="1" x14ac:dyDescent="0.2">
      <c r="A1071" s="38" t="s">
        <v>1049</v>
      </c>
      <c r="B1071" s="38">
        <v>170168001001001</v>
      </c>
    </row>
    <row r="1072" spans="1:2" ht="12.75" customHeight="1" x14ac:dyDescent="0.2">
      <c r="A1072" s="38" t="s">
        <v>1054</v>
      </c>
      <c r="B1072" s="38">
        <v>170179001011001</v>
      </c>
    </row>
    <row r="1073" spans="1:2" ht="12.75" customHeight="1" x14ac:dyDescent="0.2">
      <c r="A1073" s="38" t="s">
        <v>1054</v>
      </c>
      <c r="B1073" s="38">
        <v>170179001011004</v>
      </c>
    </row>
    <row r="1074" spans="1:2" ht="12.75" customHeight="1" x14ac:dyDescent="0.2">
      <c r="A1074" s="38" t="s">
        <v>1049</v>
      </c>
      <c r="B1074" s="38">
        <v>170168001001003</v>
      </c>
    </row>
    <row r="1075" spans="1:2" ht="12.75" customHeight="1" x14ac:dyDescent="0.2">
      <c r="A1075" s="38" t="s">
        <v>1054</v>
      </c>
      <c r="B1075" s="38">
        <v>170179001011003</v>
      </c>
    </row>
    <row r="1076" spans="1:2" ht="12.75" customHeight="1" x14ac:dyDescent="0.2">
      <c r="A1076" s="38" t="s">
        <v>1046</v>
      </c>
      <c r="B1076" s="38">
        <v>170150095001001</v>
      </c>
    </row>
    <row r="1077" spans="1:2" ht="12.75" customHeight="1" x14ac:dyDescent="0.2">
      <c r="A1077" s="38" t="s">
        <v>1049</v>
      </c>
      <c r="B1077" s="38">
        <v>170168001001002</v>
      </c>
    </row>
    <row r="1078" spans="1:2" ht="12.75" customHeight="1" x14ac:dyDescent="0.2">
      <c r="A1078" s="38" t="s">
        <v>1049</v>
      </c>
      <c r="B1078" s="38">
        <v>170168001001004</v>
      </c>
    </row>
    <row r="1079" spans="1:2" ht="12.75" customHeight="1" x14ac:dyDescent="0.2">
      <c r="A1079" s="38" t="s">
        <v>1052</v>
      </c>
      <c r="B1079" s="38">
        <v>170150189005005</v>
      </c>
    </row>
    <row r="1080" spans="1:2" ht="12.75" customHeight="1" x14ac:dyDescent="0.2">
      <c r="A1080" s="38" t="s">
        <v>1052</v>
      </c>
      <c r="B1080" s="38">
        <v>170150189005004</v>
      </c>
    </row>
    <row r="1081" spans="1:2" ht="12.75" customHeight="1" x14ac:dyDescent="0.2">
      <c r="A1081" s="38" t="s">
        <v>1049</v>
      </c>
      <c r="B1081" s="38">
        <v>170168001001010</v>
      </c>
    </row>
    <row r="1082" spans="1:2" ht="12.75" customHeight="1" x14ac:dyDescent="0.2">
      <c r="A1082" s="38" t="s">
        <v>1052</v>
      </c>
      <c r="B1082" s="38">
        <v>170150189005006</v>
      </c>
    </row>
    <row r="1083" spans="1:2" ht="12.75" customHeight="1" x14ac:dyDescent="0.2">
      <c r="A1083" s="38" t="s">
        <v>1054</v>
      </c>
      <c r="B1083" s="38">
        <v>170150189005001</v>
      </c>
    </row>
    <row r="1084" spans="1:2" ht="12.75" customHeight="1" x14ac:dyDescent="0.2">
      <c r="A1084" s="38" t="s">
        <v>1052</v>
      </c>
      <c r="B1084" s="38">
        <v>170150189005003</v>
      </c>
    </row>
    <row r="1085" spans="1:2" ht="12.75" customHeight="1" x14ac:dyDescent="0.2">
      <c r="A1085" s="38" t="s">
        <v>1052</v>
      </c>
      <c r="B1085" s="38">
        <v>170150189005002</v>
      </c>
    </row>
    <row r="1086" spans="1:2" ht="12.75" customHeight="1" x14ac:dyDescent="0.2">
      <c r="A1086" s="38" t="s">
        <v>1049</v>
      </c>
      <c r="B1086" s="38">
        <v>170168001001011</v>
      </c>
    </row>
    <row r="1087" spans="1:2" ht="12.75" customHeight="1" x14ac:dyDescent="0.2">
      <c r="A1087" s="38" t="s">
        <v>1047</v>
      </c>
      <c r="B1087" s="38">
        <v>170180007011002</v>
      </c>
    </row>
    <row r="1088" spans="1:2" ht="12.75" customHeight="1" x14ac:dyDescent="0.2">
      <c r="A1088" s="38" t="s">
        <v>1053</v>
      </c>
      <c r="B1088" s="38">
        <v>170150096005002</v>
      </c>
    </row>
    <row r="1089" spans="1:2" ht="12.75" customHeight="1" x14ac:dyDescent="0.2">
      <c r="A1089" s="38" t="s">
        <v>1050</v>
      </c>
      <c r="B1089" s="38">
        <v>170157009008002</v>
      </c>
    </row>
    <row r="1090" spans="1:2" ht="12.75" customHeight="1" x14ac:dyDescent="0.2">
      <c r="A1090" s="38" t="s">
        <v>1053</v>
      </c>
      <c r="B1090" s="38">
        <v>170150096005001</v>
      </c>
    </row>
    <row r="1091" spans="1:2" ht="12.75" customHeight="1" x14ac:dyDescent="0.2">
      <c r="A1091" s="38" t="s">
        <v>1053</v>
      </c>
      <c r="B1091" s="38">
        <v>170150096005004</v>
      </c>
    </row>
    <row r="1092" spans="1:2" ht="12.75" customHeight="1" x14ac:dyDescent="0.2">
      <c r="A1092" s="38" t="s">
        <v>1053</v>
      </c>
      <c r="B1092" s="38">
        <v>170150096005003</v>
      </c>
    </row>
    <row r="1093" spans="1:2" ht="12.75" customHeight="1" x14ac:dyDescent="0.2">
      <c r="A1093" s="38" t="s">
        <v>1050</v>
      </c>
      <c r="B1093" s="38">
        <v>170185001002004</v>
      </c>
    </row>
    <row r="1094" spans="1:2" ht="12.75" customHeight="1" x14ac:dyDescent="0.2">
      <c r="A1094" s="38" t="s">
        <v>1050</v>
      </c>
      <c r="B1094" s="38">
        <v>170185001002003</v>
      </c>
    </row>
    <row r="1095" spans="1:2" ht="12.75" customHeight="1" x14ac:dyDescent="0.2">
      <c r="A1095" s="38" t="s">
        <v>1050</v>
      </c>
      <c r="B1095" s="38">
        <v>170184008007001</v>
      </c>
    </row>
    <row r="1096" spans="1:2" ht="12.75" customHeight="1" x14ac:dyDescent="0.2">
      <c r="A1096" s="38" t="s">
        <v>1050</v>
      </c>
      <c r="B1096" s="38">
        <v>170163001005002</v>
      </c>
    </row>
    <row r="1097" spans="1:2" ht="12.75" customHeight="1" x14ac:dyDescent="0.2">
      <c r="A1097" s="38" t="s">
        <v>1054</v>
      </c>
      <c r="B1097" s="38">
        <v>170150153001001</v>
      </c>
    </row>
    <row r="1098" spans="1:2" ht="12.75" customHeight="1" x14ac:dyDescent="0.2">
      <c r="A1098" s="38" t="s">
        <v>1049</v>
      </c>
      <c r="B1098" s="38">
        <v>170150172005001</v>
      </c>
    </row>
    <row r="1099" spans="1:2" ht="12.75" customHeight="1" x14ac:dyDescent="0.2">
      <c r="A1099" s="38" t="s">
        <v>1057</v>
      </c>
      <c r="B1099" s="38">
        <v>170150172005002</v>
      </c>
    </row>
    <row r="1100" spans="1:2" ht="12.75" customHeight="1" x14ac:dyDescent="0.2">
      <c r="A1100" s="38" t="s">
        <v>1046</v>
      </c>
      <c r="B1100" s="38">
        <v>170150169005001</v>
      </c>
    </row>
    <row r="1101" spans="1:2" ht="12.75" customHeight="1" x14ac:dyDescent="0.2">
      <c r="A1101" s="38" t="s">
        <v>1052</v>
      </c>
      <c r="B1101" s="38">
        <v>170150266010001</v>
      </c>
    </row>
    <row r="1102" spans="1:2" ht="12.75" customHeight="1" x14ac:dyDescent="0.2">
      <c r="A1102" s="38" t="s">
        <v>1048</v>
      </c>
      <c r="B1102" s="38">
        <v>170150190005001</v>
      </c>
    </row>
    <row r="1103" spans="1:2" ht="12.75" customHeight="1" x14ac:dyDescent="0.2">
      <c r="A1103" s="38" t="s">
        <v>1050</v>
      </c>
      <c r="B1103" s="38">
        <v>170184015002001</v>
      </c>
    </row>
    <row r="1104" spans="1:2" ht="12.75" customHeight="1" x14ac:dyDescent="0.2">
      <c r="A1104" s="38" t="s">
        <v>1052</v>
      </c>
      <c r="B1104" s="38">
        <v>170156003004002</v>
      </c>
    </row>
    <row r="1105" spans="1:2" ht="12.75" customHeight="1" x14ac:dyDescent="0.2">
      <c r="A1105" s="38" t="s">
        <v>1052</v>
      </c>
      <c r="B1105" s="38">
        <v>170156003004005</v>
      </c>
    </row>
    <row r="1106" spans="1:2" ht="12.75" customHeight="1" x14ac:dyDescent="0.2">
      <c r="A1106" s="38" t="s">
        <v>1052</v>
      </c>
      <c r="B1106" s="38">
        <v>170156003004006</v>
      </c>
    </row>
    <row r="1107" spans="1:2" ht="12.75" customHeight="1" x14ac:dyDescent="0.2">
      <c r="A1107" s="38" t="s">
        <v>1050</v>
      </c>
      <c r="B1107" s="38">
        <v>170183001004005</v>
      </c>
    </row>
    <row r="1108" spans="1:2" ht="12.75" customHeight="1" x14ac:dyDescent="0.2">
      <c r="A1108" s="38" t="s">
        <v>1050</v>
      </c>
      <c r="B1108" s="38">
        <v>170183001004006</v>
      </c>
    </row>
    <row r="1109" spans="1:2" ht="12.75" customHeight="1" x14ac:dyDescent="0.2">
      <c r="A1109" s="38" t="s">
        <v>1050</v>
      </c>
      <c r="B1109" s="38">
        <v>170163004009001</v>
      </c>
    </row>
    <row r="1110" spans="1:2" ht="12.75" customHeight="1" x14ac:dyDescent="0.2">
      <c r="A1110" s="38" t="s">
        <v>1048</v>
      </c>
      <c r="B1110" s="38">
        <v>170165002008002</v>
      </c>
    </row>
    <row r="1111" spans="1:2" ht="12.75" customHeight="1" x14ac:dyDescent="0.2">
      <c r="A1111" s="38" t="s">
        <v>1050</v>
      </c>
      <c r="B1111" s="38">
        <v>170163004009002</v>
      </c>
    </row>
    <row r="1112" spans="1:2" ht="12.75" customHeight="1" x14ac:dyDescent="0.2">
      <c r="A1112" s="38" t="s">
        <v>1052</v>
      </c>
      <c r="B1112" s="38">
        <v>170150226009001</v>
      </c>
    </row>
    <row r="1113" spans="1:2" ht="12.75" customHeight="1" x14ac:dyDescent="0.2">
      <c r="A1113" s="38" t="s">
        <v>1049</v>
      </c>
      <c r="B1113" s="38">
        <v>170150170005001</v>
      </c>
    </row>
    <row r="1114" spans="1:2" ht="12.75" customHeight="1" x14ac:dyDescent="0.2">
      <c r="A1114" s="38" t="s">
        <v>1048</v>
      </c>
      <c r="B1114" s="38">
        <v>170165002008003</v>
      </c>
    </row>
    <row r="1115" spans="1:2" ht="12.75" customHeight="1" x14ac:dyDescent="0.2">
      <c r="A1115" s="38" t="s">
        <v>1047</v>
      </c>
      <c r="B1115" s="38">
        <v>170150040008002</v>
      </c>
    </row>
    <row r="1116" spans="1:2" ht="12.75" customHeight="1" x14ac:dyDescent="0.2">
      <c r="A1116" s="38" t="s">
        <v>1047</v>
      </c>
      <c r="B1116" s="38">
        <v>170150040008004</v>
      </c>
    </row>
    <row r="1117" spans="1:2" ht="12.75" customHeight="1" x14ac:dyDescent="0.2">
      <c r="A1117" s="38" t="s">
        <v>1047</v>
      </c>
      <c r="B1117" s="38">
        <v>170150040008003</v>
      </c>
    </row>
    <row r="1118" spans="1:2" ht="12.75" customHeight="1" x14ac:dyDescent="0.2">
      <c r="A1118" s="38" t="s">
        <v>1052</v>
      </c>
      <c r="B1118" s="38">
        <v>170156010009002</v>
      </c>
    </row>
    <row r="1119" spans="1:2" ht="12.75" customHeight="1" x14ac:dyDescent="0.2">
      <c r="A1119" s="38" t="s">
        <v>1047</v>
      </c>
      <c r="B1119" s="38">
        <v>170150040008006</v>
      </c>
    </row>
    <row r="1120" spans="1:2" ht="12.75" customHeight="1" x14ac:dyDescent="0.2">
      <c r="A1120" s="38" t="s">
        <v>1047</v>
      </c>
      <c r="B1120" s="38">
        <v>170150040008005</v>
      </c>
    </row>
    <row r="1121" spans="1:2" ht="12.75" customHeight="1" x14ac:dyDescent="0.2">
      <c r="A1121" s="38" t="s">
        <v>1051</v>
      </c>
      <c r="B1121" s="38">
        <v>170150040008008</v>
      </c>
    </row>
    <row r="1122" spans="1:2" ht="12.75" customHeight="1" x14ac:dyDescent="0.2">
      <c r="A1122" s="38" t="s">
        <v>1047</v>
      </c>
      <c r="B1122" s="38">
        <v>170150040008007</v>
      </c>
    </row>
    <row r="1123" spans="1:2" ht="12.75" customHeight="1" x14ac:dyDescent="0.2">
      <c r="A1123" s="38" t="s">
        <v>1051</v>
      </c>
      <c r="B1123" s="38">
        <v>170150040008009</v>
      </c>
    </row>
    <row r="1124" spans="1:2" ht="12.75" customHeight="1" x14ac:dyDescent="0.2">
      <c r="A1124" s="38" t="s">
        <v>1047</v>
      </c>
      <c r="B1124" s="38">
        <v>170150040008011</v>
      </c>
    </row>
    <row r="1125" spans="1:2" ht="12.75" customHeight="1" x14ac:dyDescent="0.2">
      <c r="A1125" s="38" t="s">
        <v>1047</v>
      </c>
      <c r="B1125" s="38">
        <v>170150040008012</v>
      </c>
    </row>
    <row r="1126" spans="1:2" ht="12.75" customHeight="1" x14ac:dyDescent="0.2">
      <c r="A1126" s="38" t="s">
        <v>1051</v>
      </c>
      <c r="B1126" s="38">
        <v>170155046009004</v>
      </c>
    </row>
    <row r="1127" spans="1:2" ht="12.75" customHeight="1" x14ac:dyDescent="0.2">
      <c r="A1127" s="38" t="s">
        <v>1056</v>
      </c>
      <c r="B1127" s="38">
        <v>170150236004001</v>
      </c>
    </row>
    <row r="1128" spans="1:2" ht="12.75" customHeight="1" x14ac:dyDescent="0.2">
      <c r="A1128" s="38" t="s">
        <v>1051</v>
      </c>
      <c r="B1128" s="38">
        <v>170155046009006</v>
      </c>
    </row>
    <row r="1129" spans="1:2" ht="12.75" customHeight="1" x14ac:dyDescent="0.2">
      <c r="A1129" s="38" t="s">
        <v>1051</v>
      </c>
      <c r="B1129" s="38">
        <v>170155046009005</v>
      </c>
    </row>
    <row r="1130" spans="1:2" ht="12.75" customHeight="1" x14ac:dyDescent="0.2">
      <c r="A1130" s="38" t="s">
        <v>1047</v>
      </c>
      <c r="B1130" s="38">
        <v>170155046009007</v>
      </c>
    </row>
    <row r="1131" spans="1:2" ht="12.75" customHeight="1" x14ac:dyDescent="0.2">
      <c r="A1131" s="38" t="s">
        <v>1050</v>
      </c>
      <c r="B1131" s="38">
        <v>170159002007002</v>
      </c>
    </row>
    <row r="1132" spans="1:2" ht="12.75" customHeight="1" x14ac:dyDescent="0.2">
      <c r="A1132" s="38" t="s">
        <v>1050</v>
      </c>
      <c r="B1132" s="38">
        <v>170159002007001</v>
      </c>
    </row>
    <row r="1133" spans="1:2" ht="12.75" customHeight="1" x14ac:dyDescent="0.2">
      <c r="A1133" s="38" t="s">
        <v>1050</v>
      </c>
      <c r="B1133" s="38">
        <v>170159002007003</v>
      </c>
    </row>
    <row r="1134" spans="1:2" ht="12.75" customHeight="1" x14ac:dyDescent="0.2">
      <c r="A1134" s="38" t="s">
        <v>1050</v>
      </c>
      <c r="B1134" s="38">
        <v>170159002007006</v>
      </c>
    </row>
    <row r="1135" spans="1:2" ht="12.75" customHeight="1" x14ac:dyDescent="0.2">
      <c r="A1135" s="38" t="s">
        <v>1052</v>
      </c>
      <c r="B1135" s="38">
        <v>170156014002001</v>
      </c>
    </row>
    <row r="1136" spans="1:2" ht="12.75" customHeight="1" x14ac:dyDescent="0.2">
      <c r="A1136" s="38" t="s">
        <v>1052</v>
      </c>
      <c r="B1136" s="38">
        <v>170156014002005</v>
      </c>
    </row>
    <row r="1137" spans="1:2" ht="12.75" customHeight="1" x14ac:dyDescent="0.2">
      <c r="A1137" s="38" t="s">
        <v>1050</v>
      </c>
      <c r="B1137" s="38">
        <v>170184011006001</v>
      </c>
    </row>
    <row r="1138" spans="1:2" ht="12.75" customHeight="1" x14ac:dyDescent="0.2">
      <c r="A1138" s="38" t="s">
        <v>1054</v>
      </c>
      <c r="B1138" s="38">
        <v>170150150005001</v>
      </c>
    </row>
    <row r="1139" spans="1:2" ht="12.75" customHeight="1" x14ac:dyDescent="0.2">
      <c r="A1139" s="38" t="s">
        <v>1051</v>
      </c>
      <c r="B1139" s="38">
        <v>170150087006001</v>
      </c>
    </row>
    <row r="1140" spans="1:2" ht="12.75" customHeight="1" x14ac:dyDescent="0.2">
      <c r="A1140" s="38" t="s">
        <v>1047</v>
      </c>
      <c r="B1140" s="38">
        <v>170150034006009</v>
      </c>
    </row>
    <row r="1141" spans="1:2" ht="12.75" customHeight="1" x14ac:dyDescent="0.2">
      <c r="A1141" s="38" t="s">
        <v>1054</v>
      </c>
      <c r="B1141" s="38">
        <v>170150151001002</v>
      </c>
    </row>
    <row r="1142" spans="1:2" ht="12.75" customHeight="1" x14ac:dyDescent="0.2">
      <c r="A1142" s="38" t="s">
        <v>1054</v>
      </c>
      <c r="B1142" s="38">
        <v>170150151001001</v>
      </c>
    </row>
    <row r="1143" spans="1:2" ht="12.75" customHeight="1" x14ac:dyDescent="0.2">
      <c r="A1143" s="38" t="s">
        <v>1047</v>
      </c>
      <c r="B1143" s="38">
        <v>170150034006012</v>
      </c>
    </row>
    <row r="1144" spans="1:2" ht="12.75" customHeight="1" x14ac:dyDescent="0.2">
      <c r="A1144" s="38" t="s">
        <v>1047</v>
      </c>
      <c r="B1144" s="38">
        <v>170150034006014</v>
      </c>
    </row>
    <row r="1145" spans="1:2" ht="12.75" customHeight="1" x14ac:dyDescent="0.2">
      <c r="A1145" s="38" t="s">
        <v>1047</v>
      </c>
      <c r="B1145" s="38">
        <v>170150034006013</v>
      </c>
    </row>
    <row r="1146" spans="1:2" ht="12.75" customHeight="1" x14ac:dyDescent="0.2">
      <c r="A1146" s="38" t="s">
        <v>1059</v>
      </c>
      <c r="B1146" s="38">
        <v>170169001001002</v>
      </c>
    </row>
    <row r="1147" spans="1:2" ht="12.75" customHeight="1" x14ac:dyDescent="0.2">
      <c r="A1147" s="38" t="s">
        <v>1059</v>
      </c>
      <c r="B1147" s="38">
        <v>170169001001001</v>
      </c>
    </row>
    <row r="1148" spans="1:2" ht="12.75" customHeight="1" x14ac:dyDescent="0.2">
      <c r="A1148" s="38" t="s">
        <v>1047</v>
      </c>
      <c r="B1148" s="38">
        <v>170169001001004</v>
      </c>
    </row>
    <row r="1149" spans="1:2" ht="12.75" customHeight="1" x14ac:dyDescent="0.2">
      <c r="A1149" s="38" t="s">
        <v>1047</v>
      </c>
      <c r="B1149" s="38">
        <v>170169001001003</v>
      </c>
    </row>
    <row r="1150" spans="1:2" ht="12.75" customHeight="1" x14ac:dyDescent="0.2">
      <c r="A1150" s="38" t="s">
        <v>1047</v>
      </c>
      <c r="B1150" s="38">
        <v>170169001001005</v>
      </c>
    </row>
    <row r="1151" spans="1:2" ht="12.75" customHeight="1" x14ac:dyDescent="0.2">
      <c r="A1151" s="38" t="s">
        <v>1049</v>
      </c>
      <c r="B1151" s="38">
        <v>170150091005001</v>
      </c>
    </row>
    <row r="1152" spans="1:2" ht="12.75" customHeight="1" x14ac:dyDescent="0.2">
      <c r="A1152" s="38" t="s">
        <v>1050</v>
      </c>
      <c r="B1152" s="38">
        <v>170160003005004</v>
      </c>
    </row>
    <row r="1153" spans="1:2" ht="12.75" customHeight="1" x14ac:dyDescent="0.2">
      <c r="A1153" s="38" t="s">
        <v>1046</v>
      </c>
      <c r="B1153" s="38">
        <v>170150052002005</v>
      </c>
    </row>
    <row r="1154" spans="1:2" ht="12.75" customHeight="1" x14ac:dyDescent="0.2">
      <c r="A1154" s="38" t="s">
        <v>1046</v>
      </c>
      <c r="B1154" s="38">
        <v>170150052002004</v>
      </c>
    </row>
    <row r="1155" spans="1:2" ht="12.75" customHeight="1" x14ac:dyDescent="0.2">
      <c r="A1155" s="38" t="s">
        <v>1050</v>
      </c>
      <c r="B1155" s="38">
        <v>170184007007003</v>
      </c>
    </row>
    <row r="1156" spans="1:2" ht="12.75" customHeight="1" x14ac:dyDescent="0.2">
      <c r="A1156" s="38" t="s">
        <v>1050</v>
      </c>
      <c r="B1156" s="38">
        <v>170184007007002</v>
      </c>
    </row>
    <row r="1157" spans="1:2" ht="12.75" customHeight="1" x14ac:dyDescent="0.2">
      <c r="A1157" s="38" t="s">
        <v>1047</v>
      </c>
      <c r="B1157" s="38">
        <v>170154001009002</v>
      </c>
    </row>
    <row r="1158" spans="1:2" ht="12.75" customHeight="1" x14ac:dyDescent="0.2">
      <c r="A1158" s="38" t="s">
        <v>1047</v>
      </c>
      <c r="B1158" s="38">
        <v>170154001009001</v>
      </c>
    </row>
    <row r="1159" spans="1:2" ht="12.75" customHeight="1" x14ac:dyDescent="0.2">
      <c r="A1159" s="38" t="s">
        <v>1047</v>
      </c>
      <c r="B1159" s="38">
        <v>170154001009003</v>
      </c>
    </row>
    <row r="1160" spans="1:2" ht="12.75" customHeight="1" x14ac:dyDescent="0.2">
      <c r="A1160" s="38" t="s">
        <v>1052</v>
      </c>
      <c r="B1160" s="38">
        <v>170150197003001</v>
      </c>
    </row>
    <row r="1161" spans="1:2" ht="12.75" customHeight="1" x14ac:dyDescent="0.2">
      <c r="A1161" s="38" t="s">
        <v>1050</v>
      </c>
      <c r="B1161" s="38">
        <v>170184007007001</v>
      </c>
    </row>
    <row r="1162" spans="1:2" ht="12.75" customHeight="1" x14ac:dyDescent="0.2">
      <c r="A1162" s="38" t="s">
        <v>1046</v>
      </c>
      <c r="B1162" s="38">
        <v>170150144006001</v>
      </c>
    </row>
    <row r="1163" spans="1:2" ht="12.75" customHeight="1" x14ac:dyDescent="0.2">
      <c r="A1163" s="38" t="s">
        <v>1049</v>
      </c>
      <c r="B1163" s="38">
        <v>170150146006004</v>
      </c>
    </row>
    <row r="1164" spans="1:2" ht="12.75" customHeight="1" x14ac:dyDescent="0.2">
      <c r="A1164" s="38" t="s">
        <v>1046</v>
      </c>
      <c r="B1164" s="38">
        <v>170150169004001</v>
      </c>
    </row>
    <row r="1165" spans="1:2" ht="12.75" customHeight="1" x14ac:dyDescent="0.2">
      <c r="A1165" s="38" t="s">
        <v>1049</v>
      </c>
      <c r="B1165" s="38">
        <v>170150146006001</v>
      </c>
    </row>
    <row r="1166" spans="1:2" ht="12.75" customHeight="1" x14ac:dyDescent="0.2">
      <c r="A1166" s="38" t="s">
        <v>1049</v>
      </c>
      <c r="B1166" s="38">
        <v>170150146006003</v>
      </c>
    </row>
    <row r="1167" spans="1:2" ht="12.75" customHeight="1" x14ac:dyDescent="0.2">
      <c r="A1167" s="38" t="s">
        <v>1049</v>
      </c>
      <c r="B1167" s="38">
        <v>170150146006002</v>
      </c>
    </row>
    <row r="1168" spans="1:2" ht="12.75" customHeight="1" x14ac:dyDescent="0.2">
      <c r="A1168" s="38" t="s">
        <v>1049</v>
      </c>
      <c r="B1168" s="38">
        <v>170150158003003</v>
      </c>
    </row>
    <row r="1169" spans="1:2" ht="12.75" customHeight="1" x14ac:dyDescent="0.2">
      <c r="A1169" s="38" t="s">
        <v>1049</v>
      </c>
      <c r="B1169" s="38">
        <v>170150158003002</v>
      </c>
    </row>
    <row r="1170" spans="1:2" ht="12.75" customHeight="1" x14ac:dyDescent="0.2">
      <c r="A1170" s="38" t="s">
        <v>1049</v>
      </c>
      <c r="B1170" s="38">
        <v>170150158003004</v>
      </c>
    </row>
    <row r="1171" spans="1:2" ht="12.75" customHeight="1" x14ac:dyDescent="0.2">
      <c r="A1171" s="38" t="s">
        <v>1052</v>
      </c>
      <c r="B1171" s="38">
        <v>170150222006002</v>
      </c>
    </row>
    <row r="1172" spans="1:2" ht="12.75" customHeight="1" x14ac:dyDescent="0.2">
      <c r="A1172" s="38" t="s">
        <v>1052</v>
      </c>
      <c r="B1172" s="38">
        <v>170150222006001</v>
      </c>
    </row>
    <row r="1173" spans="1:2" ht="12.75" customHeight="1" x14ac:dyDescent="0.2">
      <c r="A1173" s="38" t="s">
        <v>1052</v>
      </c>
      <c r="B1173" s="38">
        <v>170150222006004</v>
      </c>
    </row>
    <row r="1174" spans="1:2" ht="12.75" customHeight="1" x14ac:dyDescent="0.2">
      <c r="A1174" s="38" t="s">
        <v>1052</v>
      </c>
      <c r="B1174" s="38">
        <v>170150222006003</v>
      </c>
    </row>
    <row r="1175" spans="1:2" ht="12.75" customHeight="1" x14ac:dyDescent="0.2">
      <c r="A1175" s="38" t="s">
        <v>1047</v>
      </c>
      <c r="B1175" s="38">
        <v>170177002006001</v>
      </c>
    </row>
    <row r="1176" spans="1:2" ht="12.75" customHeight="1" x14ac:dyDescent="0.2">
      <c r="A1176" s="38" t="s">
        <v>1049</v>
      </c>
      <c r="B1176" s="38">
        <v>170150106006001</v>
      </c>
    </row>
    <row r="1177" spans="1:2" ht="12.75" customHeight="1" x14ac:dyDescent="0.2">
      <c r="A1177" s="38" t="s">
        <v>1049</v>
      </c>
      <c r="B1177" s="38">
        <v>170150106006003</v>
      </c>
    </row>
    <row r="1178" spans="1:2" ht="12.75" customHeight="1" x14ac:dyDescent="0.2">
      <c r="A1178" s="38" t="s">
        <v>1049</v>
      </c>
      <c r="B1178" s="38">
        <v>170150106006002</v>
      </c>
    </row>
    <row r="1179" spans="1:2" ht="12.75" customHeight="1" x14ac:dyDescent="0.2">
      <c r="A1179" s="38" t="s">
        <v>1053</v>
      </c>
      <c r="B1179" s="38">
        <v>170180003004002</v>
      </c>
    </row>
    <row r="1180" spans="1:2" ht="12.75" customHeight="1" x14ac:dyDescent="0.2">
      <c r="A1180" s="38" t="s">
        <v>1046</v>
      </c>
      <c r="B1180" s="38">
        <v>170150181006001</v>
      </c>
    </row>
    <row r="1181" spans="1:2" ht="12.75" customHeight="1" x14ac:dyDescent="0.2">
      <c r="A1181" s="38" t="s">
        <v>1053</v>
      </c>
      <c r="B1181" s="38">
        <v>170180003004008</v>
      </c>
    </row>
    <row r="1182" spans="1:2" ht="12.75" customHeight="1" x14ac:dyDescent="0.2">
      <c r="A1182" s="38" t="s">
        <v>1054</v>
      </c>
      <c r="B1182" s="38">
        <v>170175001001004</v>
      </c>
    </row>
    <row r="1183" spans="1:2" ht="12.75" customHeight="1" x14ac:dyDescent="0.2">
      <c r="A1183" s="38" t="s">
        <v>1054</v>
      </c>
      <c r="B1183" s="38">
        <v>170175001001001</v>
      </c>
    </row>
    <row r="1184" spans="1:2" ht="12.75" customHeight="1" x14ac:dyDescent="0.2">
      <c r="A1184" s="38" t="s">
        <v>1054</v>
      </c>
      <c r="B1184" s="38">
        <v>170175001001003</v>
      </c>
    </row>
    <row r="1185" spans="1:2" ht="12.75" customHeight="1" x14ac:dyDescent="0.2">
      <c r="A1185" s="38" t="s">
        <v>1054</v>
      </c>
      <c r="B1185" s="38">
        <v>170175001001002</v>
      </c>
    </row>
    <row r="1186" spans="1:2" ht="12.75" customHeight="1" x14ac:dyDescent="0.2">
      <c r="A1186" s="38" t="s">
        <v>1052</v>
      </c>
      <c r="B1186" s="38">
        <v>170150228005003</v>
      </c>
    </row>
    <row r="1187" spans="1:2" ht="12.75" customHeight="1" x14ac:dyDescent="0.2">
      <c r="A1187" s="38" t="s">
        <v>1046</v>
      </c>
      <c r="B1187" s="38">
        <v>170150011006002</v>
      </c>
    </row>
    <row r="1188" spans="1:2" ht="12.75" customHeight="1" x14ac:dyDescent="0.2">
      <c r="A1188" s="38" t="s">
        <v>1046</v>
      </c>
      <c r="B1188" s="38">
        <v>170150011006001</v>
      </c>
    </row>
    <row r="1189" spans="1:2" ht="12.75" customHeight="1" x14ac:dyDescent="0.2">
      <c r="A1189" s="38" t="s">
        <v>1046</v>
      </c>
      <c r="B1189" s="38">
        <v>170150011006003</v>
      </c>
    </row>
    <row r="1190" spans="1:2" ht="12.75" customHeight="1" x14ac:dyDescent="0.2">
      <c r="A1190" s="38" t="s">
        <v>1054</v>
      </c>
      <c r="B1190" s="38">
        <v>170150138004001</v>
      </c>
    </row>
    <row r="1191" spans="1:2" ht="12.75" customHeight="1" x14ac:dyDescent="0.2">
      <c r="A1191" s="38" t="s">
        <v>1054</v>
      </c>
      <c r="B1191" s="38">
        <v>170150138004003</v>
      </c>
    </row>
    <row r="1192" spans="1:2" ht="12.75" customHeight="1" x14ac:dyDescent="0.2">
      <c r="A1192" s="38" t="s">
        <v>1051</v>
      </c>
      <c r="B1192" s="38">
        <v>170155001011001</v>
      </c>
    </row>
    <row r="1193" spans="1:2" ht="12.75" customHeight="1" x14ac:dyDescent="0.2">
      <c r="A1193" s="38" t="s">
        <v>1049</v>
      </c>
      <c r="B1193" s="38">
        <v>170177006011003</v>
      </c>
    </row>
    <row r="1194" spans="1:2" ht="12.75" customHeight="1" x14ac:dyDescent="0.2">
      <c r="A1194" s="38" t="s">
        <v>1049</v>
      </c>
      <c r="B1194" s="38">
        <v>170177006011002</v>
      </c>
    </row>
    <row r="1195" spans="1:2" ht="12.75" customHeight="1" x14ac:dyDescent="0.2">
      <c r="A1195" s="38" t="s">
        <v>1051</v>
      </c>
      <c r="B1195" s="38">
        <v>170150113005004</v>
      </c>
    </row>
    <row r="1196" spans="1:2" ht="12.75" customHeight="1" x14ac:dyDescent="0.2">
      <c r="A1196" s="38" t="s">
        <v>1051</v>
      </c>
      <c r="B1196" s="38">
        <v>170150113005003</v>
      </c>
    </row>
    <row r="1197" spans="1:2" ht="12.75" customHeight="1" x14ac:dyDescent="0.2">
      <c r="A1197" s="38" t="s">
        <v>1049</v>
      </c>
      <c r="B1197" s="38">
        <v>170150113005006</v>
      </c>
    </row>
    <row r="1198" spans="1:2" ht="12.75" customHeight="1" x14ac:dyDescent="0.2">
      <c r="A1198" s="38" t="s">
        <v>1051</v>
      </c>
      <c r="B1198" s="38">
        <v>170150113005005</v>
      </c>
    </row>
    <row r="1199" spans="1:2" ht="12.75" customHeight="1" x14ac:dyDescent="0.2">
      <c r="A1199" s="38" t="s">
        <v>1049</v>
      </c>
      <c r="B1199" s="38">
        <v>170150113005008</v>
      </c>
    </row>
    <row r="1200" spans="1:2" ht="12.75" customHeight="1" x14ac:dyDescent="0.2">
      <c r="A1200" s="38" t="s">
        <v>1049</v>
      </c>
      <c r="B1200" s="38">
        <v>170150113005007</v>
      </c>
    </row>
    <row r="1201" spans="1:2" ht="12.75" customHeight="1" x14ac:dyDescent="0.2">
      <c r="A1201" s="38" t="s">
        <v>1051</v>
      </c>
      <c r="B1201" s="38">
        <v>170150113005002</v>
      </c>
    </row>
    <row r="1202" spans="1:2" ht="12.75" customHeight="1" x14ac:dyDescent="0.2">
      <c r="A1202" s="38" t="s">
        <v>1053</v>
      </c>
      <c r="B1202" s="38">
        <v>170150065006002</v>
      </c>
    </row>
    <row r="1203" spans="1:2" ht="12.75" customHeight="1" x14ac:dyDescent="0.2">
      <c r="A1203" s="38" t="s">
        <v>1047</v>
      </c>
      <c r="B1203" s="38">
        <v>170180009002001</v>
      </c>
    </row>
    <row r="1204" spans="1:2" ht="12.75" customHeight="1" x14ac:dyDescent="0.2">
      <c r="A1204" s="38" t="s">
        <v>1048</v>
      </c>
      <c r="B1204" s="38">
        <v>170150136012001</v>
      </c>
    </row>
    <row r="1205" spans="1:2" ht="12.75" customHeight="1" x14ac:dyDescent="0.2">
      <c r="A1205" s="38" t="s">
        <v>1051</v>
      </c>
      <c r="B1205" s="38">
        <v>170155035007004</v>
      </c>
    </row>
    <row r="1206" spans="1:2" ht="12.75" customHeight="1" x14ac:dyDescent="0.2">
      <c r="A1206" s="38" t="s">
        <v>1047</v>
      </c>
      <c r="B1206" s="38">
        <v>170155035007005</v>
      </c>
    </row>
    <row r="1207" spans="1:2" ht="12.75" customHeight="1" x14ac:dyDescent="0.2">
      <c r="A1207" s="38" t="s">
        <v>1050</v>
      </c>
      <c r="B1207" s="38">
        <v>170160001001001</v>
      </c>
    </row>
    <row r="1208" spans="1:2" ht="12.75" customHeight="1" x14ac:dyDescent="0.2">
      <c r="A1208" s="38" t="s">
        <v>1050</v>
      </c>
      <c r="B1208" s="38">
        <v>170160001001002</v>
      </c>
    </row>
    <row r="1209" spans="1:2" ht="12.75" customHeight="1" x14ac:dyDescent="0.2">
      <c r="A1209" s="38" t="s">
        <v>1052</v>
      </c>
      <c r="B1209" s="38">
        <v>170176001002001</v>
      </c>
    </row>
    <row r="1210" spans="1:2" ht="12.75" customHeight="1" x14ac:dyDescent="0.2">
      <c r="A1210" s="38" t="s">
        <v>1052</v>
      </c>
      <c r="B1210" s="38">
        <v>170176001002002</v>
      </c>
    </row>
    <row r="1211" spans="1:2" ht="12.75" customHeight="1" x14ac:dyDescent="0.2">
      <c r="A1211" s="38" t="s">
        <v>1050</v>
      </c>
      <c r="B1211" s="38">
        <v>170150189004004</v>
      </c>
    </row>
    <row r="1212" spans="1:2" ht="12.75" customHeight="1" x14ac:dyDescent="0.2">
      <c r="A1212" s="38" t="s">
        <v>1050</v>
      </c>
      <c r="B1212" s="38">
        <v>170150189004003</v>
      </c>
    </row>
    <row r="1213" spans="1:2" ht="12.75" customHeight="1" x14ac:dyDescent="0.2">
      <c r="A1213" s="38" t="s">
        <v>1050</v>
      </c>
      <c r="B1213" s="38">
        <v>170150189004006</v>
      </c>
    </row>
    <row r="1214" spans="1:2" ht="12.75" customHeight="1" x14ac:dyDescent="0.2">
      <c r="A1214" s="38" t="s">
        <v>1050</v>
      </c>
      <c r="B1214" s="38">
        <v>170150189004005</v>
      </c>
    </row>
    <row r="1215" spans="1:2" ht="12.75" customHeight="1" x14ac:dyDescent="0.2">
      <c r="A1215" s="38" t="s">
        <v>1054</v>
      </c>
      <c r="B1215" s="38">
        <v>170150189004008</v>
      </c>
    </row>
    <row r="1216" spans="1:2" ht="12.75" customHeight="1" x14ac:dyDescent="0.2">
      <c r="A1216" s="38" t="s">
        <v>1050</v>
      </c>
      <c r="B1216" s="38">
        <v>170150189004007</v>
      </c>
    </row>
    <row r="1217" spans="1:2" ht="12.75" customHeight="1" x14ac:dyDescent="0.2">
      <c r="A1217" s="38" t="s">
        <v>1052</v>
      </c>
      <c r="B1217" s="38">
        <v>170150189004009</v>
      </c>
    </row>
    <row r="1218" spans="1:2" ht="12.75" customHeight="1" x14ac:dyDescent="0.2">
      <c r="A1218" s="38" t="s">
        <v>1048</v>
      </c>
      <c r="B1218" s="38">
        <v>170150189004002</v>
      </c>
    </row>
    <row r="1219" spans="1:2" ht="12.75" customHeight="1" x14ac:dyDescent="0.2">
      <c r="A1219" s="38" t="s">
        <v>1048</v>
      </c>
      <c r="B1219" s="38">
        <v>170150189004001</v>
      </c>
    </row>
    <row r="1220" spans="1:2" ht="12.75" customHeight="1" x14ac:dyDescent="0.2">
      <c r="A1220" s="38" t="s">
        <v>1047</v>
      </c>
      <c r="B1220" s="38">
        <v>170180007010001</v>
      </c>
    </row>
    <row r="1221" spans="1:2" ht="12.75" customHeight="1" x14ac:dyDescent="0.2">
      <c r="A1221" s="38" t="s">
        <v>1047</v>
      </c>
      <c r="B1221" s="38">
        <v>170180007010002</v>
      </c>
    </row>
    <row r="1222" spans="1:2" ht="12.75" customHeight="1" x14ac:dyDescent="0.2">
      <c r="A1222" s="38" t="s">
        <v>1051</v>
      </c>
      <c r="B1222" s="38">
        <v>170150039004004</v>
      </c>
    </row>
    <row r="1223" spans="1:2" ht="12.75" customHeight="1" x14ac:dyDescent="0.2">
      <c r="A1223" s="38" t="s">
        <v>1054</v>
      </c>
      <c r="B1223" s="38">
        <v>170179001010001</v>
      </c>
    </row>
    <row r="1224" spans="1:2" ht="12.75" customHeight="1" x14ac:dyDescent="0.2">
      <c r="A1224" s="38" t="s">
        <v>1054</v>
      </c>
      <c r="B1224" s="38">
        <v>170179001010002</v>
      </c>
    </row>
    <row r="1225" spans="1:2" ht="12.75" customHeight="1" x14ac:dyDescent="0.2">
      <c r="A1225" s="38" t="s">
        <v>1054</v>
      </c>
      <c r="B1225" s="38">
        <v>170179001010005</v>
      </c>
    </row>
    <row r="1226" spans="1:2" ht="12.75" customHeight="1" x14ac:dyDescent="0.2">
      <c r="A1226" s="38" t="s">
        <v>1054</v>
      </c>
      <c r="B1226" s="38">
        <v>170179001010004</v>
      </c>
    </row>
    <row r="1227" spans="1:2" ht="12.75" customHeight="1" x14ac:dyDescent="0.2">
      <c r="A1227" s="38" t="s">
        <v>1050</v>
      </c>
      <c r="B1227" s="38">
        <v>170185001001003</v>
      </c>
    </row>
    <row r="1228" spans="1:2" ht="12.75" customHeight="1" x14ac:dyDescent="0.2">
      <c r="A1228" s="38" t="s">
        <v>1050</v>
      </c>
      <c r="B1228" s="38">
        <v>170185001001002</v>
      </c>
    </row>
    <row r="1229" spans="1:2" ht="12.75" customHeight="1" x14ac:dyDescent="0.2">
      <c r="A1229" s="38" t="s">
        <v>1050</v>
      </c>
      <c r="B1229" s="38">
        <v>170185001001001</v>
      </c>
    </row>
    <row r="1230" spans="1:2" ht="12.75" customHeight="1" x14ac:dyDescent="0.2">
      <c r="A1230" s="38" t="s">
        <v>1054</v>
      </c>
      <c r="B1230" s="38">
        <v>170150189004011</v>
      </c>
    </row>
    <row r="1231" spans="1:2" ht="12.75" customHeight="1" x14ac:dyDescent="0.2">
      <c r="A1231" s="38" t="s">
        <v>1052</v>
      </c>
      <c r="B1231" s="38">
        <v>170150189004010</v>
      </c>
    </row>
    <row r="1232" spans="1:2" ht="12.75" customHeight="1" x14ac:dyDescent="0.2">
      <c r="A1232" s="38" t="s">
        <v>1052</v>
      </c>
      <c r="B1232" s="38">
        <v>170150189004013</v>
      </c>
    </row>
    <row r="1233" spans="1:2" ht="12.75" customHeight="1" x14ac:dyDescent="0.2">
      <c r="A1233" s="38" t="s">
        <v>1054</v>
      </c>
      <c r="B1233" s="38">
        <v>170150189004012</v>
      </c>
    </row>
    <row r="1234" spans="1:2" ht="12.75" customHeight="1" x14ac:dyDescent="0.2">
      <c r="A1234" s="38" t="s">
        <v>1049</v>
      </c>
      <c r="B1234" s="38">
        <v>170150096004001</v>
      </c>
    </row>
    <row r="1235" spans="1:2" ht="12.75" customHeight="1" x14ac:dyDescent="0.2">
      <c r="A1235" s="38" t="s">
        <v>1052</v>
      </c>
      <c r="B1235" s="38">
        <v>170156003003002</v>
      </c>
    </row>
    <row r="1236" spans="1:2" ht="12.75" customHeight="1" x14ac:dyDescent="0.2">
      <c r="A1236" s="38" t="s">
        <v>1052</v>
      </c>
      <c r="B1236" s="38">
        <v>170156003003001</v>
      </c>
    </row>
    <row r="1237" spans="1:2" ht="12.75" customHeight="1" x14ac:dyDescent="0.2">
      <c r="A1237" s="38" t="s">
        <v>1052</v>
      </c>
      <c r="B1237" s="38">
        <v>170156003003004</v>
      </c>
    </row>
    <row r="1238" spans="1:2" ht="12.75" customHeight="1" x14ac:dyDescent="0.2">
      <c r="A1238" s="38" t="s">
        <v>1052</v>
      </c>
      <c r="B1238" s="38">
        <v>170156003003003</v>
      </c>
    </row>
    <row r="1239" spans="1:2" ht="12.75" customHeight="1" x14ac:dyDescent="0.2">
      <c r="A1239" s="38" t="s">
        <v>1052</v>
      </c>
      <c r="B1239" s="38">
        <v>170150196009001</v>
      </c>
    </row>
    <row r="1240" spans="1:2" ht="12.75" customHeight="1" x14ac:dyDescent="0.2">
      <c r="A1240" s="38" t="s">
        <v>1050</v>
      </c>
      <c r="B1240" s="38">
        <v>170163001004001</v>
      </c>
    </row>
    <row r="1241" spans="1:2" ht="12.75" customHeight="1" x14ac:dyDescent="0.2">
      <c r="A1241" s="38" t="s">
        <v>1046</v>
      </c>
      <c r="B1241" s="38">
        <v>170150062006001</v>
      </c>
    </row>
    <row r="1242" spans="1:2" ht="12.75" customHeight="1" x14ac:dyDescent="0.2">
      <c r="A1242" s="38" t="s">
        <v>1047</v>
      </c>
      <c r="B1242" s="38">
        <v>170180001004004</v>
      </c>
    </row>
    <row r="1243" spans="1:2" ht="12.75" customHeight="1" x14ac:dyDescent="0.2">
      <c r="A1243" s="38" t="s">
        <v>1052</v>
      </c>
      <c r="B1243" s="38">
        <v>170150196010001</v>
      </c>
    </row>
    <row r="1244" spans="1:2" ht="12.75" customHeight="1" x14ac:dyDescent="0.2">
      <c r="A1244" s="38" t="s">
        <v>1054</v>
      </c>
      <c r="B1244" s="38">
        <v>170179001009004</v>
      </c>
    </row>
    <row r="1245" spans="1:2" ht="12.75" customHeight="1" x14ac:dyDescent="0.2">
      <c r="A1245" s="38" t="s">
        <v>1051</v>
      </c>
      <c r="B1245" s="38">
        <v>170177906001008</v>
      </c>
    </row>
    <row r="1246" spans="1:2" ht="12.75" customHeight="1" x14ac:dyDescent="0.2">
      <c r="A1246" s="38" t="s">
        <v>1049</v>
      </c>
      <c r="B1246" s="38">
        <v>170150170004004</v>
      </c>
    </row>
    <row r="1247" spans="1:2" ht="12.75" customHeight="1" x14ac:dyDescent="0.2">
      <c r="A1247" s="38" t="s">
        <v>1049</v>
      </c>
      <c r="B1247" s="38">
        <v>170150170004003</v>
      </c>
    </row>
    <row r="1248" spans="1:2" ht="12.75" customHeight="1" x14ac:dyDescent="0.2">
      <c r="A1248" s="38" t="s">
        <v>1046</v>
      </c>
      <c r="B1248" s="38">
        <v>170150098003002</v>
      </c>
    </row>
    <row r="1249" spans="1:2" ht="12.75" customHeight="1" x14ac:dyDescent="0.2">
      <c r="A1249" s="38" t="s">
        <v>1046</v>
      </c>
      <c r="B1249" s="38">
        <v>170150098003004</v>
      </c>
    </row>
    <row r="1250" spans="1:2" ht="12.75" customHeight="1" x14ac:dyDescent="0.2">
      <c r="A1250" s="38" t="s">
        <v>1046</v>
      </c>
      <c r="B1250" s="38">
        <v>170150098003003</v>
      </c>
    </row>
    <row r="1251" spans="1:2" ht="12.75" customHeight="1" x14ac:dyDescent="0.2">
      <c r="A1251" s="38" t="s">
        <v>1049</v>
      </c>
      <c r="B1251" s="38">
        <v>170177005006006</v>
      </c>
    </row>
    <row r="1252" spans="1:2" ht="12.75" customHeight="1" x14ac:dyDescent="0.2">
      <c r="A1252" s="38" t="s">
        <v>1047</v>
      </c>
      <c r="B1252" s="38">
        <v>170165002007001</v>
      </c>
    </row>
    <row r="1253" spans="1:2" ht="12.75" customHeight="1" x14ac:dyDescent="0.2">
      <c r="A1253" s="38" t="s">
        <v>1048</v>
      </c>
      <c r="B1253" s="38">
        <v>170165002007003</v>
      </c>
    </row>
    <row r="1254" spans="1:2" ht="12.75" customHeight="1" x14ac:dyDescent="0.2">
      <c r="A1254" s="38" t="s">
        <v>1048</v>
      </c>
      <c r="B1254" s="38">
        <v>170165002007005</v>
      </c>
    </row>
    <row r="1255" spans="1:2" ht="12.75" customHeight="1" x14ac:dyDescent="0.2">
      <c r="A1255" s="38" t="s">
        <v>1048</v>
      </c>
      <c r="B1255" s="38">
        <v>170165002007004</v>
      </c>
    </row>
    <row r="1256" spans="1:2" ht="12.75" customHeight="1" x14ac:dyDescent="0.2">
      <c r="A1256" s="38" t="s">
        <v>1048</v>
      </c>
      <c r="B1256" s="38">
        <v>170150172004001</v>
      </c>
    </row>
    <row r="1257" spans="1:2" ht="12.75" customHeight="1" x14ac:dyDescent="0.2">
      <c r="A1257" s="38" t="s">
        <v>1049</v>
      </c>
      <c r="B1257" s="38">
        <v>170150170004002</v>
      </c>
    </row>
    <row r="1258" spans="1:2" ht="12.75" customHeight="1" x14ac:dyDescent="0.2">
      <c r="A1258" s="38" t="s">
        <v>1049</v>
      </c>
      <c r="B1258" s="38">
        <v>170150170004001</v>
      </c>
    </row>
    <row r="1259" spans="1:2" ht="12.75" customHeight="1" x14ac:dyDescent="0.2">
      <c r="A1259" s="38" t="s">
        <v>1050</v>
      </c>
      <c r="B1259" s="38">
        <v>170184008006002</v>
      </c>
    </row>
    <row r="1260" spans="1:2" ht="12.75" customHeight="1" x14ac:dyDescent="0.2">
      <c r="A1260" s="38" t="s">
        <v>1050</v>
      </c>
      <c r="B1260" s="38">
        <v>170184008006004</v>
      </c>
    </row>
    <row r="1261" spans="1:2" ht="12.75" customHeight="1" x14ac:dyDescent="0.2">
      <c r="A1261" s="38" t="s">
        <v>1049</v>
      </c>
      <c r="B1261" s="38">
        <v>170177007005012</v>
      </c>
    </row>
    <row r="1262" spans="1:2" ht="12.75" customHeight="1" x14ac:dyDescent="0.2">
      <c r="A1262" s="38" t="s">
        <v>1047</v>
      </c>
      <c r="B1262" s="38">
        <v>170155046008007</v>
      </c>
    </row>
    <row r="1263" spans="1:2" ht="12.75" customHeight="1" x14ac:dyDescent="0.2">
      <c r="A1263" s="38" t="s">
        <v>1047</v>
      </c>
      <c r="B1263" s="38">
        <v>170155046008009</v>
      </c>
    </row>
    <row r="1264" spans="1:2" ht="12.75" customHeight="1" x14ac:dyDescent="0.2">
      <c r="A1264" s="38" t="s">
        <v>1051</v>
      </c>
      <c r="B1264" s="38">
        <v>170155046008008</v>
      </c>
    </row>
    <row r="1265" spans="1:2" ht="12.75" customHeight="1" x14ac:dyDescent="0.2">
      <c r="A1265" s="38" t="s">
        <v>1046</v>
      </c>
      <c r="B1265" s="38">
        <v>170150190004002</v>
      </c>
    </row>
    <row r="1266" spans="1:2" ht="12.75" customHeight="1" x14ac:dyDescent="0.2">
      <c r="A1266" s="38" t="s">
        <v>1046</v>
      </c>
      <c r="B1266" s="38">
        <v>170150190004001</v>
      </c>
    </row>
    <row r="1267" spans="1:2" ht="12.75" customHeight="1" x14ac:dyDescent="0.2">
      <c r="A1267" s="38" t="s">
        <v>1050</v>
      </c>
      <c r="B1267" s="38">
        <v>170150190004003</v>
      </c>
    </row>
    <row r="1268" spans="1:2" ht="12.75" customHeight="1" x14ac:dyDescent="0.2">
      <c r="A1268" s="38" t="s">
        <v>1047</v>
      </c>
      <c r="B1268" s="38">
        <v>170155045001001</v>
      </c>
    </row>
    <row r="1269" spans="1:2" ht="12.75" customHeight="1" x14ac:dyDescent="0.2">
      <c r="A1269" s="38" t="s">
        <v>1047</v>
      </c>
      <c r="B1269" s="38">
        <v>170155045001002</v>
      </c>
    </row>
    <row r="1270" spans="1:2" ht="12.75" customHeight="1" x14ac:dyDescent="0.2">
      <c r="A1270" s="38" t="s">
        <v>1050</v>
      </c>
      <c r="B1270" s="38">
        <v>170184015001001</v>
      </c>
    </row>
    <row r="1271" spans="1:2" ht="12.75" customHeight="1" x14ac:dyDescent="0.2">
      <c r="A1271" s="38" t="s">
        <v>1049</v>
      </c>
      <c r="B1271" s="38">
        <v>170150113004003</v>
      </c>
    </row>
    <row r="1272" spans="1:2" ht="12.75" customHeight="1" x14ac:dyDescent="0.2">
      <c r="A1272" s="38" t="s">
        <v>1049</v>
      </c>
      <c r="B1272" s="38">
        <v>170150113004002</v>
      </c>
    </row>
    <row r="1273" spans="1:2" ht="12.75" customHeight="1" x14ac:dyDescent="0.2">
      <c r="A1273" s="38" t="s">
        <v>1049</v>
      </c>
      <c r="B1273" s="38">
        <v>170150113004005</v>
      </c>
    </row>
    <row r="1274" spans="1:2" ht="12.75" customHeight="1" x14ac:dyDescent="0.2">
      <c r="A1274" s="38" t="s">
        <v>1049</v>
      </c>
      <c r="B1274" s="38">
        <v>170150113004004</v>
      </c>
    </row>
    <row r="1275" spans="1:2" ht="12.75" customHeight="1" x14ac:dyDescent="0.2">
      <c r="A1275" s="38" t="s">
        <v>1049</v>
      </c>
      <c r="B1275" s="38">
        <v>170150113004006</v>
      </c>
    </row>
    <row r="1276" spans="1:2" ht="12.75" customHeight="1" x14ac:dyDescent="0.2">
      <c r="A1276" s="38" t="s">
        <v>1049</v>
      </c>
      <c r="B1276" s="38">
        <v>170177007005001</v>
      </c>
    </row>
    <row r="1277" spans="1:2" ht="12.75" customHeight="1" x14ac:dyDescent="0.2">
      <c r="A1277" s="38" t="s">
        <v>1049</v>
      </c>
      <c r="B1277" s="38">
        <v>170150113004001</v>
      </c>
    </row>
    <row r="1278" spans="1:2" ht="12.75" customHeight="1" x14ac:dyDescent="0.2">
      <c r="A1278" s="38" t="s">
        <v>1050</v>
      </c>
      <c r="B1278" s="38">
        <v>170163004008002</v>
      </c>
    </row>
    <row r="1279" spans="1:2" ht="12.75" customHeight="1" x14ac:dyDescent="0.2">
      <c r="A1279" s="38" t="s">
        <v>1050</v>
      </c>
      <c r="B1279" s="38">
        <v>170163004008001</v>
      </c>
    </row>
    <row r="1280" spans="1:2" ht="12.75" customHeight="1" x14ac:dyDescent="0.2">
      <c r="A1280" s="38" t="s">
        <v>1050</v>
      </c>
      <c r="B1280" s="38">
        <v>170163004008004</v>
      </c>
    </row>
    <row r="1281" spans="1:2" ht="12.75" customHeight="1" x14ac:dyDescent="0.2">
      <c r="A1281" s="38" t="s">
        <v>1050</v>
      </c>
      <c r="B1281" s="38">
        <v>170163004008003</v>
      </c>
    </row>
    <row r="1282" spans="1:2" ht="12.75" customHeight="1" x14ac:dyDescent="0.2">
      <c r="A1282" s="38" t="s">
        <v>1046</v>
      </c>
      <c r="B1282" s="38">
        <v>170150168008003</v>
      </c>
    </row>
    <row r="1283" spans="1:2" ht="12.75" customHeight="1" x14ac:dyDescent="0.2">
      <c r="A1283" s="38" t="s">
        <v>1046</v>
      </c>
      <c r="B1283" s="38">
        <v>170150168008002</v>
      </c>
    </row>
    <row r="1284" spans="1:2" ht="12.75" customHeight="1" x14ac:dyDescent="0.2">
      <c r="A1284" s="38" t="s">
        <v>1050</v>
      </c>
      <c r="B1284" s="38">
        <v>170159002006001</v>
      </c>
    </row>
    <row r="1285" spans="1:2" ht="12.75" customHeight="1" x14ac:dyDescent="0.2">
      <c r="A1285" s="38" t="s">
        <v>1050</v>
      </c>
      <c r="B1285" s="38">
        <v>170159002006003</v>
      </c>
    </row>
    <row r="1286" spans="1:2" ht="12.75" customHeight="1" x14ac:dyDescent="0.2">
      <c r="A1286" s="38" t="s">
        <v>1050</v>
      </c>
      <c r="B1286" s="38">
        <v>170159002006002</v>
      </c>
    </row>
    <row r="1287" spans="1:2" ht="12.75" customHeight="1" x14ac:dyDescent="0.2">
      <c r="A1287" s="38" t="s">
        <v>1050</v>
      </c>
      <c r="B1287" s="38">
        <v>170159002006005</v>
      </c>
    </row>
    <row r="1288" spans="1:2" ht="12.75" customHeight="1" x14ac:dyDescent="0.2">
      <c r="A1288" s="38" t="s">
        <v>1050</v>
      </c>
      <c r="B1288" s="38">
        <v>170159002006004</v>
      </c>
    </row>
    <row r="1289" spans="1:2" ht="12.75" customHeight="1" x14ac:dyDescent="0.2">
      <c r="A1289" s="38" t="s">
        <v>1046</v>
      </c>
      <c r="B1289" s="38">
        <v>170150054004001</v>
      </c>
    </row>
    <row r="1290" spans="1:2" ht="12.75" customHeight="1" x14ac:dyDescent="0.2">
      <c r="A1290" s="38" t="s">
        <v>1052</v>
      </c>
      <c r="B1290" s="38">
        <v>170150226008004</v>
      </c>
    </row>
    <row r="1291" spans="1:2" ht="12.75" customHeight="1" x14ac:dyDescent="0.2">
      <c r="A1291" s="38" t="s">
        <v>1052</v>
      </c>
      <c r="B1291" s="38">
        <v>170150226008003</v>
      </c>
    </row>
    <row r="1292" spans="1:2" ht="12.75" customHeight="1" x14ac:dyDescent="0.2">
      <c r="A1292" s="38" t="s">
        <v>1052</v>
      </c>
      <c r="B1292" s="38">
        <v>170150226008001</v>
      </c>
    </row>
    <row r="1293" spans="1:2" ht="12.75" customHeight="1" x14ac:dyDescent="0.2">
      <c r="A1293" s="38" t="s">
        <v>1050</v>
      </c>
      <c r="B1293" s="38">
        <v>170159002006007</v>
      </c>
    </row>
    <row r="1294" spans="1:2" ht="12.75" customHeight="1" x14ac:dyDescent="0.2">
      <c r="A1294" s="38" t="s">
        <v>1050</v>
      </c>
      <c r="B1294" s="38">
        <v>170159002006006</v>
      </c>
    </row>
    <row r="1295" spans="1:2" ht="12.75" customHeight="1" x14ac:dyDescent="0.2">
      <c r="A1295" s="38" t="s">
        <v>1050</v>
      </c>
      <c r="B1295" s="38">
        <v>170159002006008</v>
      </c>
    </row>
    <row r="1296" spans="1:2" ht="12.75" customHeight="1" x14ac:dyDescent="0.2">
      <c r="A1296" s="38" t="s">
        <v>1050</v>
      </c>
      <c r="B1296" s="38">
        <v>170159002006010</v>
      </c>
    </row>
    <row r="1297" spans="1:2" ht="12.75" customHeight="1" x14ac:dyDescent="0.2">
      <c r="A1297" s="38" t="s">
        <v>1050</v>
      </c>
      <c r="B1297" s="38">
        <v>170159002006012</v>
      </c>
    </row>
    <row r="1298" spans="1:2" ht="12.75" customHeight="1" x14ac:dyDescent="0.2">
      <c r="A1298" s="38" t="s">
        <v>1050</v>
      </c>
      <c r="B1298" s="38">
        <v>170159002006011</v>
      </c>
    </row>
    <row r="1299" spans="1:2" ht="12.75" customHeight="1" x14ac:dyDescent="0.2">
      <c r="A1299" s="38" t="s">
        <v>1050</v>
      </c>
      <c r="B1299" s="38">
        <v>170159002006014</v>
      </c>
    </row>
    <row r="1300" spans="1:2" ht="12.75" customHeight="1" x14ac:dyDescent="0.2">
      <c r="A1300" s="38" t="s">
        <v>1050</v>
      </c>
      <c r="B1300" s="38">
        <v>170159002006013</v>
      </c>
    </row>
    <row r="1301" spans="1:2" ht="12.75" customHeight="1" x14ac:dyDescent="0.2">
      <c r="A1301" s="38" t="s">
        <v>1050</v>
      </c>
      <c r="B1301" s="38">
        <v>170159002006015</v>
      </c>
    </row>
    <row r="1302" spans="1:2" ht="12.75" customHeight="1" x14ac:dyDescent="0.2">
      <c r="A1302" s="38" t="s">
        <v>1050</v>
      </c>
      <c r="B1302" s="38">
        <v>170184011005001</v>
      </c>
    </row>
    <row r="1303" spans="1:2" ht="12.75" customHeight="1" x14ac:dyDescent="0.2">
      <c r="A1303" s="38" t="s">
        <v>1051</v>
      </c>
      <c r="B1303" s="38">
        <v>170150040007001</v>
      </c>
    </row>
    <row r="1304" spans="1:2" ht="12.75" customHeight="1" x14ac:dyDescent="0.2">
      <c r="A1304" s="38" t="s">
        <v>1051</v>
      </c>
      <c r="B1304" s="38">
        <v>170150088010003</v>
      </c>
    </row>
    <row r="1305" spans="1:2" ht="12.75" customHeight="1" x14ac:dyDescent="0.2">
      <c r="A1305" s="38" t="s">
        <v>1051</v>
      </c>
      <c r="B1305" s="38">
        <v>170150088010004</v>
      </c>
    </row>
    <row r="1306" spans="1:2" ht="12.75" customHeight="1" x14ac:dyDescent="0.2">
      <c r="A1306" s="38" t="s">
        <v>1046</v>
      </c>
      <c r="B1306" s="38">
        <v>170150053005001</v>
      </c>
    </row>
    <row r="1307" spans="1:2" ht="12.75" customHeight="1" x14ac:dyDescent="0.2">
      <c r="A1307" s="38" t="s">
        <v>1046</v>
      </c>
      <c r="B1307" s="38">
        <v>170150053005002</v>
      </c>
    </row>
    <row r="1308" spans="1:2" ht="12.75" customHeight="1" x14ac:dyDescent="0.2">
      <c r="A1308" s="38" t="s">
        <v>1049</v>
      </c>
      <c r="B1308" s="38">
        <v>170150903003001</v>
      </c>
    </row>
    <row r="1309" spans="1:2" ht="12.75" customHeight="1" x14ac:dyDescent="0.2">
      <c r="A1309" s="38" t="s">
        <v>1056</v>
      </c>
      <c r="B1309" s="38">
        <v>170150236003001</v>
      </c>
    </row>
    <row r="1310" spans="1:2" ht="12.75" customHeight="1" x14ac:dyDescent="0.2">
      <c r="A1310" s="38" t="s">
        <v>1054</v>
      </c>
      <c r="B1310" s="38">
        <v>170150150004001</v>
      </c>
    </row>
    <row r="1311" spans="1:2" ht="12.75" customHeight="1" x14ac:dyDescent="0.2">
      <c r="A1311" s="38" t="s">
        <v>1049</v>
      </c>
      <c r="B1311" s="38">
        <v>170150091004001</v>
      </c>
    </row>
    <row r="1312" spans="1:2" ht="12.75" customHeight="1" x14ac:dyDescent="0.2">
      <c r="A1312" s="38" t="s">
        <v>1047</v>
      </c>
      <c r="B1312" s="38">
        <v>170154001008001</v>
      </c>
    </row>
    <row r="1313" spans="1:2" ht="12.75" customHeight="1" x14ac:dyDescent="0.2">
      <c r="A1313" s="38" t="s">
        <v>1047</v>
      </c>
      <c r="B1313" s="38">
        <v>170154001008003</v>
      </c>
    </row>
    <row r="1314" spans="1:2" ht="12.75" customHeight="1" x14ac:dyDescent="0.2">
      <c r="A1314" s="38" t="s">
        <v>1047</v>
      </c>
      <c r="B1314" s="38">
        <v>170154001008002</v>
      </c>
    </row>
    <row r="1315" spans="1:2" ht="12.75" customHeight="1" x14ac:dyDescent="0.2">
      <c r="A1315" s="38" t="s">
        <v>1047</v>
      </c>
      <c r="B1315" s="38">
        <v>170154001008005</v>
      </c>
    </row>
    <row r="1316" spans="1:2" ht="12.75" customHeight="1" x14ac:dyDescent="0.2">
      <c r="A1316" s="38" t="s">
        <v>1047</v>
      </c>
      <c r="B1316" s="38">
        <v>170154001008004</v>
      </c>
    </row>
    <row r="1317" spans="1:2" ht="12.75" customHeight="1" x14ac:dyDescent="0.2">
      <c r="A1317" s="38" t="s">
        <v>1047</v>
      </c>
      <c r="B1317" s="38">
        <v>170154001008006</v>
      </c>
    </row>
    <row r="1318" spans="1:2" ht="12.75" customHeight="1" x14ac:dyDescent="0.2">
      <c r="A1318" s="38" t="s">
        <v>1049</v>
      </c>
      <c r="B1318" s="38">
        <v>170150169003001</v>
      </c>
    </row>
    <row r="1319" spans="1:2" ht="12.75" customHeight="1" x14ac:dyDescent="0.2">
      <c r="A1319" s="38" t="s">
        <v>1046</v>
      </c>
      <c r="B1319" s="38">
        <v>170150169003003</v>
      </c>
    </row>
    <row r="1320" spans="1:2" ht="12.75" customHeight="1" x14ac:dyDescent="0.2">
      <c r="A1320" s="38" t="s">
        <v>1052</v>
      </c>
      <c r="B1320" s="38">
        <v>170156014001003</v>
      </c>
    </row>
    <row r="1321" spans="1:2" ht="12.75" customHeight="1" x14ac:dyDescent="0.2">
      <c r="A1321" s="38" t="s">
        <v>1052</v>
      </c>
      <c r="B1321" s="38">
        <v>170150197002001</v>
      </c>
    </row>
    <row r="1322" spans="1:2" ht="12.75" customHeight="1" x14ac:dyDescent="0.2">
      <c r="A1322" s="38" t="s">
        <v>1052</v>
      </c>
      <c r="B1322" s="38">
        <v>170150197002002</v>
      </c>
    </row>
    <row r="1323" spans="1:2" ht="12.75" customHeight="1" x14ac:dyDescent="0.2">
      <c r="A1323" s="38" t="s">
        <v>1052</v>
      </c>
      <c r="B1323" s="38">
        <v>170150191011001</v>
      </c>
    </row>
    <row r="1324" spans="1:2" ht="12.75" customHeight="1" x14ac:dyDescent="0.2">
      <c r="A1324" s="38" t="s">
        <v>1049</v>
      </c>
      <c r="B1324" s="38">
        <v>170150146005002</v>
      </c>
    </row>
    <row r="1325" spans="1:2" ht="12.75" customHeight="1" x14ac:dyDescent="0.2">
      <c r="A1325" s="38" t="s">
        <v>1049</v>
      </c>
      <c r="B1325" s="38">
        <v>170150146005001</v>
      </c>
    </row>
    <row r="1326" spans="1:2" ht="12.75" customHeight="1" x14ac:dyDescent="0.2">
      <c r="A1326" s="38" t="s">
        <v>1049</v>
      </c>
      <c r="B1326" s="38">
        <v>170180010009001</v>
      </c>
    </row>
    <row r="1327" spans="1:2" ht="12.75" customHeight="1" x14ac:dyDescent="0.2">
      <c r="A1327" s="38" t="s">
        <v>1049</v>
      </c>
      <c r="B1327" s="38">
        <v>170177002005001</v>
      </c>
    </row>
    <row r="1328" spans="1:2" ht="12.75" customHeight="1" x14ac:dyDescent="0.2">
      <c r="A1328" s="38" t="s">
        <v>1057</v>
      </c>
      <c r="B1328" s="38">
        <v>170150178002001</v>
      </c>
    </row>
    <row r="1329" spans="1:2" ht="12.75" customHeight="1" x14ac:dyDescent="0.2">
      <c r="A1329" s="38" t="s">
        <v>1046</v>
      </c>
      <c r="B1329" s="38">
        <v>170150145009002</v>
      </c>
    </row>
    <row r="1330" spans="1:2" ht="12.75" customHeight="1" x14ac:dyDescent="0.2">
      <c r="A1330" s="38" t="s">
        <v>1050</v>
      </c>
      <c r="B1330" s="38">
        <v>170160003004001</v>
      </c>
    </row>
    <row r="1331" spans="1:2" ht="12.75" customHeight="1" x14ac:dyDescent="0.2">
      <c r="A1331" s="38" t="s">
        <v>1047</v>
      </c>
      <c r="B1331" s="38">
        <v>170155046007001</v>
      </c>
    </row>
    <row r="1332" spans="1:2" ht="12.75" customHeight="1" x14ac:dyDescent="0.2">
      <c r="A1332" s="38" t="s">
        <v>1049</v>
      </c>
      <c r="B1332" s="38">
        <v>170150158002001</v>
      </c>
    </row>
    <row r="1333" spans="1:2" ht="12.75" customHeight="1" x14ac:dyDescent="0.2">
      <c r="A1333" s="38" t="s">
        <v>1051</v>
      </c>
      <c r="B1333" s="38">
        <v>170155018006004</v>
      </c>
    </row>
    <row r="1334" spans="1:2" ht="12.75" customHeight="1" x14ac:dyDescent="0.2">
      <c r="A1334" s="38" t="s">
        <v>1052</v>
      </c>
      <c r="B1334" s="38">
        <v>170150222005001</v>
      </c>
    </row>
    <row r="1335" spans="1:2" ht="12.75" customHeight="1" x14ac:dyDescent="0.2">
      <c r="A1335" s="38" t="s">
        <v>1052</v>
      </c>
      <c r="B1335" s="38">
        <v>170150222005002</v>
      </c>
    </row>
    <row r="1336" spans="1:2" ht="12.75" customHeight="1" x14ac:dyDescent="0.2">
      <c r="A1336" s="38" t="s">
        <v>1049</v>
      </c>
      <c r="B1336" s="38">
        <v>170150106005002</v>
      </c>
    </row>
    <row r="1337" spans="1:2" ht="12.75" customHeight="1" x14ac:dyDescent="0.2">
      <c r="A1337" s="38" t="s">
        <v>1053</v>
      </c>
      <c r="B1337" s="38">
        <v>170174001002005</v>
      </c>
    </row>
    <row r="1338" spans="1:2" ht="12.75" customHeight="1" x14ac:dyDescent="0.2">
      <c r="A1338" s="38" t="s">
        <v>1053</v>
      </c>
      <c r="B1338" s="38">
        <v>170174001002004</v>
      </c>
    </row>
    <row r="1339" spans="1:2" ht="12.75" customHeight="1" x14ac:dyDescent="0.2">
      <c r="A1339" s="38" t="s">
        <v>1053</v>
      </c>
      <c r="B1339" s="38">
        <v>170174001002007</v>
      </c>
    </row>
    <row r="1340" spans="1:2" ht="12.75" customHeight="1" x14ac:dyDescent="0.2">
      <c r="A1340" s="38" t="s">
        <v>1053</v>
      </c>
      <c r="B1340" s="38">
        <v>170174001002006</v>
      </c>
    </row>
    <row r="1341" spans="1:2" ht="12.75" customHeight="1" x14ac:dyDescent="0.2">
      <c r="A1341" s="38" t="s">
        <v>1053</v>
      </c>
      <c r="B1341" s="38">
        <v>170174001002008</v>
      </c>
    </row>
    <row r="1342" spans="1:2" ht="12.75" customHeight="1" x14ac:dyDescent="0.2">
      <c r="A1342" s="38" t="s">
        <v>1053</v>
      </c>
      <c r="B1342" s="38">
        <v>170174001002003</v>
      </c>
    </row>
    <row r="1343" spans="1:2" ht="12.75" customHeight="1" x14ac:dyDescent="0.2">
      <c r="A1343" s="38" t="s">
        <v>1046</v>
      </c>
      <c r="B1343" s="38">
        <v>170150105010001</v>
      </c>
    </row>
    <row r="1344" spans="1:2" ht="12.75" customHeight="1" x14ac:dyDescent="0.2">
      <c r="A1344" s="38" t="s">
        <v>1054</v>
      </c>
      <c r="B1344" s="38">
        <v>170150152004001</v>
      </c>
    </row>
    <row r="1345" spans="1:2" ht="12.75" customHeight="1" x14ac:dyDescent="0.2">
      <c r="A1345" s="38" t="s">
        <v>1052</v>
      </c>
      <c r="B1345" s="38">
        <v>170156013008001</v>
      </c>
    </row>
    <row r="1346" spans="1:2" ht="12.75" customHeight="1" x14ac:dyDescent="0.2">
      <c r="A1346" s="38" t="s">
        <v>1049</v>
      </c>
      <c r="B1346" s="38">
        <v>170150157002001</v>
      </c>
    </row>
    <row r="1347" spans="1:2" ht="12.75" customHeight="1" x14ac:dyDescent="0.2">
      <c r="A1347" s="38" t="s">
        <v>1049</v>
      </c>
      <c r="B1347" s="38">
        <v>170150157002003</v>
      </c>
    </row>
    <row r="1348" spans="1:2" ht="12.75" customHeight="1" x14ac:dyDescent="0.2">
      <c r="A1348" s="38" t="s">
        <v>1047</v>
      </c>
      <c r="B1348" s="38">
        <v>170155001010005</v>
      </c>
    </row>
    <row r="1349" spans="1:2" ht="12.75" customHeight="1" x14ac:dyDescent="0.2">
      <c r="A1349" s="38" t="s">
        <v>1047</v>
      </c>
      <c r="B1349" s="38">
        <v>170155001010004</v>
      </c>
    </row>
    <row r="1350" spans="1:2" ht="12.75" customHeight="1" x14ac:dyDescent="0.2">
      <c r="A1350" s="38" t="s">
        <v>1047</v>
      </c>
      <c r="B1350" s="38">
        <v>170155001010006</v>
      </c>
    </row>
    <row r="1351" spans="1:2" ht="12.75" customHeight="1" x14ac:dyDescent="0.2">
      <c r="A1351" s="38" t="s">
        <v>1050</v>
      </c>
      <c r="B1351" s="38">
        <v>170184009009001</v>
      </c>
    </row>
    <row r="1352" spans="1:2" ht="12.75" customHeight="1" x14ac:dyDescent="0.2">
      <c r="A1352" s="38" t="s">
        <v>1049</v>
      </c>
      <c r="B1352" s="38">
        <v>170150047005003</v>
      </c>
    </row>
    <row r="1353" spans="1:2" ht="12.75" customHeight="1" x14ac:dyDescent="0.2">
      <c r="A1353" s="38" t="s">
        <v>1047</v>
      </c>
      <c r="B1353" s="38">
        <v>170180009001001</v>
      </c>
    </row>
    <row r="1354" spans="1:2" ht="12.75" customHeight="1" x14ac:dyDescent="0.2">
      <c r="A1354" s="38" t="s">
        <v>1047</v>
      </c>
      <c r="B1354" s="38">
        <v>170180009001003</v>
      </c>
    </row>
    <row r="1355" spans="1:2" ht="12.75" customHeight="1" x14ac:dyDescent="0.2">
      <c r="A1355" s="38" t="s">
        <v>1047</v>
      </c>
      <c r="B1355" s="38">
        <v>170180009001002</v>
      </c>
    </row>
    <row r="1356" spans="1:2" ht="12.75" customHeight="1" x14ac:dyDescent="0.2">
      <c r="A1356" s="38" t="s">
        <v>1047</v>
      </c>
      <c r="B1356" s="38">
        <v>170180009001004</v>
      </c>
    </row>
    <row r="1357" spans="1:2" ht="12.75" customHeight="1" x14ac:dyDescent="0.2">
      <c r="A1357" s="38" t="s">
        <v>1055</v>
      </c>
      <c r="B1357" s="38">
        <v>170150234002001</v>
      </c>
    </row>
    <row r="1358" spans="1:2" ht="12.75" customHeight="1" x14ac:dyDescent="0.2">
      <c r="A1358" s="38" t="s">
        <v>1055</v>
      </c>
      <c r="B1358" s="38">
        <v>170150234002002</v>
      </c>
    </row>
    <row r="1359" spans="1:2" ht="12.75" customHeight="1" x14ac:dyDescent="0.2">
      <c r="A1359" s="38" t="s">
        <v>1049</v>
      </c>
      <c r="B1359" s="38">
        <v>170177006009002</v>
      </c>
    </row>
    <row r="1360" spans="1:2" ht="12.75" customHeight="1" x14ac:dyDescent="0.2">
      <c r="A1360" s="38" t="s">
        <v>1049</v>
      </c>
      <c r="B1360" s="38">
        <v>170177006009001</v>
      </c>
    </row>
    <row r="1361" spans="1:2" ht="12.75" customHeight="1" x14ac:dyDescent="0.2">
      <c r="A1361" s="38" t="s">
        <v>1046</v>
      </c>
      <c r="B1361" s="38">
        <v>170150011005003</v>
      </c>
    </row>
    <row r="1362" spans="1:2" ht="12.75" customHeight="1" x14ac:dyDescent="0.2">
      <c r="A1362" s="38" t="s">
        <v>1046</v>
      </c>
      <c r="B1362" s="38">
        <v>170150011005005</v>
      </c>
    </row>
    <row r="1363" spans="1:2" ht="12.75" customHeight="1" x14ac:dyDescent="0.2">
      <c r="A1363" s="38" t="s">
        <v>1046</v>
      </c>
      <c r="B1363" s="38">
        <v>170150011005004</v>
      </c>
    </row>
    <row r="1364" spans="1:2" ht="12.75" customHeight="1" x14ac:dyDescent="0.2">
      <c r="A1364" s="38" t="s">
        <v>1047</v>
      </c>
      <c r="B1364" s="38">
        <v>170155001009001</v>
      </c>
    </row>
    <row r="1365" spans="1:2" ht="12.75" customHeight="1" x14ac:dyDescent="0.2">
      <c r="A1365" s="38" t="s">
        <v>1052</v>
      </c>
      <c r="B1365" s="38">
        <v>170176001001002</v>
      </c>
    </row>
    <row r="1366" spans="1:2" ht="12.75" customHeight="1" x14ac:dyDescent="0.2">
      <c r="A1366" s="38" t="s">
        <v>1052</v>
      </c>
      <c r="B1366" s="38">
        <v>170176001001001</v>
      </c>
    </row>
    <row r="1367" spans="1:2" ht="12.75" customHeight="1" x14ac:dyDescent="0.2">
      <c r="A1367" s="38" t="s">
        <v>1052</v>
      </c>
      <c r="B1367" s="38">
        <v>170176001001003</v>
      </c>
    </row>
    <row r="1368" spans="1:2" ht="12.75" customHeight="1" x14ac:dyDescent="0.2">
      <c r="A1368" s="38" t="s">
        <v>1052</v>
      </c>
      <c r="B1368" s="38">
        <v>170176001013001</v>
      </c>
    </row>
    <row r="1369" spans="1:2" ht="12.75" customHeight="1" x14ac:dyDescent="0.2">
      <c r="A1369" s="38" t="s">
        <v>1050</v>
      </c>
      <c r="B1369" s="38">
        <v>170150189003003</v>
      </c>
    </row>
    <row r="1370" spans="1:2" ht="12.75" customHeight="1" x14ac:dyDescent="0.2">
      <c r="A1370" s="38" t="s">
        <v>1050</v>
      </c>
      <c r="B1370" s="38">
        <v>170150189003002</v>
      </c>
    </row>
    <row r="1371" spans="1:2" ht="12.75" customHeight="1" x14ac:dyDescent="0.2">
      <c r="A1371" s="38" t="s">
        <v>1052</v>
      </c>
      <c r="B1371" s="38">
        <v>170150189003004</v>
      </c>
    </row>
    <row r="1372" spans="1:2" ht="12.75" customHeight="1" x14ac:dyDescent="0.2">
      <c r="A1372" s="38" t="s">
        <v>1052</v>
      </c>
      <c r="B1372" s="38">
        <v>170150189003007</v>
      </c>
    </row>
    <row r="1373" spans="1:2" ht="12.75" customHeight="1" x14ac:dyDescent="0.2">
      <c r="A1373" s="38" t="s">
        <v>1054</v>
      </c>
      <c r="B1373" s="38">
        <v>170150189003009</v>
      </c>
    </row>
    <row r="1374" spans="1:2" ht="12.75" customHeight="1" x14ac:dyDescent="0.2">
      <c r="A1374" s="38" t="s">
        <v>1052</v>
      </c>
      <c r="B1374" s="38">
        <v>170150189003008</v>
      </c>
    </row>
    <row r="1375" spans="1:2" ht="12.75" customHeight="1" x14ac:dyDescent="0.2">
      <c r="A1375" s="38" t="s">
        <v>1049</v>
      </c>
      <c r="B1375" s="38">
        <v>170177003009001</v>
      </c>
    </row>
    <row r="1376" spans="1:2" ht="12.75" customHeight="1" x14ac:dyDescent="0.2">
      <c r="A1376" s="38" t="s">
        <v>1050</v>
      </c>
      <c r="B1376" s="38">
        <v>170157009006004</v>
      </c>
    </row>
    <row r="1377" spans="1:2" ht="12.75" customHeight="1" x14ac:dyDescent="0.2">
      <c r="A1377" s="38" t="s">
        <v>1053</v>
      </c>
      <c r="B1377" s="38">
        <v>170150096003002</v>
      </c>
    </row>
    <row r="1378" spans="1:2" ht="12.75" customHeight="1" x14ac:dyDescent="0.2">
      <c r="A1378" s="38" t="s">
        <v>1050</v>
      </c>
      <c r="B1378" s="38">
        <v>170157009006003</v>
      </c>
    </row>
    <row r="1379" spans="1:2" ht="12.75" customHeight="1" x14ac:dyDescent="0.2">
      <c r="A1379" s="38" t="s">
        <v>1053</v>
      </c>
      <c r="B1379" s="38">
        <v>170150096003001</v>
      </c>
    </row>
    <row r="1380" spans="1:2" ht="12.75" customHeight="1" x14ac:dyDescent="0.2">
      <c r="A1380" s="38" t="s">
        <v>1053</v>
      </c>
      <c r="B1380" s="38">
        <v>170150096003004</v>
      </c>
    </row>
    <row r="1381" spans="1:2" ht="12.75" customHeight="1" x14ac:dyDescent="0.2">
      <c r="A1381" s="38" t="s">
        <v>1053</v>
      </c>
      <c r="B1381" s="38">
        <v>170150096003005</v>
      </c>
    </row>
    <row r="1382" spans="1:2" ht="12.75" customHeight="1" x14ac:dyDescent="0.2">
      <c r="A1382" s="38" t="s">
        <v>1047</v>
      </c>
      <c r="B1382" s="38">
        <v>170180001003001</v>
      </c>
    </row>
    <row r="1383" spans="1:2" ht="12.75" customHeight="1" x14ac:dyDescent="0.2">
      <c r="A1383" s="38" t="s">
        <v>1047</v>
      </c>
      <c r="B1383" s="38">
        <v>170180001003003</v>
      </c>
    </row>
    <row r="1384" spans="1:2" ht="12.75" customHeight="1" x14ac:dyDescent="0.2">
      <c r="A1384" s="38" t="s">
        <v>1047</v>
      </c>
      <c r="B1384" s="38">
        <v>170180001003002</v>
      </c>
    </row>
    <row r="1385" spans="1:2" ht="12.75" customHeight="1" x14ac:dyDescent="0.2">
      <c r="A1385" s="38" t="s">
        <v>1046</v>
      </c>
      <c r="B1385" s="38">
        <v>170150062005003</v>
      </c>
    </row>
    <row r="1386" spans="1:2" ht="12.75" customHeight="1" x14ac:dyDescent="0.2">
      <c r="A1386" s="38" t="s">
        <v>1047</v>
      </c>
      <c r="B1386" s="38">
        <v>170180001003004</v>
      </c>
    </row>
    <row r="1387" spans="1:2" ht="12.75" customHeight="1" x14ac:dyDescent="0.2">
      <c r="A1387" s="38" t="s">
        <v>1050</v>
      </c>
      <c r="B1387" s="38">
        <v>170185001012004</v>
      </c>
    </row>
    <row r="1388" spans="1:2" ht="12.75" customHeight="1" x14ac:dyDescent="0.2">
      <c r="A1388" s="38" t="s">
        <v>1046</v>
      </c>
      <c r="B1388" s="38">
        <v>170150062005004</v>
      </c>
    </row>
    <row r="1389" spans="1:2" ht="12.75" customHeight="1" x14ac:dyDescent="0.2">
      <c r="A1389" s="38" t="s">
        <v>1050</v>
      </c>
      <c r="B1389" s="38">
        <v>170185001012003</v>
      </c>
    </row>
    <row r="1390" spans="1:2" ht="12.75" customHeight="1" x14ac:dyDescent="0.2">
      <c r="A1390" s="38" t="s">
        <v>1050</v>
      </c>
      <c r="B1390" s="38">
        <v>170185001012006</v>
      </c>
    </row>
    <row r="1391" spans="1:2" ht="12.75" customHeight="1" x14ac:dyDescent="0.2">
      <c r="A1391" s="38" t="s">
        <v>1050</v>
      </c>
      <c r="B1391" s="38">
        <v>170163001003005</v>
      </c>
    </row>
    <row r="1392" spans="1:2" ht="12.75" customHeight="1" x14ac:dyDescent="0.2">
      <c r="A1392" s="38" t="s">
        <v>1050</v>
      </c>
      <c r="B1392" s="38">
        <v>170185001012007</v>
      </c>
    </row>
    <row r="1393" spans="1:2" ht="12.75" customHeight="1" x14ac:dyDescent="0.2">
      <c r="A1393" s="38" t="s">
        <v>1050</v>
      </c>
      <c r="B1393" s="38">
        <v>170185001012002</v>
      </c>
    </row>
    <row r="1394" spans="1:2" ht="12.75" customHeight="1" x14ac:dyDescent="0.2">
      <c r="A1394" s="38" t="s">
        <v>1049</v>
      </c>
      <c r="B1394" s="38">
        <v>170177003010008</v>
      </c>
    </row>
    <row r="1395" spans="1:2" ht="12.75" customHeight="1" x14ac:dyDescent="0.2">
      <c r="A1395" s="38" t="s">
        <v>1050</v>
      </c>
      <c r="B1395" s="38">
        <v>170185001012001</v>
      </c>
    </row>
    <row r="1396" spans="1:2" ht="12.75" customHeight="1" x14ac:dyDescent="0.2">
      <c r="A1396" s="38" t="s">
        <v>1052</v>
      </c>
      <c r="B1396" s="38">
        <v>170150266007001</v>
      </c>
    </row>
    <row r="1397" spans="1:2" ht="12.75" customHeight="1" x14ac:dyDescent="0.2">
      <c r="A1397" s="38" t="s">
        <v>1046</v>
      </c>
      <c r="B1397" s="38">
        <v>170150062005001</v>
      </c>
    </row>
    <row r="1398" spans="1:2" ht="12.75" customHeight="1" x14ac:dyDescent="0.2">
      <c r="A1398" s="38" t="s">
        <v>1054</v>
      </c>
      <c r="B1398" s="38">
        <v>170179001008002</v>
      </c>
    </row>
    <row r="1399" spans="1:2" ht="12.75" customHeight="1" x14ac:dyDescent="0.2">
      <c r="A1399" s="38" t="s">
        <v>1054</v>
      </c>
      <c r="B1399" s="38">
        <v>170179001008001</v>
      </c>
    </row>
    <row r="1400" spans="1:2" ht="12.75" customHeight="1" x14ac:dyDescent="0.2">
      <c r="A1400" s="38" t="s">
        <v>1054</v>
      </c>
      <c r="B1400" s="38">
        <v>170179001008004</v>
      </c>
    </row>
    <row r="1401" spans="1:2" ht="12.75" customHeight="1" x14ac:dyDescent="0.2">
      <c r="A1401" s="38" t="s">
        <v>1054</v>
      </c>
      <c r="B1401" s="38">
        <v>170179001008003</v>
      </c>
    </row>
    <row r="1402" spans="1:2" ht="12.75" customHeight="1" x14ac:dyDescent="0.2">
      <c r="A1402" s="38" t="s">
        <v>1054</v>
      </c>
      <c r="B1402" s="38">
        <v>170179001008006</v>
      </c>
    </row>
    <row r="1403" spans="1:2" ht="12.75" customHeight="1" x14ac:dyDescent="0.2">
      <c r="A1403" s="38" t="s">
        <v>1054</v>
      </c>
      <c r="B1403" s="38">
        <v>170179001008005</v>
      </c>
    </row>
    <row r="1404" spans="1:2" ht="12.75" customHeight="1" x14ac:dyDescent="0.2">
      <c r="A1404" s="38" t="s">
        <v>1049</v>
      </c>
      <c r="B1404" s="38">
        <v>170150048004001</v>
      </c>
    </row>
    <row r="1405" spans="1:2" ht="12.75" customHeight="1" x14ac:dyDescent="0.2">
      <c r="A1405" s="38" t="s">
        <v>1049</v>
      </c>
      <c r="B1405" s="38">
        <v>170177005005001</v>
      </c>
    </row>
    <row r="1406" spans="1:2" ht="12.75" customHeight="1" x14ac:dyDescent="0.2">
      <c r="A1406" s="38" t="s">
        <v>1051</v>
      </c>
      <c r="B1406" s="38">
        <v>170150039003001</v>
      </c>
    </row>
    <row r="1407" spans="1:2" ht="12.75" customHeight="1" x14ac:dyDescent="0.2">
      <c r="A1407" s="38" t="s">
        <v>1051</v>
      </c>
      <c r="B1407" s="38">
        <v>170150039003002</v>
      </c>
    </row>
    <row r="1408" spans="1:2" ht="12.75" customHeight="1" x14ac:dyDescent="0.2">
      <c r="A1408" s="38" t="s">
        <v>1051</v>
      </c>
      <c r="B1408" s="38">
        <v>170150039003004</v>
      </c>
    </row>
    <row r="1409" spans="1:2" ht="12.75" customHeight="1" x14ac:dyDescent="0.2">
      <c r="A1409" s="38" t="s">
        <v>1054</v>
      </c>
      <c r="B1409" s="38">
        <v>170179001008008</v>
      </c>
    </row>
    <row r="1410" spans="1:2" ht="12.75" customHeight="1" x14ac:dyDescent="0.2">
      <c r="A1410" s="38" t="s">
        <v>1054</v>
      </c>
      <c r="B1410" s="38">
        <v>170179001008007</v>
      </c>
    </row>
    <row r="1411" spans="1:2" ht="12.75" customHeight="1" x14ac:dyDescent="0.2">
      <c r="A1411" s="38" t="s">
        <v>1057</v>
      </c>
      <c r="B1411" s="38">
        <v>170150172003001</v>
      </c>
    </row>
    <row r="1412" spans="1:2" ht="12.75" customHeight="1" x14ac:dyDescent="0.2">
      <c r="A1412" s="38" t="s">
        <v>1054</v>
      </c>
      <c r="B1412" s="38">
        <v>170179001008009</v>
      </c>
    </row>
    <row r="1413" spans="1:2" ht="12.75" customHeight="1" x14ac:dyDescent="0.2">
      <c r="A1413" s="38" t="s">
        <v>1054</v>
      </c>
      <c r="B1413" s="38">
        <v>170179001008010</v>
      </c>
    </row>
    <row r="1414" spans="1:2" ht="12.75" customHeight="1" x14ac:dyDescent="0.2">
      <c r="A1414" s="38" t="s">
        <v>1049</v>
      </c>
      <c r="B1414" s="38">
        <v>170177007004002</v>
      </c>
    </row>
    <row r="1415" spans="1:2" ht="12.75" customHeight="1" x14ac:dyDescent="0.2">
      <c r="A1415" s="38" t="s">
        <v>1049</v>
      </c>
      <c r="B1415" s="38">
        <v>170177007004001</v>
      </c>
    </row>
    <row r="1416" spans="1:2" ht="12.75" customHeight="1" x14ac:dyDescent="0.2">
      <c r="A1416" s="38" t="s">
        <v>1048</v>
      </c>
      <c r="B1416" s="38">
        <v>170186001010005</v>
      </c>
    </row>
    <row r="1417" spans="1:2" ht="12.75" customHeight="1" x14ac:dyDescent="0.2">
      <c r="A1417" s="38" t="s">
        <v>1050</v>
      </c>
      <c r="B1417" s="38">
        <v>170163004007001</v>
      </c>
    </row>
    <row r="1418" spans="1:2" ht="12.75" customHeight="1" x14ac:dyDescent="0.2">
      <c r="A1418" s="38" t="s">
        <v>1053</v>
      </c>
      <c r="B1418" s="38">
        <v>170180005009001</v>
      </c>
    </row>
    <row r="1419" spans="1:2" ht="12.75" customHeight="1" x14ac:dyDescent="0.2">
      <c r="A1419" s="38" t="s">
        <v>1054</v>
      </c>
      <c r="B1419" s="38">
        <v>170150152003001</v>
      </c>
    </row>
    <row r="1420" spans="1:2" ht="12.75" customHeight="1" x14ac:dyDescent="0.2">
      <c r="A1420" s="38" t="s">
        <v>1048</v>
      </c>
      <c r="B1420" s="38">
        <v>170165002006002</v>
      </c>
    </row>
    <row r="1421" spans="1:2" ht="12.75" customHeight="1" x14ac:dyDescent="0.2">
      <c r="A1421" s="38" t="s">
        <v>1047</v>
      </c>
      <c r="B1421" s="38">
        <v>170165002006001</v>
      </c>
    </row>
    <row r="1422" spans="1:2" ht="12.75" customHeight="1" x14ac:dyDescent="0.2">
      <c r="A1422" s="38" t="s">
        <v>1048</v>
      </c>
      <c r="B1422" s="38">
        <v>170165002006003</v>
      </c>
    </row>
    <row r="1423" spans="1:2" ht="12.75" customHeight="1" x14ac:dyDescent="0.2">
      <c r="A1423" s="38" t="s">
        <v>1047</v>
      </c>
      <c r="B1423" s="38">
        <v>170165002006005</v>
      </c>
    </row>
    <row r="1424" spans="1:2" ht="12.75" customHeight="1" x14ac:dyDescent="0.2">
      <c r="A1424" s="38" t="s">
        <v>1049</v>
      </c>
      <c r="B1424" s="38">
        <v>170150170003001</v>
      </c>
    </row>
    <row r="1425" spans="1:2" ht="12.75" customHeight="1" x14ac:dyDescent="0.2">
      <c r="A1425" s="38" t="s">
        <v>1052</v>
      </c>
      <c r="B1425" s="38">
        <v>170150265003004</v>
      </c>
    </row>
    <row r="1426" spans="1:2" ht="12.75" customHeight="1" x14ac:dyDescent="0.2">
      <c r="A1426" s="38" t="s">
        <v>1052</v>
      </c>
      <c r="B1426" s="38">
        <v>170150265003001</v>
      </c>
    </row>
    <row r="1427" spans="1:2" ht="12.75" customHeight="1" x14ac:dyDescent="0.2">
      <c r="A1427" s="38" t="s">
        <v>1048</v>
      </c>
      <c r="B1427" s="38">
        <v>170165003001001</v>
      </c>
    </row>
    <row r="1428" spans="1:2" ht="12.75" customHeight="1" x14ac:dyDescent="0.2">
      <c r="A1428" s="38" t="s">
        <v>1050</v>
      </c>
      <c r="B1428" s="38">
        <v>170184011004001</v>
      </c>
    </row>
    <row r="1429" spans="1:2" ht="12.75" customHeight="1" x14ac:dyDescent="0.2">
      <c r="A1429" s="38" t="s">
        <v>1050</v>
      </c>
      <c r="B1429" s="38">
        <v>170184011004002</v>
      </c>
    </row>
    <row r="1430" spans="1:2" ht="12.75" customHeight="1" x14ac:dyDescent="0.2">
      <c r="A1430" s="38" t="s">
        <v>1049</v>
      </c>
      <c r="B1430" s="38">
        <v>170150903002001</v>
      </c>
    </row>
    <row r="1431" spans="1:2" ht="12.75" customHeight="1" x14ac:dyDescent="0.2">
      <c r="A1431" s="38" t="s">
        <v>1048</v>
      </c>
      <c r="B1431" s="38">
        <v>170186001009004</v>
      </c>
    </row>
    <row r="1432" spans="1:2" ht="12.75" customHeight="1" x14ac:dyDescent="0.2">
      <c r="A1432" s="38" t="s">
        <v>1056</v>
      </c>
      <c r="B1432" s="38">
        <v>170150236002001</v>
      </c>
    </row>
    <row r="1433" spans="1:2" ht="12.75" customHeight="1" x14ac:dyDescent="0.2">
      <c r="A1433" s="38" t="s">
        <v>1048</v>
      </c>
      <c r="B1433" s="38">
        <v>170186001009001</v>
      </c>
    </row>
    <row r="1434" spans="1:2" ht="12.75" customHeight="1" x14ac:dyDescent="0.2">
      <c r="A1434" s="38" t="s">
        <v>1046</v>
      </c>
      <c r="B1434" s="38">
        <v>170150166003001</v>
      </c>
    </row>
    <row r="1435" spans="1:2" ht="12.75" customHeight="1" x14ac:dyDescent="0.2">
      <c r="A1435" s="38" t="s">
        <v>1047</v>
      </c>
      <c r="B1435" s="38">
        <v>170154001007004</v>
      </c>
    </row>
    <row r="1436" spans="1:2" ht="12.75" customHeight="1" x14ac:dyDescent="0.2">
      <c r="A1436" s="38" t="s">
        <v>1047</v>
      </c>
      <c r="B1436" s="38">
        <v>170154001007003</v>
      </c>
    </row>
    <row r="1437" spans="1:2" ht="12.75" customHeight="1" x14ac:dyDescent="0.2">
      <c r="A1437" s="38" t="s">
        <v>1047</v>
      </c>
      <c r="B1437" s="38">
        <v>170154001007005</v>
      </c>
    </row>
    <row r="1438" spans="1:2" ht="12.75" customHeight="1" x14ac:dyDescent="0.2">
      <c r="A1438" s="38" t="s">
        <v>1047</v>
      </c>
      <c r="B1438" s="38">
        <v>170180002009002</v>
      </c>
    </row>
    <row r="1439" spans="1:2" ht="12.75" customHeight="1" x14ac:dyDescent="0.2">
      <c r="A1439" s="38" t="s">
        <v>1047</v>
      </c>
      <c r="B1439" s="38">
        <v>170180002009001</v>
      </c>
    </row>
    <row r="1440" spans="1:2" ht="12.75" customHeight="1" x14ac:dyDescent="0.2">
      <c r="A1440" s="38" t="s">
        <v>1052</v>
      </c>
      <c r="B1440" s="38">
        <v>170150191010002</v>
      </c>
    </row>
    <row r="1441" spans="1:2" ht="12.75" customHeight="1" x14ac:dyDescent="0.2">
      <c r="A1441" s="38" t="s">
        <v>1052</v>
      </c>
      <c r="B1441" s="38">
        <v>170150191010004</v>
      </c>
    </row>
    <row r="1442" spans="1:2" ht="12.75" customHeight="1" x14ac:dyDescent="0.2">
      <c r="A1442" s="38" t="s">
        <v>1052</v>
      </c>
      <c r="B1442" s="38">
        <v>170150191010003</v>
      </c>
    </row>
    <row r="1443" spans="1:2" ht="12.75" customHeight="1" x14ac:dyDescent="0.2">
      <c r="A1443" s="38" t="s">
        <v>1052</v>
      </c>
      <c r="B1443" s="38">
        <v>170150191010006</v>
      </c>
    </row>
    <row r="1444" spans="1:2" ht="12.75" customHeight="1" x14ac:dyDescent="0.2">
      <c r="A1444" s="38" t="s">
        <v>1050</v>
      </c>
      <c r="B1444" s="38">
        <v>170157009005001</v>
      </c>
    </row>
    <row r="1445" spans="1:2" ht="12.75" customHeight="1" x14ac:dyDescent="0.2">
      <c r="A1445" s="38" t="s">
        <v>1056</v>
      </c>
      <c r="B1445" s="38">
        <v>170150238008002</v>
      </c>
    </row>
    <row r="1446" spans="1:2" ht="12.75" customHeight="1" x14ac:dyDescent="0.2">
      <c r="A1446" s="38" t="s">
        <v>1056</v>
      </c>
      <c r="B1446" s="38">
        <v>170150238008001</v>
      </c>
    </row>
    <row r="1447" spans="1:2" ht="12.75" customHeight="1" x14ac:dyDescent="0.2">
      <c r="A1447" s="38" t="s">
        <v>1049</v>
      </c>
      <c r="B1447" s="38">
        <v>170150146004003</v>
      </c>
    </row>
    <row r="1448" spans="1:2" ht="12.75" customHeight="1" x14ac:dyDescent="0.2">
      <c r="A1448" s="38" t="s">
        <v>1049</v>
      </c>
      <c r="B1448" s="38">
        <v>170150146004002</v>
      </c>
    </row>
    <row r="1449" spans="1:2" ht="12.75" customHeight="1" x14ac:dyDescent="0.2">
      <c r="A1449" s="38" t="s">
        <v>1049</v>
      </c>
      <c r="B1449" s="38">
        <v>170150146004005</v>
      </c>
    </row>
    <row r="1450" spans="1:2" ht="12.75" customHeight="1" x14ac:dyDescent="0.2">
      <c r="A1450" s="38" t="s">
        <v>1049</v>
      </c>
      <c r="B1450" s="38">
        <v>170150146004006</v>
      </c>
    </row>
    <row r="1451" spans="1:2" ht="12.75" customHeight="1" x14ac:dyDescent="0.2">
      <c r="A1451" s="38" t="s">
        <v>1049</v>
      </c>
      <c r="B1451" s="38">
        <v>170150146004001</v>
      </c>
    </row>
    <row r="1452" spans="1:2" ht="12.75" customHeight="1" x14ac:dyDescent="0.2">
      <c r="A1452" s="38" t="s">
        <v>1049</v>
      </c>
      <c r="B1452" s="38">
        <v>170150091003003</v>
      </c>
    </row>
    <row r="1453" spans="1:2" ht="12.75" customHeight="1" x14ac:dyDescent="0.2">
      <c r="A1453" s="38" t="s">
        <v>1049</v>
      </c>
      <c r="B1453" s="38">
        <v>170150091003002</v>
      </c>
    </row>
    <row r="1454" spans="1:2" ht="12.75" customHeight="1" x14ac:dyDescent="0.2">
      <c r="A1454" s="38" t="s">
        <v>1049</v>
      </c>
      <c r="B1454" s="38">
        <v>170150091003004</v>
      </c>
    </row>
    <row r="1455" spans="1:2" ht="12.75" customHeight="1" x14ac:dyDescent="0.2">
      <c r="A1455" s="38" t="s">
        <v>1046</v>
      </c>
      <c r="B1455" s="38">
        <v>170150110004001</v>
      </c>
    </row>
    <row r="1456" spans="1:2" ht="12.75" customHeight="1" x14ac:dyDescent="0.2">
      <c r="A1456" s="38" t="s">
        <v>1049</v>
      </c>
      <c r="B1456" s="38">
        <v>170177005004002</v>
      </c>
    </row>
    <row r="1457" spans="1:2" ht="12.75" customHeight="1" x14ac:dyDescent="0.2">
      <c r="A1457" s="38" t="s">
        <v>1049</v>
      </c>
      <c r="B1457" s="38">
        <v>170177005004001</v>
      </c>
    </row>
    <row r="1458" spans="1:2" ht="12.75" customHeight="1" x14ac:dyDescent="0.2">
      <c r="A1458" s="38" t="s">
        <v>1049</v>
      </c>
      <c r="B1458" s="38">
        <v>170177005004003</v>
      </c>
    </row>
    <row r="1459" spans="1:2" ht="12.75" customHeight="1" x14ac:dyDescent="0.2">
      <c r="A1459" s="38" t="s">
        <v>1050</v>
      </c>
      <c r="B1459" s="38">
        <v>170160003003001</v>
      </c>
    </row>
    <row r="1460" spans="1:2" ht="12.75" customHeight="1" x14ac:dyDescent="0.2">
      <c r="A1460" s="38" t="s">
        <v>1050</v>
      </c>
      <c r="B1460" s="38">
        <v>170160003003002</v>
      </c>
    </row>
    <row r="1461" spans="1:2" ht="12.75" customHeight="1" x14ac:dyDescent="0.2">
      <c r="A1461" s="38" t="s">
        <v>1057</v>
      </c>
      <c r="B1461" s="38">
        <v>170150178001001</v>
      </c>
    </row>
    <row r="1462" spans="1:2" ht="12.75" customHeight="1" x14ac:dyDescent="0.2">
      <c r="A1462" s="38" t="s">
        <v>1060</v>
      </c>
      <c r="B1462" s="38">
        <v>170154001007001</v>
      </c>
    </row>
    <row r="1463" spans="1:2" ht="12.75" customHeight="1" x14ac:dyDescent="0.2">
      <c r="A1463" s="38" t="s">
        <v>1049</v>
      </c>
      <c r="B1463" s="38">
        <v>170177002004001</v>
      </c>
    </row>
    <row r="1464" spans="1:2" ht="12.75" customHeight="1" x14ac:dyDescent="0.2">
      <c r="A1464" s="38" t="s">
        <v>1049</v>
      </c>
      <c r="B1464" s="38">
        <v>170177002004002</v>
      </c>
    </row>
    <row r="1465" spans="1:2" ht="12.75" customHeight="1" x14ac:dyDescent="0.2">
      <c r="A1465" s="38" t="s">
        <v>1049</v>
      </c>
      <c r="B1465" s="38">
        <v>170150023011001</v>
      </c>
    </row>
    <row r="1466" spans="1:2" ht="12.75" customHeight="1" x14ac:dyDescent="0.2">
      <c r="A1466" s="38" t="s">
        <v>1046</v>
      </c>
      <c r="B1466" s="38">
        <v>170150145008001</v>
      </c>
    </row>
    <row r="1467" spans="1:2" ht="12.75" customHeight="1" x14ac:dyDescent="0.2">
      <c r="A1467" s="38" t="s">
        <v>1049</v>
      </c>
      <c r="B1467" s="38">
        <v>170150158001001</v>
      </c>
    </row>
    <row r="1468" spans="1:2" ht="12.75" customHeight="1" x14ac:dyDescent="0.2">
      <c r="A1468" s="38" t="s">
        <v>1049</v>
      </c>
      <c r="B1468" s="38">
        <v>170150158001003</v>
      </c>
    </row>
    <row r="1469" spans="1:2" ht="12.75" customHeight="1" x14ac:dyDescent="0.2">
      <c r="A1469" s="38" t="s">
        <v>1049</v>
      </c>
      <c r="B1469" s="38">
        <v>170150158001002</v>
      </c>
    </row>
    <row r="1470" spans="1:2" ht="12.75" customHeight="1" x14ac:dyDescent="0.2">
      <c r="A1470" s="38" t="s">
        <v>1049</v>
      </c>
      <c r="B1470" s="38">
        <v>170180010008001</v>
      </c>
    </row>
    <row r="1471" spans="1:2" ht="12.75" customHeight="1" x14ac:dyDescent="0.2">
      <c r="A1471" s="38" t="s">
        <v>1053</v>
      </c>
      <c r="B1471" s="38">
        <v>170174001001006</v>
      </c>
    </row>
    <row r="1472" spans="1:2" ht="12.75" customHeight="1" x14ac:dyDescent="0.2">
      <c r="A1472" s="38" t="s">
        <v>1052</v>
      </c>
      <c r="B1472" s="38">
        <v>170150222004004</v>
      </c>
    </row>
    <row r="1473" spans="1:2" ht="12.75" customHeight="1" x14ac:dyDescent="0.2">
      <c r="A1473" s="38" t="s">
        <v>1052</v>
      </c>
      <c r="B1473" s="38">
        <v>170150222004002</v>
      </c>
    </row>
    <row r="1474" spans="1:2" ht="12.75" customHeight="1" x14ac:dyDescent="0.2">
      <c r="A1474" s="38" t="s">
        <v>1052</v>
      </c>
      <c r="B1474" s="38">
        <v>170150197001001</v>
      </c>
    </row>
    <row r="1475" spans="1:2" ht="12.75" customHeight="1" x14ac:dyDescent="0.2">
      <c r="A1475" s="38" t="s">
        <v>1051</v>
      </c>
      <c r="B1475" s="38">
        <v>170155018005012</v>
      </c>
    </row>
    <row r="1476" spans="1:2" ht="12.75" customHeight="1" x14ac:dyDescent="0.2">
      <c r="A1476" s="38" t="s">
        <v>1056</v>
      </c>
      <c r="B1476" s="38">
        <v>170150237008001</v>
      </c>
    </row>
    <row r="1477" spans="1:2" ht="12.75" customHeight="1" x14ac:dyDescent="0.2">
      <c r="A1477" s="38" t="s">
        <v>1046</v>
      </c>
      <c r="B1477" s="38">
        <v>170150053003001</v>
      </c>
    </row>
    <row r="1478" spans="1:2" ht="12.75" customHeight="1" x14ac:dyDescent="0.2">
      <c r="A1478" s="38" t="s">
        <v>1046</v>
      </c>
      <c r="B1478" s="38">
        <v>170150053003003</v>
      </c>
    </row>
    <row r="1479" spans="1:2" ht="12.75" customHeight="1" x14ac:dyDescent="0.2">
      <c r="A1479" s="38" t="s">
        <v>1046</v>
      </c>
      <c r="B1479" s="38">
        <v>170150053003005</v>
      </c>
    </row>
    <row r="1480" spans="1:2" ht="12.75" customHeight="1" x14ac:dyDescent="0.2">
      <c r="A1480" s="38" t="s">
        <v>1046</v>
      </c>
      <c r="B1480" s="38">
        <v>170150053003004</v>
      </c>
    </row>
    <row r="1481" spans="1:2" ht="12.75" customHeight="1" x14ac:dyDescent="0.2">
      <c r="A1481" s="38" t="s">
        <v>1046</v>
      </c>
      <c r="B1481" s="38">
        <v>170150104004001</v>
      </c>
    </row>
    <row r="1482" spans="1:2" ht="12.75" customHeight="1" x14ac:dyDescent="0.2">
      <c r="A1482" s="38" t="s">
        <v>1052</v>
      </c>
      <c r="B1482" s="38">
        <v>170156013007003</v>
      </c>
    </row>
    <row r="1483" spans="1:2" ht="12.75" customHeight="1" x14ac:dyDescent="0.2">
      <c r="A1483" s="38" t="s">
        <v>1052</v>
      </c>
      <c r="B1483" s="38">
        <v>170156013007002</v>
      </c>
    </row>
    <row r="1484" spans="1:2" ht="12.75" customHeight="1" x14ac:dyDescent="0.2">
      <c r="A1484" s="38" t="s">
        <v>1052</v>
      </c>
      <c r="B1484" s="38">
        <v>170156013007004</v>
      </c>
    </row>
    <row r="1485" spans="1:2" ht="12.75" customHeight="1" x14ac:dyDescent="0.2">
      <c r="A1485" s="38" t="s">
        <v>1049</v>
      </c>
      <c r="B1485" s="38">
        <v>170150047004002</v>
      </c>
    </row>
    <row r="1486" spans="1:2" ht="12.75" customHeight="1" x14ac:dyDescent="0.2">
      <c r="A1486" s="38" t="s">
        <v>1046</v>
      </c>
      <c r="B1486" s="38">
        <v>170150011004006</v>
      </c>
    </row>
    <row r="1487" spans="1:2" ht="12.75" customHeight="1" x14ac:dyDescent="0.2">
      <c r="A1487" s="38" t="s">
        <v>1046</v>
      </c>
      <c r="B1487" s="38">
        <v>170150011004005</v>
      </c>
    </row>
    <row r="1488" spans="1:2" ht="12.75" customHeight="1" x14ac:dyDescent="0.2">
      <c r="A1488" s="38" t="s">
        <v>1049</v>
      </c>
      <c r="B1488" s="38">
        <v>170150047004001</v>
      </c>
    </row>
    <row r="1489" spans="1:2" ht="12.75" customHeight="1" x14ac:dyDescent="0.2">
      <c r="A1489" s="38" t="s">
        <v>1046</v>
      </c>
      <c r="B1489" s="38">
        <v>170150011004002</v>
      </c>
    </row>
    <row r="1490" spans="1:2" ht="12.75" customHeight="1" x14ac:dyDescent="0.2">
      <c r="A1490" s="38" t="s">
        <v>1046</v>
      </c>
      <c r="B1490" s="38">
        <v>170150011004001</v>
      </c>
    </row>
    <row r="1491" spans="1:2" ht="12.75" customHeight="1" x14ac:dyDescent="0.2">
      <c r="A1491" s="38" t="s">
        <v>1046</v>
      </c>
      <c r="B1491" s="38">
        <v>170150011004004</v>
      </c>
    </row>
    <row r="1492" spans="1:2" ht="12.75" customHeight="1" x14ac:dyDescent="0.2">
      <c r="A1492" s="38" t="s">
        <v>1046</v>
      </c>
      <c r="B1492" s="38">
        <v>170150011004003</v>
      </c>
    </row>
    <row r="1493" spans="1:2" ht="12.75" customHeight="1" x14ac:dyDescent="0.2">
      <c r="A1493" s="38" t="s">
        <v>1049</v>
      </c>
      <c r="B1493" s="38">
        <v>170150106004003</v>
      </c>
    </row>
    <row r="1494" spans="1:2" ht="12.75" customHeight="1" x14ac:dyDescent="0.2">
      <c r="A1494" s="38" t="s">
        <v>1050</v>
      </c>
      <c r="B1494" s="38">
        <v>170185002003005</v>
      </c>
    </row>
    <row r="1495" spans="1:2" ht="12.75" customHeight="1" x14ac:dyDescent="0.2">
      <c r="A1495" s="38" t="s">
        <v>1050</v>
      </c>
      <c r="B1495" s="38">
        <v>170185002003007</v>
      </c>
    </row>
    <row r="1496" spans="1:2" ht="12.75" customHeight="1" x14ac:dyDescent="0.2">
      <c r="A1496" s="38" t="s">
        <v>1050</v>
      </c>
      <c r="B1496" s="38">
        <v>170185002003006</v>
      </c>
    </row>
    <row r="1497" spans="1:2" ht="12.75" customHeight="1" x14ac:dyDescent="0.2">
      <c r="A1497" s="38" t="s">
        <v>1050</v>
      </c>
      <c r="B1497" s="38">
        <v>170185002003001</v>
      </c>
    </row>
    <row r="1498" spans="1:2" ht="12.75" customHeight="1" x14ac:dyDescent="0.2">
      <c r="A1498" s="38" t="s">
        <v>1053</v>
      </c>
      <c r="B1498" s="38">
        <v>170150092010001</v>
      </c>
    </row>
    <row r="1499" spans="1:2" ht="12.75" customHeight="1" x14ac:dyDescent="0.2">
      <c r="A1499" s="38" t="s">
        <v>1050</v>
      </c>
      <c r="B1499" s="38">
        <v>170184013004001</v>
      </c>
    </row>
    <row r="1500" spans="1:2" ht="12.75" customHeight="1" x14ac:dyDescent="0.2">
      <c r="A1500" s="38" t="s">
        <v>1052</v>
      </c>
      <c r="B1500" s="38">
        <v>170156015006001</v>
      </c>
    </row>
    <row r="1501" spans="1:2" ht="12.75" customHeight="1" x14ac:dyDescent="0.2">
      <c r="A1501" s="38" t="s">
        <v>1049</v>
      </c>
      <c r="B1501" s="38">
        <v>170150024009001</v>
      </c>
    </row>
    <row r="1502" spans="1:2" ht="12.75" customHeight="1" x14ac:dyDescent="0.2">
      <c r="A1502" s="38" t="s">
        <v>1049</v>
      </c>
      <c r="B1502" s="38">
        <v>170177006008001</v>
      </c>
    </row>
    <row r="1503" spans="1:2" ht="12.75" customHeight="1" x14ac:dyDescent="0.2">
      <c r="A1503" s="38" t="s">
        <v>1049</v>
      </c>
      <c r="B1503" s="38">
        <v>170177006008002</v>
      </c>
    </row>
    <row r="1504" spans="1:2" ht="12.75" customHeight="1" x14ac:dyDescent="0.2">
      <c r="A1504" s="38" t="s">
        <v>1052</v>
      </c>
      <c r="B1504" s="38">
        <v>170176001012002</v>
      </c>
    </row>
    <row r="1505" spans="1:2" ht="12.75" customHeight="1" x14ac:dyDescent="0.2">
      <c r="A1505" s="38" t="s">
        <v>1052</v>
      </c>
      <c r="B1505" s="38">
        <v>170176001012001</v>
      </c>
    </row>
    <row r="1506" spans="1:2" ht="12.75" customHeight="1" x14ac:dyDescent="0.2">
      <c r="A1506" s="38" t="s">
        <v>1050</v>
      </c>
      <c r="B1506" s="38">
        <v>170184009008002</v>
      </c>
    </row>
    <row r="1507" spans="1:2" ht="12.75" customHeight="1" x14ac:dyDescent="0.2">
      <c r="A1507" s="38" t="s">
        <v>1050</v>
      </c>
      <c r="B1507" s="38">
        <v>170184009008001</v>
      </c>
    </row>
    <row r="1508" spans="1:2" ht="12.75" customHeight="1" x14ac:dyDescent="0.2">
      <c r="A1508" s="38" t="s">
        <v>1051</v>
      </c>
      <c r="B1508" s="38">
        <v>170150043010001</v>
      </c>
    </row>
    <row r="1509" spans="1:2" ht="12.75" customHeight="1" x14ac:dyDescent="0.2">
      <c r="A1509" s="38" t="s">
        <v>1048</v>
      </c>
      <c r="B1509" s="38">
        <v>170150176008001</v>
      </c>
    </row>
    <row r="1510" spans="1:2" ht="12.75" customHeight="1" x14ac:dyDescent="0.2">
      <c r="A1510" s="38" t="s">
        <v>1055</v>
      </c>
      <c r="B1510" s="38">
        <v>170150215008008</v>
      </c>
    </row>
    <row r="1511" spans="1:2" ht="12.75" customHeight="1" x14ac:dyDescent="0.2">
      <c r="A1511" s="38" t="s">
        <v>1056</v>
      </c>
      <c r="B1511" s="38">
        <v>170150215008001</v>
      </c>
    </row>
    <row r="1512" spans="1:2" ht="12.75" customHeight="1" x14ac:dyDescent="0.2">
      <c r="A1512" s="38" t="s">
        <v>1055</v>
      </c>
      <c r="B1512" s="38">
        <v>170150234001002</v>
      </c>
    </row>
    <row r="1513" spans="1:2" ht="12.75" customHeight="1" x14ac:dyDescent="0.2">
      <c r="A1513" s="38" t="s">
        <v>1055</v>
      </c>
      <c r="B1513" s="38">
        <v>170150234001001</v>
      </c>
    </row>
    <row r="1514" spans="1:2" ht="12.75" customHeight="1" x14ac:dyDescent="0.2">
      <c r="A1514" s="38" t="s">
        <v>1049</v>
      </c>
      <c r="B1514" s="38">
        <v>170150048003001</v>
      </c>
    </row>
    <row r="1515" spans="1:2" ht="12.75" customHeight="1" x14ac:dyDescent="0.2">
      <c r="A1515" s="38" t="s">
        <v>1047</v>
      </c>
      <c r="B1515" s="38">
        <v>170180001002015</v>
      </c>
    </row>
    <row r="1516" spans="1:2" ht="12.75" customHeight="1" x14ac:dyDescent="0.2">
      <c r="A1516" s="38" t="s">
        <v>1047</v>
      </c>
      <c r="B1516" s="38">
        <v>170180001002014</v>
      </c>
    </row>
    <row r="1517" spans="1:2" ht="12.75" customHeight="1" x14ac:dyDescent="0.2">
      <c r="A1517" s="38" t="s">
        <v>1047</v>
      </c>
      <c r="B1517" s="38">
        <v>170180001002016</v>
      </c>
    </row>
    <row r="1518" spans="1:2" ht="12.75" customHeight="1" x14ac:dyDescent="0.2">
      <c r="A1518" s="38" t="s">
        <v>1052</v>
      </c>
      <c r="B1518" s="38">
        <v>170156004005001</v>
      </c>
    </row>
    <row r="1519" spans="1:2" ht="12.75" customHeight="1" x14ac:dyDescent="0.2">
      <c r="A1519" s="38" t="s">
        <v>1046</v>
      </c>
      <c r="B1519" s="38">
        <v>170150095009001</v>
      </c>
    </row>
    <row r="1520" spans="1:2" ht="12.75" customHeight="1" x14ac:dyDescent="0.2">
      <c r="A1520" s="38" t="s">
        <v>1054</v>
      </c>
      <c r="B1520" s="38">
        <v>170179001007001</v>
      </c>
    </row>
    <row r="1521" spans="1:2" ht="12.75" customHeight="1" x14ac:dyDescent="0.2">
      <c r="A1521" s="38" t="s">
        <v>1054</v>
      </c>
      <c r="B1521" s="38">
        <v>170179001007003</v>
      </c>
    </row>
    <row r="1522" spans="1:2" ht="12.75" customHeight="1" x14ac:dyDescent="0.2">
      <c r="A1522" s="38" t="s">
        <v>1054</v>
      </c>
      <c r="B1522" s="38">
        <v>170179001007002</v>
      </c>
    </row>
    <row r="1523" spans="1:2" ht="12.75" customHeight="1" x14ac:dyDescent="0.2">
      <c r="A1523" s="38" t="s">
        <v>1054</v>
      </c>
      <c r="B1523" s="38">
        <v>170179001007004</v>
      </c>
    </row>
    <row r="1524" spans="1:2" ht="12.75" customHeight="1" x14ac:dyDescent="0.2">
      <c r="A1524" s="38" t="s">
        <v>1047</v>
      </c>
      <c r="B1524" s="38">
        <v>170177906011001</v>
      </c>
    </row>
    <row r="1525" spans="1:2" ht="12.75" customHeight="1" x14ac:dyDescent="0.2">
      <c r="A1525" s="38" t="s">
        <v>1053</v>
      </c>
      <c r="B1525" s="38">
        <v>170180003001005</v>
      </c>
    </row>
    <row r="1526" spans="1:2" ht="12.75" customHeight="1" x14ac:dyDescent="0.2">
      <c r="A1526" s="38" t="s">
        <v>1053</v>
      </c>
      <c r="B1526" s="38">
        <v>170180003001004</v>
      </c>
    </row>
    <row r="1527" spans="1:2" ht="12.75" customHeight="1" x14ac:dyDescent="0.2">
      <c r="A1527" s="38" t="s">
        <v>1053</v>
      </c>
      <c r="B1527" s="38">
        <v>170180003001007</v>
      </c>
    </row>
    <row r="1528" spans="1:2" ht="12.75" customHeight="1" x14ac:dyDescent="0.2">
      <c r="A1528" s="38" t="s">
        <v>1053</v>
      </c>
      <c r="B1528" s="38">
        <v>170180003001006</v>
      </c>
    </row>
    <row r="1529" spans="1:2" ht="12.75" customHeight="1" x14ac:dyDescent="0.2">
      <c r="A1529" s="38" t="s">
        <v>1053</v>
      </c>
      <c r="B1529" s="38">
        <v>170180003001010</v>
      </c>
    </row>
    <row r="1530" spans="1:2" ht="12.75" customHeight="1" x14ac:dyDescent="0.2">
      <c r="A1530" s="38" t="s">
        <v>1049</v>
      </c>
      <c r="B1530" s="38">
        <v>170177003008001</v>
      </c>
    </row>
    <row r="1531" spans="1:2" ht="12.75" customHeight="1" x14ac:dyDescent="0.2">
      <c r="A1531" s="38" t="s">
        <v>1047</v>
      </c>
      <c r="B1531" s="38">
        <v>170177906011010</v>
      </c>
    </row>
    <row r="1532" spans="1:2" ht="12.75" customHeight="1" x14ac:dyDescent="0.2">
      <c r="A1532" s="38" t="s">
        <v>1047</v>
      </c>
      <c r="B1532" s="38">
        <v>170180001002003</v>
      </c>
    </row>
    <row r="1533" spans="1:2" ht="12.75" customHeight="1" x14ac:dyDescent="0.2">
      <c r="A1533" s="38" t="s">
        <v>1046</v>
      </c>
      <c r="B1533" s="38">
        <v>170150062004001</v>
      </c>
    </row>
    <row r="1534" spans="1:2" ht="12.75" customHeight="1" x14ac:dyDescent="0.2">
      <c r="A1534" s="38" t="s">
        <v>1052</v>
      </c>
      <c r="B1534" s="38">
        <v>170150266006013</v>
      </c>
    </row>
    <row r="1535" spans="1:2" ht="12.75" customHeight="1" x14ac:dyDescent="0.2">
      <c r="A1535" s="38" t="s">
        <v>1050</v>
      </c>
      <c r="B1535" s="38">
        <v>170185001011001</v>
      </c>
    </row>
    <row r="1536" spans="1:2" ht="12.75" customHeight="1" x14ac:dyDescent="0.2">
      <c r="A1536" s="38" t="s">
        <v>1047</v>
      </c>
      <c r="B1536" s="38">
        <v>170180001002008</v>
      </c>
    </row>
    <row r="1537" spans="1:2" ht="12.75" customHeight="1" x14ac:dyDescent="0.2">
      <c r="A1537" s="38" t="s">
        <v>1054</v>
      </c>
      <c r="B1537" s="38">
        <v>170150152002001</v>
      </c>
    </row>
    <row r="1538" spans="1:2" ht="12.75" customHeight="1" x14ac:dyDescent="0.2">
      <c r="A1538" s="38" t="s">
        <v>1047</v>
      </c>
      <c r="B1538" s="38">
        <v>170180001002007</v>
      </c>
    </row>
    <row r="1539" spans="1:2" ht="12.75" customHeight="1" x14ac:dyDescent="0.2">
      <c r="A1539" s="38" t="s">
        <v>1049</v>
      </c>
      <c r="B1539" s="38">
        <v>170150113002002</v>
      </c>
    </row>
    <row r="1540" spans="1:2" ht="12.75" customHeight="1" x14ac:dyDescent="0.2">
      <c r="A1540" s="38" t="s">
        <v>1046</v>
      </c>
      <c r="B1540" s="38">
        <v>170150098001002</v>
      </c>
    </row>
    <row r="1541" spans="1:2" ht="12.75" customHeight="1" x14ac:dyDescent="0.2">
      <c r="A1541" s="38" t="s">
        <v>1046</v>
      </c>
      <c r="B1541" s="38">
        <v>170150098001001</v>
      </c>
    </row>
    <row r="1542" spans="1:2" ht="12.75" customHeight="1" x14ac:dyDescent="0.2">
      <c r="A1542" s="38" t="s">
        <v>1050</v>
      </c>
      <c r="B1542" s="38">
        <v>170163004006002</v>
      </c>
    </row>
    <row r="1543" spans="1:2" ht="12.75" customHeight="1" x14ac:dyDescent="0.2">
      <c r="A1543" s="38" t="s">
        <v>1050</v>
      </c>
      <c r="B1543" s="38">
        <v>170163004006001</v>
      </c>
    </row>
    <row r="1544" spans="1:2" ht="12.75" customHeight="1" x14ac:dyDescent="0.2">
      <c r="A1544" s="38" t="s">
        <v>1046</v>
      </c>
      <c r="B1544" s="38">
        <v>170150168006001</v>
      </c>
    </row>
    <row r="1545" spans="1:2" ht="12.75" customHeight="1" x14ac:dyDescent="0.2">
      <c r="A1545" s="38" t="s">
        <v>1048</v>
      </c>
      <c r="B1545" s="38">
        <v>170165002005001</v>
      </c>
    </row>
    <row r="1546" spans="1:2" ht="12.75" customHeight="1" x14ac:dyDescent="0.2">
      <c r="A1546" s="38" t="s">
        <v>1048</v>
      </c>
      <c r="B1546" s="38">
        <v>170165002005003</v>
      </c>
    </row>
    <row r="1547" spans="1:2" ht="12.75" customHeight="1" x14ac:dyDescent="0.2">
      <c r="A1547" s="38" t="s">
        <v>1048</v>
      </c>
      <c r="B1547" s="38">
        <v>170165002005002</v>
      </c>
    </row>
    <row r="1548" spans="1:2" ht="12.75" customHeight="1" x14ac:dyDescent="0.2">
      <c r="A1548" s="38" t="s">
        <v>1046</v>
      </c>
      <c r="B1548" s="38">
        <v>170150167006001</v>
      </c>
    </row>
    <row r="1549" spans="1:2" ht="12.75" customHeight="1" x14ac:dyDescent="0.2">
      <c r="A1549" s="38" t="s">
        <v>1046</v>
      </c>
      <c r="B1549" s="38">
        <v>170150159007001</v>
      </c>
    </row>
    <row r="1550" spans="1:2" ht="12.75" customHeight="1" x14ac:dyDescent="0.2">
      <c r="A1550" s="38" t="s">
        <v>1058</v>
      </c>
      <c r="B1550" s="38">
        <v>170175003010001</v>
      </c>
    </row>
    <row r="1551" spans="1:2" ht="12.75" customHeight="1" x14ac:dyDescent="0.2">
      <c r="A1551" s="38" t="s">
        <v>1049</v>
      </c>
      <c r="B1551" s="38">
        <v>170177007003001</v>
      </c>
    </row>
    <row r="1552" spans="1:2" ht="12.75" customHeight="1" x14ac:dyDescent="0.2">
      <c r="A1552" s="38" t="s">
        <v>1049</v>
      </c>
      <c r="B1552" s="38">
        <v>170150170002003</v>
      </c>
    </row>
    <row r="1553" spans="1:2" ht="12.75" customHeight="1" x14ac:dyDescent="0.2">
      <c r="A1553" s="38" t="s">
        <v>1047</v>
      </c>
      <c r="B1553" s="38">
        <v>170150040005007</v>
      </c>
    </row>
    <row r="1554" spans="1:2" ht="12.75" customHeight="1" x14ac:dyDescent="0.2">
      <c r="A1554" s="38" t="s">
        <v>1047</v>
      </c>
      <c r="B1554" s="38">
        <v>170150040005009</v>
      </c>
    </row>
    <row r="1555" spans="1:2" ht="12.75" customHeight="1" x14ac:dyDescent="0.2">
      <c r="A1555" s="38" t="s">
        <v>1047</v>
      </c>
      <c r="B1555" s="38">
        <v>170150040005008</v>
      </c>
    </row>
    <row r="1556" spans="1:2" ht="12.75" customHeight="1" x14ac:dyDescent="0.2">
      <c r="A1556" s="38" t="s">
        <v>1052</v>
      </c>
      <c r="B1556" s="38">
        <v>170150265002010</v>
      </c>
    </row>
    <row r="1557" spans="1:2" ht="12.75" customHeight="1" x14ac:dyDescent="0.2">
      <c r="A1557" s="38" t="s">
        <v>1058</v>
      </c>
      <c r="B1557" s="38">
        <v>170175003009001</v>
      </c>
    </row>
    <row r="1558" spans="1:2" ht="12.75" customHeight="1" x14ac:dyDescent="0.2">
      <c r="A1558" s="38" t="s">
        <v>1050</v>
      </c>
      <c r="B1558" s="38">
        <v>170157007005004</v>
      </c>
    </row>
    <row r="1559" spans="1:2" ht="12.75" customHeight="1" x14ac:dyDescent="0.2">
      <c r="A1559" s="38" t="s">
        <v>1056</v>
      </c>
      <c r="B1559" s="38">
        <v>170150236001001</v>
      </c>
    </row>
    <row r="1560" spans="1:2" ht="12.75" customHeight="1" x14ac:dyDescent="0.2">
      <c r="A1560" s="38" t="s">
        <v>1050</v>
      </c>
      <c r="B1560" s="38">
        <v>170157009004003</v>
      </c>
    </row>
    <row r="1561" spans="1:2" ht="12.75" customHeight="1" x14ac:dyDescent="0.2">
      <c r="A1561" s="38" t="s">
        <v>1051</v>
      </c>
      <c r="B1561" s="38">
        <v>170150128007001</v>
      </c>
    </row>
    <row r="1562" spans="1:2" ht="12.75" customHeight="1" x14ac:dyDescent="0.2">
      <c r="A1562" s="38" t="s">
        <v>1046</v>
      </c>
      <c r="B1562" s="38">
        <v>170150166002001</v>
      </c>
    </row>
    <row r="1563" spans="1:2" ht="12.75" customHeight="1" x14ac:dyDescent="0.2">
      <c r="A1563" s="38" t="s">
        <v>1048</v>
      </c>
      <c r="B1563" s="38">
        <v>170155048010002</v>
      </c>
    </row>
    <row r="1564" spans="1:2" ht="12.75" customHeight="1" x14ac:dyDescent="0.2">
      <c r="A1564" s="38" t="s">
        <v>1048</v>
      </c>
      <c r="B1564" s="38">
        <v>170155048010004</v>
      </c>
    </row>
    <row r="1565" spans="1:2" ht="12.75" customHeight="1" x14ac:dyDescent="0.2">
      <c r="A1565" s="38" t="s">
        <v>1048</v>
      </c>
      <c r="B1565" s="38">
        <v>170155048010003</v>
      </c>
    </row>
    <row r="1566" spans="1:2" ht="12.75" customHeight="1" x14ac:dyDescent="0.2">
      <c r="A1566" s="38" t="s">
        <v>1052</v>
      </c>
      <c r="B1566" s="38">
        <v>170150265002003</v>
      </c>
    </row>
    <row r="1567" spans="1:2" ht="12.75" customHeight="1" x14ac:dyDescent="0.2">
      <c r="A1567" s="38" t="s">
        <v>1051</v>
      </c>
      <c r="B1567" s="38">
        <v>170150114010003</v>
      </c>
    </row>
    <row r="1568" spans="1:2" ht="12.75" customHeight="1" x14ac:dyDescent="0.2">
      <c r="A1568" s="38" t="s">
        <v>1051</v>
      </c>
      <c r="B1568" s="38">
        <v>170150114010005</v>
      </c>
    </row>
    <row r="1569" spans="1:2" ht="12.75" customHeight="1" x14ac:dyDescent="0.2">
      <c r="A1569" s="38" t="s">
        <v>1047</v>
      </c>
      <c r="B1569" s="38">
        <v>170180002008002</v>
      </c>
    </row>
    <row r="1570" spans="1:2" ht="12.75" customHeight="1" x14ac:dyDescent="0.2">
      <c r="A1570" s="38" t="s">
        <v>1051</v>
      </c>
      <c r="B1570" s="38">
        <v>170150114010004</v>
      </c>
    </row>
    <row r="1571" spans="1:2" ht="12.75" customHeight="1" x14ac:dyDescent="0.2">
      <c r="A1571" s="38" t="s">
        <v>1048</v>
      </c>
      <c r="B1571" s="38">
        <v>170150176007001</v>
      </c>
    </row>
    <row r="1572" spans="1:2" ht="12.75" customHeight="1" x14ac:dyDescent="0.2">
      <c r="A1572" s="38" t="s">
        <v>1048</v>
      </c>
      <c r="B1572" s="38">
        <v>170150176007003</v>
      </c>
    </row>
    <row r="1573" spans="1:2" ht="12.75" customHeight="1" x14ac:dyDescent="0.2">
      <c r="A1573" s="38" t="s">
        <v>1048</v>
      </c>
      <c r="B1573" s="38">
        <v>170150176007002</v>
      </c>
    </row>
    <row r="1574" spans="1:2" ht="12.75" customHeight="1" x14ac:dyDescent="0.2">
      <c r="A1574" s="38" t="s">
        <v>1053</v>
      </c>
      <c r="B1574" s="38">
        <v>170180004008001</v>
      </c>
    </row>
    <row r="1575" spans="1:2" ht="12.75" customHeight="1" x14ac:dyDescent="0.2">
      <c r="A1575" s="38" t="s">
        <v>1052</v>
      </c>
      <c r="B1575" s="38">
        <v>170164928001022</v>
      </c>
    </row>
    <row r="1576" spans="1:2" ht="12.75" customHeight="1" x14ac:dyDescent="0.2">
      <c r="A1576" s="38" t="s">
        <v>1051</v>
      </c>
      <c r="B1576" s="38">
        <v>170150072010002</v>
      </c>
    </row>
    <row r="1577" spans="1:2" ht="12.75" customHeight="1" x14ac:dyDescent="0.2">
      <c r="A1577" s="38" t="s">
        <v>1051</v>
      </c>
      <c r="B1577" s="38">
        <v>170177906009001</v>
      </c>
    </row>
    <row r="1578" spans="1:2" ht="12.75" customHeight="1" x14ac:dyDescent="0.2">
      <c r="A1578" s="38" t="s">
        <v>1047</v>
      </c>
      <c r="B1578" s="38">
        <v>170177906009007</v>
      </c>
    </row>
    <row r="1579" spans="1:2" ht="12.75" customHeight="1" x14ac:dyDescent="0.2">
      <c r="A1579" s="38" t="s">
        <v>1047</v>
      </c>
      <c r="B1579" s="38">
        <v>170177906009006</v>
      </c>
    </row>
    <row r="1580" spans="1:2" ht="12.75" customHeight="1" x14ac:dyDescent="0.2">
      <c r="A1580" s="38" t="s">
        <v>1051</v>
      </c>
      <c r="B1580" s="38">
        <v>170177906009008</v>
      </c>
    </row>
    <row r="1581" spans="1:2" ht="12.75" customHeight="1" x14ac:dyDescent="0.2">
      <c r="A1581" s="38" t="s">
        <v>1049</v>
      </c>
      <c r="B1581" s="38">
        <v>170180010007005</v>
      </c>
    </row>
    <row r="1582" spans="1:2" ht="12.75" customHeight="1" x14ac:dyDescent="0.2">
      <c r="A1582" s="38" t="s">
        <v>1049</v>
      </c>
      <c r="B1582" s="38">
        <v>170150169001001</v>
      </c>
    </row>
    <row r="1583" spans="1:2" ht="12.75" customHeight="1" x14ac:dyDescent="0.2">
      <c r="A1583" s="38" t="s">
        <v>1049</v>
      </c>
      <c r="B1583" s="38">
        <v>170150169001003</v>
      </c>
    </row>
    <row r="1584" spans="1:2" ht="12.75" customHeight="1" x14ac:dyDescent="0.2">
      <c r="A1584" s="38" t="s">
        <v>1049</v>
      </c>
      <c r="B1584" s="38">
        <v>170150169001002</v>
      </c>
    </row>
    <row r="1585" spans="1:2" ht="12.75" customHeight="1" x14ac:dyDescent="0.2">
      <c r="A1585" s="38" t="s">
        <v>1056</v>
      </c>
      <c r="B1585" s="38">
        <v>170150238007001</v>
      </c>
    </row>
    <row r="1586" spans="1:2" ht="12.75" customHeight="1" x14ac:dyDescent="0.2">
      <c r="A1586" s="38" t="s">
        <v>1046</v>
      </c>
      <c r="B1586" s="38">
        <v>170150093001001</v>
      </c>
    </row>
    <row r="1587" spans="1:2" ht="12.75" customHeight="1" x14ac:dyDescent="0.2">
      <c r="A1587" s="38" t="s">
        <v>1046</v>
      </c>
      <c r="B1587" s="38">
        <v>170150093001002</v>
      </c>
    </row>
    <row r="1588" spans="1:2" ht="12.75" customHeight="1" x14ac:dyDescent="0.2">
      <c r="A1588" s="38" t="s">
        <v>1052</v>
      </c>
      <c r="B1588" s="38">
        <v>170150221007002</v>
      </c>
    </row>
    <row r="1589" spans="1:2" ht="12.75" customHeight="1" x14ac:dyDescent="0.2">
      <c r="A1589" s="38" t="s">
        <v>1052</v>
      </c>
      <c r="B1589" s="38">
        <v>170150197012001</v>
      </c>
    </row>
    <row r="1590" spans="1:2" ht="12.75" customHeight="1" x14ac:dyDescent="0.2">
      <c r="A1590" s="38" t="s">
        <v>1056</v>
      </c>
      <c r="B1590" s="38">
        <v>170150243002001</v>
      </c>
    </row>
    <row r="1591" spans="1:2" ht="12.75" customHeight="1" x14ac:dyDescent="0.2">
      <c r="A1591" s="38" t="s">
        <v>1050</v>
      </c>
      <c r="B1591" s="38">
        <v>170160003002001</v>
      </c>
    </row>
    <row r="1592" spans="1:2" ht="12.75" customHeight="1" x14ac:dyDescent="0.2">
      <c r="A1592" s="38" t="s">
        <v>1050</v>
      </c>
      <c r="B1592" s="38">
        <v>170160003002004</v>
      </c>
    </row>
    <row r="1593" spans="1:2" ht="12.75" customHeight="1" x14ac:dyDescent="0.2">
      <c r="A1593" s="38" t="s">
        <v>1050</v>
      </c>
      <c r="B1593" s="38">
        <v>170160003002003</v>
      </c>
    </row>
    <row r="1594" spans="1:2" ht="12.75" customHeight="1" x14ac:dyDescent="0.2">
      <c r="A1594" s="38" t="s">
        <v>1052</v>
      </c>
      <c r="B1594" s="38">
        <v>170156013006004</v>
      </c>
    </row>
    <row r="1595" spans="1:2" ht="12.75" customHeight="1" x14ac:dyDescent="0.2">
      <c r="A1595" s="38" t="s">
        <v>1048</v>
      </c>
      <c r="B1595" s="38">
        <v>170150179007001</v>
      </c>
    </row>
    <row r="1596" spans="1:2" ht="12.75" customHeight="1" x14ac:dyDescent="0.2">
      <c r="A1596" s="38" t="s">
        <v>1046</v>
      </c>
      <c r="B1596" s="38">
        <v>170150053002006</v>
      </c>
    </row>
    <row r="1597" spans="1:2" ht="12.75" customHeight="1" x14ac:dyDescent="0.2">
      <c r="A1597" s="38" t="s">
        <v>1046</v>
      </c>
      <c r="B1597" s="38">
        <v>170150053002001</v>
      </c>
    </row>
    <row r="1598" spans="1:2" ht="12.75" customHeight="1" x14ac:dyDescent="0.2">
      <c r="A1598" s="38" t="s">
        <v>1049</v>
      </c>
      <c r="B1598" s="38">
        <v>170150047003001</v>
      </c>
    </row>
    <row r="1599" spans="1:2" ht="12.75" customHeight="1" x14ac:dyDescent="0.2">
      <c r="A1599" s="38" t="s">
        <v>1049</v>
      </c>
      <c r="B1599" s="38">
        <v>170150047003004</v>
      </c>
    </row>
    <row r="1600" spans="1:2" ht="12.75" customHeight="1" x14ac:dyDescent="0.2">
      <c r="A1600" s="38" t="s">
        <v>1050</v>
      </c>
      <c r="B1600" s="38">
        <v>170184013003002</v>
      </c>
    </row>
    <row r="1601" spans="1:2" ht="12.75" customHeight="1" x14ac:dyDescent="0.2">
      <c r="A1601" s="38" t="s">
        <v>1050</v>
      </c>
      <c r="B1601" s="38">
        <v>170184013003001</v>
      </c>
    </row>
    <row r="1602" spans="1:2" ht="12.75" customHeight="1" x14ac:dyDescent="0.2">
      <c r="A1602" s="38" t="s">
        <v>1056</v>
      </c>
      <c r="B1602" s="38">
        <v>170150237007001</v>
      </c>
    </row>
    <row r="1603" spans="1:2" ht="12.75" customHeight="1" x14ac:dyDescent="0.2">
      <c r="A1603" s="38" t="s">
        <v>1049</v>
      </c>
      <c r="B1603" s="38">
        <v>170150024008001</v>
      </c>
    </row>
    <row r="1604" spans="1:2" ht="12.75" customHeight="1" x14ac:dyDescent="0.2">
      <c r="A1604" s="38" t="s">
        <v>1048</v>
      </c>
      <c r="B1604" s="38">
        <v>170150180007002</v>
      </c>
    </row>
    <row r="1605" spans="1:2" ht="12.75" customHeight="1" x14ac:dyDescent="0.2">
      <c r="A1605" s="38" t="s">
        <v>1049</v>
      </c>
      <c r="B1605" s="38">
        <v>170177006007002</v>
      </c>
    </row>
    <row r="1606" spans="1:2" ht="12.75" customHeight="1" x14ac:dyDescent="0.2">
      <c r="A1606" s="38" t="s">
        <v>1049</v>
      </c>
      <c r="B1606" s="38">
        <v>170177006007001</v>
      </c>
    </row>
    <row r="1607" spans="1:2" ht="12.75" customHeight="1" x14ac:dyDescent="0.2">
      <c r="A1607" s="38" t="s">
        <v>1050</v>
      </c>
      <c r="B1607" s="38">
        <v>170184009007001</v>
      </c>
    </row>
    <row r="1608" spans="1:2" ht="12.75" customHeight="1" x14ac:dyDescent="0.2">
      <c r="A1608" s="38" t="s">
        <v>1049</v>
      </c>
      <c r="B1608" s="38">
        <v>170177006007004</v>
      </c>
    </row>
    <row r="1609" spans="1:2" ht="12.75" customHeight="1" x14ac:dyDescent="0.2">
      <c r="A1609" s="38" t="s">
        <v>1052</v>
      </c>
      <c r="B1609" s="38">
        <v>170176001011004</v>
      </c>
    </row>
    <row r="1610" spans="1:2" ht="12.75" customHeight="1" x14ac:dyDescent="0.2">
      <c r="A1610" s="38" t="s">
        <v>1052</v>
      </c>
      <c r="B1610" s="38">
        <v>170176001011001</v>
      </c>
    </row>
    <row r="1611" spans="1:2" ht="12.75" customHeight="1" x14ac:dyDescent="0.2">
      <c r="A1611" s="38" t="s">
        <v>1046</v>
      </c>
      <c r="B1611" s="38">
        <v>170150104003001</v>
      </c>
    </row>
    <row r="1612" spans="1:2" ht="12.75" customHeight="1" x14ac:dyDescent="0.2">
      <c r="A1612" s="38" t="s">
        <v>1052</v>
      </c>
      <c r="B1612" s="38">
        <v>170176001011003</v>
      </c>
    </row>
    <row r="1613" spans="1:2" ht="12.75" customHeight="1" x14ac:dyDescent="0.2">
      <c r="A1613" s="38" t="s">
        <v>1049</v>
      </c>
      <c r="B1613" s="38">
        <v>170150090008003</v>
      </c>
    </row>
    <row r="1614" spans="1:2" ht="12.75" customHeight="1" x14ac:dyDescent="0.2">
      <c r="A1614" s="38" t="s">
        <v>1049</v>
      </c>
      <c r="B1614" s="38">
        <v>170150090008002</v>
      </c>
    </row>
    <row r="1615" spans="1:2" ht="12.75" customHeight="1" x14ac:dyDescent="0.2">
      <c r="A1615" s="38" t="s">
        <v>1049</v>
      </c>
      <c r="B1615" s="38">
        <v>170150090008004</v>
      </c>
    </row>
    <row r="1616" spans="1:2" ht="12.75" customHeight="1" x14ac:dyDescent="0.2">
      <c r="A1616" s="38" t="s">
        <v>1049</v>
      </c>
      <c r="B1616" s="38">
        <v>170150090008001</v>
      </c>
    </row>
    <row r="1617" spans="1:2" ht="12.75" customHeight="1" x14ac:dyDescent="0.2">
      <c r="A1617" s="38" t="s">
        <v>1049</v>
      </c>
      <c r="B1617" s="38">
        <v>170150146002003</v>
      </c>
    </row>
    <row r="1618" spans="1:2" ht="12.75" customHeight="1" x14ac:dyDescent="0.2">
      <c r="A1618" s="38" t="s">
        <v>1049</v>
      </c>
      <c r="B1618" s="38">
        <v>170150146002002</v>
      </c>
    </row>
    <row r="1619" spans="1:2" ht="12.75" customHeight="1" x14ac:dyDescent="0.2">
      <c r="A1619" s="38" t="s">
        <v>1050</v>
      </c>
      <c r="B1619" s="38">
        <v>170185002002001</v>
      </c>
    </row>
    <row r="1620" spans="1:2" ht="12.75" customHeight="1" x14ac:dyDescent="0.2">
      <c r="A1620" s="38" t="s">
        <v>1050</v>
      </c>
      <c r="B1620" s="38">
        <v>170175002004001</v>
      </c>
    </row>
    <row r="1621" spans="1:2" ht="12.75" customHeight="1" x14ac:dyDescent="0.2">
      <c r="A1621" s="38" t="s">
        <v>1051</v>
      </c>
      <c r="B1621" s="38">
        <v>170150043008014</v>
      </c>
    </row>
    <row r="1622" spans="1:2" ht="12.75" customHeight="1" x14ac:dyDescent="0.2">
      <c r="A1622" s="38" t="s">
        <v>1058</v>
      </c>
      <c r="B1622" s="38">
        <v>170175002004003</v>
      </c>
    </row>
    <row r="1623" spans="1:2" ht="12.75" customHeight="1" x14ac:dyDescent="0.2">
      <c r="A1623" s="38" t="s">
        <v>1050</v>
      </c>
      <c r="B1623" s="38">
        <v>170175002004002</v>
      </c>
    </row>
    <row r="1624" spans="1:2" ht="12.75" customHeight="1" x14ac:dyDescent="0.2">
      <c r="A1624" s="38" t="s">
        <v>1058</v>
      </c>
      <c r="B1624" s="38">
        <v>170175002004005</v>
      </c>
    </row>
    <row r="1625" spans="1:2" ht="12.75" customHeight="1" x14ac:dyDescent="0.2">
      <c r="A1625" s="38" t="s">
        <v>1051</v>
      </c>
      <c r="B1625" s="38">
        <v>170150043008015</v>
      </c>
    </row>
    <row r="1626" spans="1:2" ht="12.75" customHeight="1" x14ac:dyDescent="0.2">
      <c r="A1626" s="38" t="s">
        <v>1058</v>
      </c>
      <c r="B1626" s="38">
        <v>170175002004004</v>
      </c>
    </row>
    <row r="1627" spans="1:2" ht="12.75" customHeight="1" x14ac:dyDescent="0.2">
      <c r="A1627" s="38" t="s">
        <v>1049</v>
      </c>
      <c r="B1627" s="38">
        <v>170177004007002</v>
      </c>
    </row>
    <row r="1628" spans="1:2" ht="12.75" customHeight="1" x14ac:dyDescent="0.2">
      <c r="A1628" s="38" t="s">
        <v>1049</v>
      </c>
      <c r="B1628" s="38">
        <v>170177004007001</v>
      </c>
    </row>
    <row r="1629" spans="1:2" ht="12.75" customHeight="1" x14ac:dyDescent="0.2">
      <c r="A1629" s="38" t="s">
        <v>1049</v>
      </c>
      <c r="B1629" s="38">
        <v>170177004007004</v>
      </c>
    </row>
    <row r="1630" spans="1:2" ht="12.75" customHeight="1" x14ac:dyDescent="0.2">
      <c r="A1630" s="38" t="s">
        <v>1049</v>
      </c>
      <c r="B1630" s="38">
        <v>170177004007003</v>
      </c>
    </row>
    <row r="1631" spans="1:2" ht="12.75" customHeight="1" x14ac:dyDescent="0.2">
      <c r="A1631" s="38" t="s">
        <v>1049</v>
      </c>
      <c r="B1631" s="38">
        <v>170177004007006</v>
      </c>
    </row>
    <row r="1632" spans="1:2" ht="12.75" customHeight="1" x14ac:dyDescent="0.2">
      <c r="A1632" s="38" t="s">
        <v>1049</v>
      </c>
      <c r="B1632" s="38">
        <v>170177004007005</v>
      </c>
    </row>
    <row r="1633" spans="1:2" ht="12.75" customHeight="1" x14ac:dyDescent="0.2">
      <c r="A1633" s="38" t="s">
        <v>1046</v>
      </c>
      <c r="B1633" s="38">
        <v>170150052009002</v>
      </c>
    </row>
    <row r="1634" spans="1:2" ht="12.75" customHeight="1" x14ac:dyDescent="0.2">
      <c r="A1634" s="38" t="s">
        <v>1046</v>
      </c>
      <c r="B1634" s="38">
        <v>170150052009001</v>
      </c>
    </row>
    <row r="1635" spans="1:2" ht="12.75" customHeight="1" x14ac:dyDescent="0.2">
      <c r="A1635" s="38" t="s">
        <v>1049</v>
      </c>
      <c r="B1635" s="38">
        <v>170177003007001</v>
      </c>
    </row>
    <row r="1636" spans="1:2" ht="12.75" customHeight="1" x14ac:dyDescent="0.2">
      <c r="A1636" s="38" t="s">
        <v>1049</v>
      </c>
      <c r="B1636" s="38">
        <v>170177003007002</v>
      </c>
    </row>
    <row r="1637" spans="1:2" ht="12.75" customHeight="1" x14ac:dyDescent="0.2">
      <c r="A1637" s="38" t="s">
        <v>1048</v>
      </c>
      <c r="B1637" s="38">
        <v>170155053004005</v>
      </c>
    </row>
    <row r="1638" spans="1:2" ht="12.75" customHeight="1" x14ac:dyDescent="0.2">
      <c r="A1638" s="38" t="s">
        <v>1048</v>
      </c>
      <c r="B1638" s="38">
        <v>170155053004004</v>
      </c>
    </row>
    <row r="1639" spans="1:2" ht="12.75" customHeight="1" x14ac:dyDescent="0.2">
      <c r="A1639" s="38" t="s">
        <v>1046</v>
      </c>
      <c r="B1639" s="38">
        <v>170150108007003</v>
      </c>
    </row>
    <row r="1640" spans="1:2" ht="12.75" customHeight="1" x14ac:dyDescent="0.2">
      <c r="A1640" s="38" t="s">
        <v>1050</v>
      </c>
      <c r="B1640" s="38">
        <v>170185001010001</v>
      </c>
    </row>
    <row r="1641" spans="1:2" ht="12.75" customHeight="1" x14ac:dyDescent="0.2">
      <c r="A1641" s="38" t="s">
        <v>1051</v>
      </c>
      <c r="B1641" s="38">
        <v>170150043008003</v>
      </c>
    </row>
    <row r="1642" spans="1:2" ht="12.75" customHeight="1" x14ac:dyDescent="0.2">
      <c r="A1642" s="38" t="s">
        <v>1051</v>
      </c>
      <c r="B1642" s="38">
        <v>170150043008002</v>
      </c>
    </row>
    <row r="1643" spans="1:2" ht="12.75" customHeight="1" x14ac:dyDescent="0.2">
      <c r="A1643" s="38" t="s">
        <v>1051</v>
      </c>
      <c r="B1643" s="38">
        <v>170150043008009</v>
      </c>
    </row>
    <row r="1644" spans="1:2" ht="12.75" customHeight="1" x14ac:dyDescent="0.2">
      <c r="A1644" s="38" t="s">
        <v>1051</v>
      </c>
      <c r="B1644" s="38">
        <v>170150043008010</v>
      </c>
    </row>
    <row r="1645" spans="1:2" ht="12.75" customHeight="1" x14ac:dyDescent="0.2">
      <c r="A1645" s="38" t="s">
        <v>1047</v>
      </c>
      <c r="B1645" s="38">
        <v>170177906010003</v>
      </c>
    </row>
    <row r="1646" spans="1:2" ht="12.75" customHeight="1" x14ac:dyDescent="0.2">
      <c r="A1646" s="38" t="s">
        <v>1047</v>
      </c>
      <c r="B1646" s="38">
        <v>170177906010004</v>
      </c>
    </row>
    <row r="1647" spans="1:2" ht="12.75" customHeight="1" x14ac:dyDescent="0.2">
      <c r="A1647" s="38" t="s">
        <v>1052</v>
      </c>
      <c r="B1647" s="38">
        <v>170150222002004</v>
      </c>
    </row>
    <row r="1648" spans="1:2" ht="12.75" customHeight="1" x14ac:dyDescent="0.2">
      <c r="A1648" s="38" t="s">
        <v>1052</v>
      </c>
      <c r="B1648" s="38">
        <v>170150222002005</v>
      </c>
    </row>
    <row r="1649" spans="1:2" ht="12.75" customHeight="1" x14ac:dyDescent="0.2">
      <c r="A1649" s="38" t="s">
        <v>1047</v>
      </c>
      <c r="B1649" s="38">
        <v>170177906010017</v>
      </c>
    </row>
    <row r="1650" spans="1:2" ht="12.75" customHeight="1" x14ac:dyDescent="0.2">
      <c r="A1650" s="38" t="s">
        <v>1047</v>
      </c>
      <c r="B1650" s="38">
        <v>170180007006002</v>
      </c>
    </row>
    <row r="1651" spans="1:2" ht="12.75" customHeight="1" x14ac:dyDescent="0.2">
      <c r="A1651" s="38" t="s">
        <v>1047</v>
      </c>
      <c r="B1651" s="38">
        <v>170180007006001</v>
      </c>
    </row>
    <row r="1652" spans="1:2" ht="12.75" customHeight="1" x14ac:dyDescent="0.2">
      <c r="A1652" s="38" t="s">
        <v>1047</v>
      </c>
      <c r="B1652" s="38">
        <v>170180001001005</v>
      </c>
    </row>
    <row r="1653" spans="1:2" ht="12.75" customHeight="1" x14ac:dyDescent="0.2">
      <c r="A1653" s="38" t="s">
        <v>1047</v>
      </c>
      <c r="B1653" s="38">
        <v>170180001001007</v>
      </c>
    </row>
    <row r="1654" spans="1:2" ht="12.75" customHeight="1" x14ac:dyDescent="0.2">
      <c r="A1654" s="38" t="s">
        <v>1047</v>
      </c>
      <c r="B1654" s="38">
        <v>170180001001006</v>
      </c>
    </row>
    <row r="1655" spans="1:2" ht="12.75" customHeight="1" x14ac:dyDescent="0.2">
      <c r="A1655" s="38" t="s">
        <v>1051</v>
      </c>
      <c r="B1655" s="38">
        <v>170150115001001</v>
      </c>
    </row>
    <row r="1656" spans="1:2" ht="12.75" customHeight="1" x14ac:dyDescent="0.2">
      <c r="A1656" s="38" t="s">
        <v>1052</v>
      </c>
      <c r="B1656" s="38">
        <v>170156003012002</v>
      </c>
    </row>
    <row r="1657" spans="1:2" ht="12.75" customHeight="1" x14ac:dyDescent="0.2">
      <c r="A1657" s="38" t="s">
        <v>1052</v>
      </c>
      <c r="B1657" s="38">
        <v>170156003012001</v>
      </c>
    </row>
    <row r="1658" spans="1:2" ht="12.75" customHeight="1" x14ac:dyDescent="0.2">
      <c r="A1658" s="38" t="s">
        <v>1051</v>
      </c>
      <c r="B1658" s="38">
        <v>170150115001003</v>
      </c>
    </row>
    <row r="1659" spans="1:2" ht="12.75" customHeight="1" x14ac:dyDescent="0.2">
      <c r="A1659" s="38" t="s">
        <v>1052</v>
      </c>
      <c r="B1659" s="38">
        <v>170156004004001</v>
      </c>
    </row>
    <row r="1660" spans="1:2" ht="12.75" customHeight="1" x14ac:dyDescent="0.2">
      <c r="A1660" s="38" t="s">
        <v>1048</v>
      </c>
      <c r="B1660" s="38">
        <v>170165002004001</v>
      </c>
    </row>
    <row r="1661" spans="1:2" ht="12.75" customHeight="1" x14ac:dyDescent="0.2">
      <c r="A1661" s="38" t="s">
        <v>1054</v>
      </c>
      <c r="B1661" s="38">
        <v>170179001006001</v>
      </c>
    </row>
    <row r="1662" spans="1:2" ht="12.75" customHeight="1" x14ac:dyDescent="0.2">
      <c r="A1662" s="38" t="s">
        <v>1049</v>
      </c>
      <c r="B1662" s="38">
        <v>170150106002005</v>
      </c>
    </row>
    <row r="1663" spans="1:2" ht="12.75" customHeight="1" x14ac:dyDescent="0.2">
      <c r="A1663" s="38" t="s">
        <v>1046</v>
      </c>
      <c r="B1663" s="38">
        <v>170150167005001</v>
      </c>
    </row>
    <row r="1664" spans="1:2" ht="12.75" customHeight="1" x14ac:dyDescent="0.2">
      <c r="A1664" s="38" t="s">
        <v>1046</v>
      </c>
      <c r="B1664" s="38">
        <v>170150167005003</v>
      </c>
    </row>
    <row r="1665" spans="1:2" ht="12.75" customHeight="1" x14ac:dyDescent="0.2">
      <c r="A1665" s="38" t="s">
        <v>1046</v>
      </c>
      <c r="B1665" s="38">
        <v>170150167005002</v>
      </c>
    </row>
    <row r="1666" spans="1:2" ht="12.75" customHeight="1" x14ac:dyDescent="0.2">
      <c r="A1666" s="38" t="s">
        <v>1046</v>
      </c>
      <c r="B1666" s="38">
        <v>170150159006003</v>
      </c>
    </row>
    <row r="1667" spans="1:2" ht="12.75" customHeight="1" x14ac:dyDescent="0.2">
      <c r="A1667" s="38" t="s">
        <v>1049</v>
      </c>
      <c r="B1667" s="38">
        <v>170177006006009</v>
      </c>
    </row>
    <row r="1668" spans="1:2" ht="12.75" customHeight="1" x14ac:dyDescent="0.2">
      <c r="A1668" s="38" t="s">
        <v>1049</v>
      </c>
      <c r="B1668" s="38">
        <v>170177006006001</v>
      </c>
    </row>
    <row r="1669" spans="1:2" ht="12.75" customHeight="1" x14ac:dyDescent="0.2">
      <c r="A1669" s="38" t="s">
        <v>1049</v>
      </c>
      <c r="B1669" s="38">
        <v>170177006006003</v>
      </c>
    </row>
    <row r="1670" spans="1:2" ht="12.75" customHeight="1" x14ac:dyDescent="0.2">
      <c r="A1670" s="38" t="s">
        <v>1049</v>
      </c>
      <c r="B1670" s="38">
        <v>170177006006002</v>
      </c>
    </row>
    <row r="1671" spans="1:2" ht="12.75" customHeight="1" x14ac:dyDescent="0.2">
      <c r="A1671" s="38" t="s">
        <v>1052</v>
      </c>
      <c r="B1671" s="38">
        <v>170150228001001</v>
      </c>
    </row>
    <row r="1672" spans="1:2" ht="12.75" customHeight="1" x14ac:dyDescent="0.2">
      <c r="A1672" s="38" t="s">
        <v>1049</v>
      </c>
      <c r="B1672" s="38">
        <v>170150047002001</v>
      </c>
    </row>
    <row r="1673" spans="1:2" ht="12.75" customHeight="1" x14ac:dyDescent="0.2">
      <c r="A1673" s="38" t="s">
        <v>1049</v>
      </c>
      <c r="B1673" s="38">
        <v>170150047002002</v>
      </c>
    </row>
    <row r="1674" spans="1:2" ht="12.75" customHeight="1" x14ac:dyDescent="0.2">
      <c r="A1674" s="38" t="s">
        <v>1046</v>
      </c>
      <c r="B1674" s="38">
        <v>170150168005001</v>
      </c>
    </row>
    <row r="1675" spans="1:2" ht="12.75" customHeight="1" x14ac:dyDescent="0.2">
      <c r="A1675" s="38" t="s">
        <v>1052</v>
      </c>
      <c r="B1675" s="38">
        <v>170176001009002</v>
      </c>
    </row>
    <row r="1676" spans="1:2" ht="12.75" customHeight="1" x14ac:dyDescent="0.2">
      <c r="A1676" s="38" t="s">
        <v>1052</v>
      </c>
      <c r="B1676" s="38">
        <v>170176001009003</v>
      </c>
    </row>
    <row r="1677" spans="1:2" ht="12.75" customHeight="1" x14ac:dyDescent="0.2">
      <c r="A1677" s="38" t="s">
        <v>1058</v>
      </c>
      <c r="B1677" s="38">
        <v>170175003008002</v>
      </c>
    </row>
    <row r="1678" spans="1:2" ht="12.75" customHeight="1" x14ac:dyDescent="0.2">
      <c r="A1678" s="38" t="s">
        <v>1058</v>
      </c>
      <c r="B1678" s="38">
        <v>170175003008001</v>
      </c>
    </row>
    <row r="1679" spans="1:2" ht="12.75" customHeight="1" x14ac:dyDescent="0.2">
      <c r="A1679" s="38" t="s">
        <v>1050</v>
      </c>
      <c r="B1679" s="38">
        <v>170163004005001</v>
      </c>
    </row>
    <row r="1680" spans="1:2" ht="12.75" customHeight="1" x14ac:dyDescent="0.2">
      <c r="A1680" s="38" t="s">
        <v>1050</v>
      </c>
      <c r="B1680" s="38">
        <v>170163004005002</v>
      </c>
    </row>
    <row r="1681" spans="1:2" ht="12.75" customHeight="1" x14ac:dyDescent="0.2">
      <c r="A1681" s="38" t="s">
        <v>1052</v>
      </c>
      <c r="B1681" s="38">
        <v>170176001010004</v>
      </c>
    </row>
    <row r="1682" spans="1:2" ht="12.75" customHeight="1" x14ac:dyDescent="0.2">
      <c r="A1682" s="38" t="s">
        <v>1052</v>
      </c>
      <c r="B1682" s="38">
        <v>170176001010003</v>
      </c>
    </row>
    <row r="1683" spans="1:2" ht="12.75" customHeight="1" x14ac:dyDescent="0.2">
      <c r="A1683" s="38" t="s">
        <v>1052</v>
      </c>
      <c r="B1683" s="38">
        <v>170176001010005</v>
      </c>
    </row>
    <row r="1684" spans="1:2" ht="12.75" customHeight="1" x14ac:dyDescent="0.2">
      <c r="A1684" s="38" t="s">
        <v>1049</v>
      </c>
      <c r="B1684" s="38">
        <v>170150065002004</v>
      </c>
    </row>
    <row r="1685" spans="1:2" ht="12.75" customHeight="1" x14ac:dyDescent="0.2">
      <c r="A1685" s="38" t="s">
        <v>1052</v>
      </c>
      <c r="B1685" s="38">
        <v>170176001010002</v>
      </c>
    </row>
    <row r="1686" spans="1:2" ht="12.75" customHeight="1" x14ac:dyDescent="0.2">
      <c r="A1686" s="38" t="s">
        <v>1052</v>
      </c>
      <c r="B1686" s="38">
        <v>170176001009008</v>
      </c>
    </row>
    <row r="1687" spans="1:2" ht="12.75" customHeight="1" x14ac:dyDescent="0.2">
      <c r="A1687" s="38" t="s">
        <v>1052</v>
      </c>
      <c r="B1687" s="38">
        <v>170176001010001</v>
      </c>
    </row>
    <row r="1688" spans="1:2" ht="12.75" customHeight="1" x14ac:dyDescent="0.2">
      <c r="A1688" s="38" t="s">
        <v>1052</v>
      </c>
      <c r="B1688" s="38">
        <v>170176001009007</v>
      </c>
    </row>
    <row r="1689" spans="1:2" ht="12.75" customHeight="1" x14ac:dyDescent="0.2">
      <c r="A1689" s="38" t="s">
        <v>1052</v>
      </c>
      <c r="B1689" s="38">
        <v>170176001009009</v>
      </c>
    </row>
    <row r="1690" spans="1:2" ht="12.75" customHeight="1" x14ac:dyDescent="0.2">
      <c r="A1690" s="38" t="s">
        <v>1049</v>
      </c>
      <c r="B1690" s="38">
        <v>170150065002003</v>
      </c>
    </row>
    <row r="1691" spans="1:2" ht="12.75" customHeight="1" x14ac:dyDescent="0.2">
      <c r="A1691" s="38" t="s">
        <v>1049</v>
      </c>
      <c r="B1691" s="38">
        <v>170150065002002</v>
      </c>
    </row>
    <row r="1692" spans="1:2" ht="12.75" customHeight="1" x14ac:dyDescent="0.2">
      <c r="A1692" s="38" t="s">
        <v>1046</v>
      </c>
      <c r="B1692" s="38">
        <v>170150112001001</v>
      </c>
    </row>
    <row r="1693" spans="1:2" ht="12.75" customHeight="1" x14ac:dyDescent="0.2">
      <c r="A1693" s="38" t="s">
        <v>1050</v>
      </c>
      <c r="B1693" s="38">
        <v>170157007004001</v>
      </c>
    </row>
    <row r="1694" spans="1:2" ht="12.75" customHeight="1" x14ac:dyDescent="0.2">
      <c r="A1694" s="38" t="s">
        <v>1052</v>
      </c>
      <c r="B1694" s="38">
        <v>170150265001008</v>
      </c>
    </row>
    <row r="1695" spans="1:2" ht="12.75" customHeight="1" x14ac:dyDescent="0.2">
      <c r="A1695" s="38" t="s">
        <v>1048</v>
      </c>
      <c r="B1695" s="38">
        <v>170150176006002</v>
      </c>
    </row>
    <row r="1696" spans="1:2" ht="12.75" customHeight="1" x14ac:dyDescent="0.2">
      <c r="A1696" s="38" t="s">
        <v>1048</v>
      </c>
      <c r="B1696" s="38">
        <v>170150176006001</v>
      </c>
    </row>
    <row r="1697" spans="1:2" ht="12.75" customHeight="1" x14ac:dyDescent="0.2">
      <c r="A1697" s="38" t="s">
        <v>1053</v>
      </c>
      <c r="B1697" s="38">
        <v>170180004007002</v>
      </c>
    </row>
    <row r="1698" spans="1:2" ht="12.75" customHeight="1" x14ac:dyDescent="0.2">
      <c r="A1698" s="38" t="s">
        <v>1053</v>
      </c>
      <c r="B1698" s="38">
        <v>170180004007001</v>
      </c>
    </row>
    <row r="1699" spans="1:2" ht="12.75" customHeight="1" x14ac:dyDescent="0.2">
      <c r="A1699" s="38" t="s">
        <v>1053</v>
      </c>
      <c r="B1699" s="38">
        <v>170180004007003</v>
      </c>
    </row>
    <row r="1700" spans="1:2" ht="12.75" customHeight="1" x14ac:dyDescent="0.2">
      <c r="A1700" s="38" t="s">
        <v>1049</v>
      </c>
      <c r="B1700" s="38">
        <v>170150112013002</v>
      </c>
    </row>
    <row r="1701" spans="1:2" ht="12.75" customHeight="1" x14ac:dyDescent="0.2">
      <c r="A1701" s="38" t="s">
        <v>1049</v>
      </c>
      <c r="B1701" s="38">
        <v>170150112013003</v>
      </c>
    </row>
    <row r="1702" spans="1:2" ht="12.75" customHeight="1" x14ac:dyDescent="0.2">
      <c r="A1702" s="38" t="s">
        <v>1046</v>
      </c>
      <c r="B1702" s="38">
        <v>170150095007001</v>
      </c>
    </row>
    <row r="1703" spans="1:2" ht="12.75" customHeight="1" x14ac:dyDescent="0.2">
      <c r="A1703" s="38" t="s">
        <v>1048</v>
      </c>
      <c r="B1703" s="38">
        <v>170150173007002</v>
      </c>
    </row>
    <row r="1704" spans="1:2" ht="12.75" customHeight="1" x14ac:dyDescent="0.2">
      <c r="A1704" s="38" t="s">
        <v>1048</v>
      </c>
      <c r="B1704" s="38">
        <v>170150173007001</v>
      </c>
    </row>
    <row r="1705" spans="1:2" ht="12.75" customHeight="1" x14ac:dyDescent="0.2">
      <c r="A1705" s="38" t="s">
        <v>1046</v>
      </c>
      <c r="B1705" s="38">
        <v>170150166001001</v>
      </c>
    </row>
    <row r="1706" spans="1:2" ht="12.75" customHeight="1" x14ac:dyDescent="0.2">
      <c r="A1706" s="38" t="s">
        <v>1051</v>
      </c>
      <c r="B1706" s="38">
        <v>170150072008006</v>
      </c>
    </row>
    <row r="1707" spans="1:2" ht="12.75" customHeight="1" x14ac:dyDescent="0.2">
      <c r="A1707" s="38" t="s">
        <v>1048</v>
      </c>
      <c r="B1707" s="38">
        <v>170150173007003</v>
      </c>
    </row>
    <row r="1708" spans="1:2" ht="12.75" customHeight="1" x14ac:dyDescent="0.2">
      <c r="A1708" s="38" t="s">
        <v>1051</v>
      </c>
      <c r="B1708" s="38">
        <v>170150114008002</v>
      </c>
    </row>
    <row r="1709" spans="1:2" ht="12.75" customHeight="1" x14ac:dyDescent="0.2">
      <c r="A1709" s="38" t="s">
        <v>1050</v>
      </c>
      <c r="B1709" s="38">
        <v>170157009003003</v>
      </c>
    </row>
    <row r="1710" spans="1:2" ht="12.75" customHeight="1" x14ac:dyDescent="0.2">
      <c r="A1710" s="38" t="s">
        <v>1050</v>
      </c>
      <c r="B1710" s="38">
        <v>170157009003004</v>
      </c>
    </row>
    <row r="1711" spans="1:2" ht="12.75" customHeight="1" x14ac:dyDescent="0.2">
      <c r="A1711" s="38" t="s">
        <v>1051</v>
      </c>
      <c r="B1711" s="38">
        <v>170150072008005</v>
      </c>
    </row>
    <row r="1712" spans="1:2" ht="12.75" customHeight="1" x14ac:dyDescent="0.2">
      <c r="A1712" s="38" t="s">
        <v>1051</v>
      </c>
      <c r="B1712" s="38">
        <v>170150130001001</v>
      </c>
    </row>
    <row r="1713" spans="1:2" ht="12.75" customHeight="1" x14ac:dyDescent="0.2">
      <c r="A1713" s="38" t="s">
        <v>1051</v>
      </c>
      <c r="B1713" s="38">
        <v>170150130001002</v>
      </c>
    </row>
    <row r="1714" spans="1:2" ht="12.75" customHeight="1" x14ac:dyDescent="0.2">
      <c r="A1714" s="38" t="s">
        <v>1050</v>
      </c>
      <c r="B1714" s="38">
        <v>170157009003001</v>
      </c>
    </row>
    <row r="1715" spans="1:2" ht="12.75" customHeight="1" x14ac:dyDescent="0.2">
      <c r="A1715" s="38" t="s">
        <v>1047</v>
      </c>
      <c r="B1715" s="38">
        <v>170177906008001</v>
      </c>
    </row>
    <row r="1716" spans="1:2" ht="12.75" customHeight="1" x14ac:dyDescent="0.2">
      <c r="A1716" s="38" t="s">
        <v>1051</v>
      </c>
      <c r="B1716" s="38">
        <v>170177906008006</v>
      </c>
    </row>
    <row r="1717" spans="1:2" ht="12.75" customHeight="1" x14ac:dyDescent="0.2">
      <c r="A1717" s="38" t="s">
        <v>1050</v>
      </c>
      <c r="B1717" s="38">
        <v>170184007003005</v>
      </c>
    </row>
    <row r="1718" spans="1:2" ht="12.75" customHeight="1" x14ac:dyDescent="0.2">
      <c r="A1718" s="38" t="s">
        <v>1047</v>
      </c>
      <c r="B1718" s="38">
        <v>170177906008008</v>
      </c>
    </row>
    <row r="1719" spans="1:2" ht="12.75" customHeight="1" x14ac:dyDescent="0.2">
      <c r="A1719" s="38" t="s">
        <v>1047</v>
      </c>
      <c r="B1719" s="38">
        <v>170177906008007</v>
      </c>
    </row>
    <row r="1720" spans="1:2" ht="12.75" customHeight="1" x14ac:dyDescent="0.2">
      <c r="A1720" s="38" t="s">
        <v>1050</v>
      </c>
      <c r="B1720" s="38">
        <v>170184007003006</v>
      </c>
    </row>
    <row r="1721" spans="1:2" ht="12.75" customHeight="1" x14ac:dyDescent="0.2">
      <c r="A1721" s="38" t="s">
        <v>1054</v>
      </c>
      <c r="B1721" s="38">
        <v>170150191007001</v>
      </c>
    </row>
    <row r="1722" spans="1:2" ht="12.75" customHeight="1" x14ac:dyDescent="0.2">
      <c r="A1722" s="38" t="s">
        <v>1052</v>
      </c>
      <c r="B1722" s="38">
        <v>170150225001001</v>
      </c>
    </row>
    <row r="1723" spans="1:2" ht="12.75" customHeight="1" x14ac:dyDescent="0.2">
      <c r="A1723" s="38" t="s">
        <v>1056</v>
      </c>
      <c r="B1723" s="38">
        <v>170150243001001</v>
      </c>
    </row>
    <row r="1724" spans="1:2" ht="12.75" customHeight="1" x14ac:dyDescent="0.2">
      <c r="A1724" s="38" t="s">
        <v>1049</v>
      </c>
      <c r="B1724" s="38">
        <v>170180010006006</v>
      </c>
    </row>
    <row r="1725" spans="1:2" ht="12.75" customHeight="1" x14ac:dyDescent="0.2">
      <c r="A1725" s="38" t="s">
        <v>1049</v>
      </c>
      <c r="B1725" s="38">
        <v>170180010006005</v>
      </c>
    </row>
    <row r="1726" spans="1:2" ht="12.75" customHeight="1" x14ac:dyDescent="0.2">
      <c r="A1726" s="38" t="s">
        <v>1052</v>
      </c>
      <c r="B1726" s="38">
        <v>170150197011003</v>
      </c>
    </row>
    <row r="1727" spans="1:2" ht="12.75" customHeight="1" x14ac:dyDescent="0.2">
      <c r="A1727" s="38" t="s">
        <v>1052</v>
      </c>
      <c r="B1727" s="38">
        <v>170150197011002</v>
      </c>
    </row>
    <row r="1728" spans="1:2" ht="12.75" customHeight="1" x14ac:dyDescent="0.2">
      <c r="A1728" s="38" t="s">
        <v>1052</v>
      </c>
      <c r="B1728" s="38">
        <v>170150197011005</v>
      </c>
    </row>
    <row r="1729" spans="1:2" ht="12.75" customHeight="1" x14ac:dyDescent="0.2">
      <c r="A1729" s="38" t="s">
        <v>1049</v>
      </c>
      <c r="B1729" s="38">
        <v>170177002002001</v>
      </c>
    </row>
    <row r="1730" spans="1:2" ht="12.75" customHeight="1" x14ac:dyDescent="0.2">
      <c r="A1730" s="38" t="s">
        <v>1052</v>
      </c>
      <c r="B1730" s="38">
        <v>170150197011001</v>
      </c>
    </row>
    <row r="1731" spans="1:2" ht="12.75" customHeight="1" x14ac:dyDescent="0.2">
      <c r="A1731" s="38" t="s">
        <v>1056</v>
      </c>
      <c r="B1731" s="38">
        <v>170150238006002</v>
      </c>
    </row>
    <row r="1732" spans="1:2" ht="12.75" customHeight="1" x14ac:dyDescent="0.2">
      <c r="A1732" s="38" t="s">
        <v>1051</v>
      </c>
      <c r="B1732" s="38">
        <v>170150131008001</v>
      </c>
    </row>
    <row r="1733" spans="1:2" ht="12.75" customHeight="1" x14ac:dyDescent="0.2">
      <c r="A1733" s="38" t="s">
        <v>1048</v>
      </c>
      <c r="B1733" s="38">
        <v>170150179006001</v>
      </c>
    </row>
    <row r="1734" spans="1:2" ht="12.75" customHeight="1" x14ac:dyDescent="0.2">
      <c r="A1734" s="38" t="s">
        <v>1046</v>
      </c>
      <c r="B1734" s="38">
        <v>170150111008001</v>
      </c>
    </row>
    <row r="1735" spans="1:2" ht="12.75" customHeight="1" x14ac:dyDescent="0.2">
      <c r="A1735" s="38" t="s">
        <v>1056</v>
      </c>
      <c r="B1735" s="38">
        <v>170150237006001</v>
      </c>
    </row>
    <row r="1736" spans="1:2" ht="12.75" customHeight="1" x14ac:dyDescent="0.2">
      <c r="A1736" s="38" t="s">
        <v>1050</v>
      </c>
      <c r="B1736" s="38">
        <v>170184010009001</v>
      </c>
    </row>
    <row r="1737" spans="1:2" ht="12.75" customHeight="1" x14ac:dyDescent="0.2">
      <c r="A1737" s="38" t="s">
        <v>1050</v>
      </c>
      <c r="B1737" s="38">
        <v>170175001008004</v>
      </c>
    </row>
    <row r="1738" spans="1:2" ht="12.75" customHeight="1" x14ac:dyDescent="0.2">
      <c r="A1738" s="38" t="s">
        <v>1050</v>
      </c>
      <c r="B1738" s="38">
        <v>170175001008003</v>
      </c>
    </row>
    <row r="1739" spans="1:2" ht="12.75" customHeight="1" x14ac:dyDescent="0.2">
      <c r="A1739" s="38" t="s">
        <v>1052</v>
      </c>
      <c r="B1739" s="38">
        <v>170156015004002</v>
      </c>
    </row>
    <row r="1740" spans="1:2" ht="12.75" customHeight="1" x14ac:dyDescent="0.2">
      <c r="A1740" s="38" t="s">
        <v>1052</v>
      </c>
      <c r="B1740" s="38">
        <v>170156015004001</v>
      </c>
    </row>
    <row r="1741" spans="1:2" ht="12.75" customHeight="1" x14ac:dyDescent="0.2">
      <c r="A1741" s="38" t="s">
        <v>1046</v>
      </c>
      <c r="B1741" s="38">
        <v>170150010009014</v>
      </c>
    </row>
    <row r="1742" spans="1:2" ht="12.75" customHeight="1" x14ac:dyDescent="0.2">
      <c r="A1742" s="38" t="s">
        <v>1050</v>
      </c>
      <c r="B1742" s="38">
        <v>170185002001002</v>
      </c>
    </row>
    <row r="1743" spans="1:2" ht="12.75" customHeight="1" x14ac:dyDescent="0.2">
      <c r="A1743" s="38" t="s">
        <v>1050</v>
      </c>
      <c r="B1743" s="38">
        <v>170185002001007</v>
      </c>
    </row>
    <row r="1744" spans="1:2" ht="12.75" customHeight="1" x14ac:dyDescent="0.2">
      <c r="A1744" s="38" t="s">
        <v>1050</v>
      </c>
      <c r="B1744" s="38">
        <v>170185002001001</v>
      </c>
    </row>
    <row r="1745" spans="1:2" ht="12.75" customHeight="1" x14ac:dyDescent="0.2">
      <c r="A1745" s="38" t="s">
        <v>1049</v>
      </c>
      <c r="B1745" s="38">
        <v>170150090007002</v>
      </c>
    </row>
    <row r="1746" spans="1:2" ht="12.75" customHeight="1" x14ac:dyDescent="0.2">
      <c r="A1746" s="38" t="s">
        <v>1049</v>
      </c>
      <c r="B1746" s="38">
        <v>170150090007001</v>
      </c>
    </row>
    <row r="1747" spans="1:2" ht="12.75" customHeight="1" x14ac:dyDescent="0.2">
      <c r="A1747" s="38" t="s">
        <v>1049</v>
      </c>
      <c r="B1747" s="38">
        <v>170150090007003</v>
      </c>
    </row>
    <row r="1748" spans="1:2" ht="12.75" customHeight="1" x14ac:dyDescent="0.2">
      <c r="A1748" s="38" t="s">
        <v>1058</v>
      </c>
      <c r="B1748" s="38">
        <v>170175002003001</v>
      </c>
    </row>
    <row r="1749" spans="1:2" ht="12.75" customHeight="1" x14ac:dyDescent="0.2">
      <c r="A1749" s="38" t="s">
        <v>1050</v>
      </c>
      <c r="B1749" s="38">
        <v>170184013002001</v>
      </c>
    </row>
    <row r="1750" spans="1:2" ht="12.75" customHeight="1" x14ac:dyDescent="0.2">
      <c r="A1750" s="38" t="s">
        <v>1049</v>
      </c>
      <c r="B1750" s="38">
        <v>170150146001001</v>
      </c>
    </row>
    <row r="1751" spans="1:2" ht="12.75" customHeight="1" x14ac:dyDescent="0.2">
      <c r="A1751" s="38" t="s">
        <v>1048</v>
      </c>
      <c r="B1751" s="38">
        <v>170150180006001</v>
      </c>
    </row>
    <row r="1752" spans="1:2" ht="12.75" customHeight="1" x14ac:dyDescent="0.2">
      <c r="A1752" s="38" t="s">
        <v>1050</v>
      </c>
      <c r="B1752" s="38">
        <v>170175001008002</v>
      </c>
    </row>
    <row r="1753" spans="1:2" ht="12.75" customHeight="1" x14ac:dyDescent="0.2">
      <c r="A1753" s="38" t="s">
        <v>1050</v>
      </c>
      <c r="B1753" s="38">
        <v>170175001008001</v>
      </c>
    </row>
    <row r="1754" spans="1:2" ht="12.75" customHeight="1" x14ac:dyDescent="0.2">
      <c r="A1754" s="38" t="s">
        <v>1048</v>
      </c>
      <c r="B1754" s="38">
        <v>170150175011003</v>
      </c>
    </row>
    <row r="1755" spans="1:2" ht="12.75" customHeight="1" x14ac:dyDescent="0.2">
      <c r="A1755" s="38" t="s">
        <v>1048</v>
      </c>
      <c r="B1755" s="38">
        <v>170150175011001</v>
      </c>
    </row>
    <row r="1756" spans="1:2" ht="12.75" customHeight="1" x14ac:dyDescent="0.2">
      <c r="A1756" s="38" t="s">
        <v>1046</v>
      </c>
      <c r="B1756" s="38">
        <v>170150010009011</v>
      </c>
    </row>
    <row r="1757" spans="1:2" ht="12.75" customHeight="1" x14ac:dyDescent="0.2">
      <c r="A1757" s="38" t="s">
        <v>1046</v>
      </c>
      <c r="B1757" s="38">
        <v>170150010009012</v>
      </c>
    </row>
    <row r="1758" spans="1:2" ht="12.75" customHeight="1" x14ac:dyDescent="0.2">
      <c r="A1758" s="38" t="s">
        <v>1046</v>
      </c>
      <c r="B1758" s="38">
        <v>170150052008001</v>
      </c>
    </row>
    <row r="1759" spans="1:2" ht="12.75" customHeight="1" x14ac:dyDescent="0.2">
      <c r="A1759" s="38" t="s">
        <v>1046</v>
      </c>
      <c r="B1759" s="38">
        <v>170150052008002</v>
      </c>
    </row>
    <row r="1760" spans="1:2" ht="12.75" customHeight="1" x14ac:dyDescent="0.2">
      <c r="A1760" s="38" t="s">
        <v>1050</v>
      </c>
      <c r="B1760" s="38">
        <v>170184009006003</v>
      </c>
    </row>
    <row r="1761" spans="1:2" ht="12.75" customHeight="1" x14ac:dyDescent="0.2">
      <c r="A1761" s="38" t="s">
        <v>1048</v>
      </c>
      <c r="B1761" s="38">
        <v>170155053003001</v>
      </c>
    </row>
    <row r="1762" spans="1:2" ht="12.75" customHeight="1" x14ac:dyDescent="0.2">
      <c r="A1762" s="38" t="s">
        <v>1047</v>
      </c>
      <c r="B1762" s="38">
        <v>170180010005004</v>
      </c>
    </row>
    <row r="1763" spans="1:2" ht="12.75" customHeight="1" x14ac:dyDescent="0.2">
      <c r="A1763" s="38" t="s">
        <v>1049</v>
      </c>
      <c r="B1763" s="38">
        <v>170177003006001</v>
      </c>
    </row>
    <row r="1764" spans="1:2" ht="12.75" customHeight="1" x14ac:dyDescent="0.2">
      <c r="A1764" s="38" t="s">
        <v>1047</v>
      </c>
      <c r="B1764" s="38">
        <v>170180010005001</v>
      </c>
    </row>
    <row r="1765" spans="1:2" ht="12.75" customHeight="1" x14ac:dyDescent="0.2">
      <c r="A1765" s="38" t="s">
        <v>1047</v>
      </c>
      <c r="B1765" s="38">
        <v>170180010005003</v>
      </c>
    </row>
    <row r="1766" spans="1:2" ht="12.75" customHeight="1" x14ac:dyDescent="0.2">
      <c r="A1766" s="38" t="s">
        <v>1047</v>
      </c>
      <c r="B1766" s="38">
        <v>170180010005002</v>
      </c>
    </row>
    <row r="1767" spans="1:2" ht="12.75" customHeight="1" x14ac:dyDescent="0.2">
      <c r="A1767" s="38" t="s">
        <v>1051</v>
      </c>
      <c r="B1767" s="38">
        <v>170150087001005</v>
      </c>
    </row>
    <row r="1768" spans="1:2" ht="12.75" customHeight="1" x14ac:dyDescent="0.2">
      <c r="A1768" s="38" t="s">
        <v>1051</v>
      </c>
      <c r="B1768" s="38">
        <v>170150087001008</v>
      </c>
    </row>
    <row r="1769" spans="1:2" ht="12.75" customHeight="1" x14ac:dyDescent="0.2">
      <c r="A1769" s="38" t="s">
        <v>1051</v>
      </c>
      <c r="B1769" s="38">
        <v>170150087001009</v>
      </c>
    </row>
    <row r="1770" spans="1:2" ht="12.75" customHeight="1" x14ac:dyDescent="0.2">
      <c r="A1770" s="38" t="s">
        <v>1051</v>
      </c>
      <c r="B1770" s="38">
        <v>170150087001002</v>
      </c>
    </row>
    <row r="1771" spans="1:2" ht="12.75" customHeight="1" x14ac:dyDescent="0.2">
      <c r="A1771" s="38" t="s">
        <v>1051</v>
      </c>
      <c r="B1771" s="38">
        <v>170150087001001</v>
      </c>
    </row>
    <row r="1772" spans="1:2" ht="12.75" customHeight="1" x14ac:dyDescent="0.2">
      <c r="A1772" s="38" t="s">
        <v>1051</v>
      </c>
      <c r="B1772" s="38">
        <v>170150087001010</v>
      </c>
    </row>
    <row r="1773" spans="1:2" ht="12.75" customHeight="1" x14ac:dyDescent="0.2">
      <c r="A1773" s="38" t="s">
        <v>1049</v>
      </c>
      <c r="B1773" s="38">
        <v>170150156006003</v>
      </c>
    </row>
    <row r="1774" spans="1:2" ht="12.75" customHeight="1" x14ac:dyDescent="0.2">
      <c r="A1774" s="38" t="s">
        <v>1050</v>
      </c>
      <c r="B1774" s="38">
        <v>170160001008002</v>
      </c>
    </row>
    <row r="1775" spans="1:2" ht="12.75" customHeight="1" x14ac:dyDescent="0.2">
      <c r="A1775" s="38" t="s">
        <v>1050</v>
      </c>
      <c r="B1775" s="38">
        <v>170160001008001</v>
      </c>
    </row>
    <row r="1776" spans="1:2" ht="12.75" customHeight="1" x14ac:dyDescent="0.2">
      <c r="A1776" s="38" t="s">
        <v>1047</v>
      </c>
      <c r="B1776" s="38">
        <v>170180007005003</v>
      </c>
    </row>
    <row r="1777" spans="1:2" ht="12.75" customHeight="1" x14ac:dyDescent="0.2">
      <c r="A1777" s="38" t="s">
        <v>1047</v>
      </c>
      <c r="B1777" s="38">
        <v>170180007005002</v>
      </c>
    </row>
    <row r="1778" spans="1:2" ht="12.75" customHeight="1" x14ac:dyDescent="0.2">
      <c r="A1778" s="38" t="s">
        <v>1050</v>
      </c>
      <c r="B1778" s="38">
        <v>170159001007001</v>
      </c>
    </row>
    <row r="1779" spans="1:2" ht="12.75" customHeight="1" x14ac:dyDescent="0.2">
      <c r="A1779" s="38" t="s">
        <v>1050</v>
      </c>
      <c r="B1779" s="38">
        <v>170159001007003</v>
      </c>
    </row>
    <row r="1780" spans="1:2" ht="12.75" customHeight="1" x14ac:dyDescent="0.2">
      <c r="A1780" s="38" t="s">
        <v>1050</v>
      </c>
      <c r="B1780" s="38">
        <v>170159001007002</v>
      </c>
    </row>
    <row r="1781" spans="1:2" ht="12.75" customHeight="1" x14ac:dyDescent="0.2">
      <c r="A1781" s="38" t="s">
        <v>1050</v>
      </c>
      <c r="B1781" s="38">
        <v>170159001007004</v>
      </c>
    </row>
    <row r="1782" spans="1:2" ht="12.75" customHeight="1" x14ac:dyDescent="0.2">
      <c r="A1782" s="38" t="s">
        <v>1047</v>
      </c>
      <c r="B1782" s="38">
        <v>170180007005005</v>
      </c>
    </row>
    <row r="1783" spans="1:2" ht="12.75" customHeight="1" x14ac:dyDescent="0.2">
      <c r="A1783" s="38" t="s">
        <v>1047</v>
      </c>
      <c r="B1783" s="38">
        <v>170180007005004</v>
      </c>
    </row>
    <row r="1784" spans="1:2" ht="12.75" customHeight="1" x14ac:dyDescent="0.2">
      <c r="A1784" s="38" t="s">
        <v>1047</v>
      </c>
      <c r="B1784" s="38">
        <v>170180007005007</v>
      </c>
    </row>
    <row r="1785" spans="1:2" ht="12.75" customHeight="1" x14ac:dyDescent="0.2">
      <c r="A1785" s="38" t="s">
        <v>1054</v>
      </c>
      <c r="B1785" s="38">
        <v>170179001005001</v>
      </c>
    </row>
    <row r="1786" spans="1:2" ht="12.75" customHeight="1" x14ac:dyDescent="0.2">
      <c r="A1786" s="38" t="s">
        <v>1051</v>
      </c>
      <c r="B1786" s="38">
        <v>170150115012001</v>
      </c>
    </row>
    <row r="1787" spans="1:2" ht="12.75" customHeight="1" x14ac:dyDescent="0.2">
      <c r="A1787" s="38" t="s">
        <v>1049</v>
      </c>
      <c r="B1787" s="38">
        <v>170150047001002</v>
      </c>
    </row>
    <row r="1788" spans="1:2" ht="12.75" customHeight="1" x14ac:dyDescent="0.2">
      <c r="A1788" s="38" t="s">
        <v>1049</v>
      </c>
      <c r="B1788" s="38">
        <v>170150047001001</v>
      </c>
    </row>
    <row r="1789" spans="1:2" ht="12.75" customHeight="1" x14ac:dyDescent="0.2">
      <c r="A1789" s="38" t="s">
        <v>1049</v>
      </c>
      <c r="B1789" s="38">
        <v>170150047001004</v>
      </c>
    </row>
    <row r="1790" spans="1:2" ht="12.75" customHeight="1" x14ac:dyDescent="0.2">
      <c r="A1790" s="38" t="s">
        <v>1049</v>
      </c>
      <c r="B1790" s="38">
        <v>170150047001003</v>
      </c>
    </row>
    <row r="1791" spans="1:2" ht="12.75" customHeight="1" x14ac:dyDescent="0.2">
      <c r="A1791" s="38" t="s">
        <v>1046</v>
      </c>
      <c r="B1791" s="38">
        <v>170150167004001</v>
      </c>
    </row>
    <row r="1792" spans="1:2" ht="12.75" customHeight="1" x14ac:dyDescent="0.2">
      <c r="A1792" s="38" t="s">
        <v>1052</v>
      </c>
      <c r="B1792" s="38">
        <v>170156013004002</v>
      </c>
    </row>
    <row r="1793" spans="1:2" ht="12.75" customHeight="1" x14ac:dyDescent="0.2">
      <c r="A1793" s="38" t="s">
        <v>1052</v>
      </c>
      <c r="B1793" s="38">
        <v>170156013004004</v>
      </c>
    </row>
    <row r="1794" spans="1:2" ht="12.75" customHeight="1" x14ac:dyDescent="0.2">
      <c r="A1794" s="38" t="s">
        <v>1052</v>
      </c>
      <c r="B1794" s="38">
        <v>170156013004006</v>
      </c>
    </row>
    <row r="1795" spans="1:2" ht="12.75" customHeight="1" x14ac:dyDescent="0.2">
      <c r="A1795" s="38" t="s">
        <v>1049</v>
      </c>
      <c r="B1795" s="38">
        <v>170150106001002</v>
      </c>
    </row>
    <row r="1796" spans="1:2" ht="12.75" customHeight="1" x14ac:dyDescent="0.2">
      <c r="A1796" s="38" t="s">
        <v>1049</v>
      </c>
      <c r="B1796" s="38">
        <v>170177006005001</v>
      </c>
    </row>
    <row r="1797" spans="1:2" ht="12.75" customHeight="1" x14ac:dyDescent="0.2">
      <c r="A1797" s="38" t="s">
        <v>1047</v>
      </c>
      <c r="B1797" s="38">
        <v>170155001005001</v>
      </c>
    </row>
    <row r="1798" spans="1:2" ht="12.75" customHeight="1" x14ac:dyDescent="0.2">
      <c r="A1798" s="38" t="s">
        <v>1050</v>
      </c>
      <c r="B1798" s="38">
        <v>170163004004001</v>
      </c>
    </row>
    <row r="1799" spans="1:2" ht="12.75" customHeight="1" x14ac:dyDescent="0.2">
      <c r="A1799" s="38" t="s">
        <v>1046</v>
      </c>
      <c r="B1799" s="38">
        <v>170150168004001</v>
      </c>
    </row>
    <row r="1800" spans="1:2" ht="12.75" customHeight="1" x14ac:dyDescent="0.2">
      <c r="A1800" s="38" t="s">
        <v>1047</v>
      </c>
      <c r="B1800" s="38">
        <v>170155001005003</v>
      </c>
    </row>
    <row r="1801" spans="1:2" ht="12.75" customHeight="1" x14ac:dyDescent="0.2">
      <c r="A1801" s="38" t="s">
        <v>1047</v>
      </c>
      <c r="B1801" s="38">
        <v>170155001005002</v>
      </c>
    </row>
    <row r="1802" spans="1:2" ht="12.75" customHeight="1" x14ac:dyDescent="0.2">
      <c r="A1802" s="38" t="s">
        <v>1051</v>
      </c>
      <c r="B1802" s="38">
        <v>170155001005004</v>
      </c>
    </row>
    <row r="1803" spans="1:2" ht="12.75" customHeight="1" x14ac:dyDescent="0.2">
      <c r="A1803" s="38" t="s">
        <v>1052</v>
      </c>
      <c r="B1803" s="38">
        <v>170150227004001</v>
      </c>
    </row>
    <row r="1804" spans="1:2" ht="12.75" customHeight="1" x14ac:dyDescent="0.2">
      <c r="A1804" s="38" t="s">
        <v>1047</v>
      </c>
      <c r="B1804" s="38">
        <v>170150040003003</v>
      </c>
    </row>
    <row r="1805" spans="1:2" ht="12.75" customHeight="1" x14ac:dyDescent="0.2">
      <c r="A1805" s="38" t="s">
        <v>1047</v>
      </c>
      <c r="B1805" s="38">
        <v>170150040003005</v>
      </c>
    </row>
    <row r="1806" spans="1:2" ht="12.75" customHeight="1" x14ac:dyDescent="0.2">
      <c r="A1806" s="38" t="s">
        <v>1047</v>
      </c>
      <c r="B1806" s="38">
        <v>170150040003004</v>
      </c>
    </row>
    <row r="1807" spans="1:2" ht="12.75" customHeight="1" x14ac:dyDescent="0.2">
      <c r="A1807" s="38" t="s">
        <v>1052</v>
      </c>
      <c r="B1807" s="38">
        <v>170176001008001</v>
      </c>
    </row>
    <row r="1808" spans="1:2" ht="12.75" customHeight="1" x14ac:dyDescent="0.2">
      <c r="A1808" s="38" t="s">
        <v>1052</v>
      </c>
      <c r="B1808" s="38">
        <v>170176001008005</v>
      </c>
    </row>
    <row r="1809" spans="1:2" ht="12.75" customHeight="1" x14ac:dyDescent="0.2">
      <c r="A1809" s="38" t="s">
        <v>1052</v>
      </c>
      <c r="B1809" s="38">
        <v>170176001008004</v>
      </c>
    </row>
    <row r="1810" spans="1:2" ht="12.75" customHeight="1" x14ac:dyDescent="0.2">
      <c r="A1810" s="38" t="s">
        <v>1052</v>
      </c>
      <c r="B1810" s="38">
        <v>170176001008006</v>
      </c>
    </row>
    <row r="1811" spans="1:2" ht="12.75" customHeight="1" x14ac:dyDescent="0.2">
      <c r="A1811" s="38" t="s">
        <v>1058</v>
      </c>
      <c r="B1811" s="38">
        <v>170175003007001</v>
      </c>
    </row>
    <row r="1812" spans="1:2" ht="12.75" customHeight="1" x14ac:dyDescent="0.2">
      <c r="A1812" s="38" t="s">
        <v>1046</v>
      </c>
      <c r="B1812" s="38">
        <v>170150107006001</v>
      </c>
    </row>
    <row r="1813" spans="1:2" ht="12.75" customHeight="1" x14ac:dyDescent="0.2">
      <c r="A1813" s="38" t="s">
        <v>1049</v>
      </c>
      <c r="B1813" s="38">
        <v>170150065001004</v>
      </c>
    </row>
    <row r="1814" spans="1:2" ht="12.75" customHeight="1" x14ac:dyDescent="0.2">
      <c r="A1814" s="38" t="s">
        <v>1049</v>
      </c>
      <c r="B1814" s="38">
        <v>170150065001003</v>
      </c>
    </row>
    <row r="1815" spans="1:2" ht="12.75" customHeight="1" x14ac:dyDescent="0.2">
      <c r="A1815" s="38" t="s">
        <v>1051</v>
      </c>
      <c r="B1815" s="38">
        <v>170150073012001</v>
      </c>
    </row>
    <row r="1816" spans="1:2" ht="12.75" customHeight="1" x14ac:dyDescent="0.2">
      <c r="A1816" s="38" t="s">
        <v>1051</v>
      </c>
      <c r="B1816" s="38">
        <v>170150073012002</v>
      </c>
    </row>
    <row r="1817" spans="1:2" ht="12.75" customHeight="1" x14ac:dyDescent="0.2">
      <c r="A1817" s="38" t="s">
        <v>1049</v>
      </c>
      <c r="B1817" s="38">
        <v>170150065001002</v>
      </c>
    </row>
    <row r="1818" spans="1:2" ht="12.75" customHeight="1" x14ac:dyDescent="0.2">
      <c r="A1818" s="38" t="s">
        <v>1048</v>
      </c>
      <c r="B1818" s="38">
        <v>170165002003001</v>
      </c>
    </row>
    <row r="1819" spans="1:2" ht="12.75" customHeight="1" x14ac:dyDescent="0.2">
      <c r="A1819" s="38" t="s">
        <v>1048</v>
      </c>
      <c r="B1819" s="38">
        <v>170165003009001</v>
      </c>
    </row>
    <row r="1820" spans="1:2" ht="12.75" customHeight="1" x14ac:dyDescent="0.2">
      <c r="A1820" s="38" t="s">
        <v>1048</v>
      </c>
      <c r="B1820" s="38">
        <v>170165003009004</v>
      </c>
    </row>
    <row r="1821" spans="1:2" ht="12.75" customHeight="1" x14ac:dyDescent="0.2">
      <c r="A1821" s="38" t="s">
        <v>1048</v>
      </c>
      <c r="B1821" s="38">
        <v>170165003009003</v>
      </c>
    </row>
    <row r="1822" spans="1:2" ht="12.75" customHeight="1" x14ac:dyDescent="0.2">
      <c r="A1822" s="38" t="s">
        <v>1050</v>
      </c>
      <c r="B1822" s="38">
        <v>170157007003001</v>
      </c>
    </row>
    <row r="1823" spans="1:2" ht="12.75" customHeight="1" x14ac:dyDescent="0.2">
      <c r="A1823" s="38" t="s">
        <v>1048</v>
      </c>
      <c r="B1823" s="38">
        <v>170150176005001</v>
      </c>
    </row>
    <row r="1824" spans="1:2" ht="12.75" customHeight="1" x14ac:dyDescent="0.2">
      <c r="A1824" s="38" t="s">
        <v>1048</v>
      </c>
      <c r="B1824" s="38">
        <v>170150176005002</v>
      </c>
    </row>
    <row r="1825" spans="1:2" ht="12.75" customHeight="1" x14ac:dyDescent="0.2">
      <c r="A1825" s="38" t="s">
        <v>1049</v>
      </c>
      <c r="B1825" s="38">
        <v>170180010012001</v>
      </c>
    </row>
    <row r="1826" spans="1:2" ht="12.75" customHeight="1" x14ac:dyDescent="0.2">
      <c r="A1826" s="38" t="s">
        <v>1053</v>
      </c>
      <c r="B1826" s="38">
        <v>170180004006001</v>
      </c>
    </row>
    <row r="1827" spans="1:2" ht="12.75" customHeight="1" x14ac:dyDescent="0.2">
      <c r="A1827" s="38" t="s">
        <v>1053</v>
      </c>
      <c r="B1827" s="38">
        <v>170180004006003</v>
      </c>
    </row>
    <row r="1828" spans="1:2" ht="12.75" customHeight="1" x14ac:dyDescent="0.2">
      <c r="A1828" s="38" t="s">
        <v>1053</v>
      </c>
      <c r="B1828" s="38">
        <v>170180004006002</v>
      </c>
    </row>
    <row r="1829" spans="1:2" ht="12.75" customHeight="1" x14ac:dyDescent="0.2">
      <c r="A1829" s="38" t="s">
        <v>1053</v>
      </c>
      <c r="B1829" s="38">
        <v>170180004006004</v>
      </c>
    </row>
    <row r="1830" spans="1:2" ht="12.75" customHeight="1" x14ac:dyDescent="0.2">
      <c r="A1830" s="38" t="s">
        <v>1051</v>
      </c>
      <c r="B1830" s="38">
        <v>170150114007002</v>
      </c>
    </row>
    <row r="1831" spans="1:2" ht="12.75" customHeight="1" x14ac:dyDescent="0.2">
      <c r="A1831" s="38" t="s">
        <v>1052</v>
      </c>
      <c r="B1831" s="38">
        <v>170150225012001</v>
      </c>
    </row>
    <row r="1832" spans="1:2" ht="12.75" customHeight="1" x14ac:dyDescent="0.2">
      <c r="A1832" s="38" t="s">
        <v>1052</v>
      </c>
      <c r="B1832" s="38">
        <v>170150225012004</v>
      </c>
    </row>
    <row r="1833" spans="1:2" ht="12.75" customHeight="1" x14ac:dyDescent="0.2">
      <c r="A1833" s="38" t="s">
        <v>1052</v>
      </c>
      <c r="B1833" s="38">
        <v>170150225012003</v>
      </c>
    </row>
    <row r="1834" spans="1:2" ht="12.75" customHeight="1" x14ac:dyDescent="0.2">
      <c r="A1834" s="38" t="s">
        <v>1047</v>
      </c>
      <c r="B1834" s="38">
        <v>170177906007002</v>
      </c>
    </row>
    <row r="1835" spans="1:2" ht="12.75" customHeight="1" x14ac:dyDescent="0.2">
      <c r="A1835" s="38" t="s">
        <v>1047</v>
      </c>
      <c r="B1835" s="38">
        <v>170177906007007</v>
      </c>
    </row>
    <row r="1836" spans="1:2" ht="12.75" customHeight="1" x14ac:dyDescent="0.2">
      <c r="A1836" s="38" t="s">
        <v>1047</v>
      </c>
      <c r="B1836" s="38">
        <v>170177906007006</v>
      </c>
    </row>
    <row r="1837" spans="1:2" ht="12.75" customHeight="1" x14ac:dyDescent="0.2">
      <c r="A1837" s="38" t="s">
        <v>1047</v>
      </c>
      <c r="B1837" s="38">
        <v>170177906007008</v>
      </c>
    </row>
    <row r="1838" spans="1:2" ht="12.75" customHeight="1" x14ac:dyDescent="0.2">
      <c r="A1838" s="38" t="s">
        <v>1048</v>
      </c>
      <c r="B1838" s="38">
        <v>170155048007002</v>
      </c>
    </row>
    <row r="1839" spans="1:2" ht="12.75" customHeight="1" x14ac:dyDescent="0.2">
      <c r="A1839" s="38" t="s">
        <v>1048</v>
      </c>
      <c r="B1839" s="38">
        <v>170170001001001</v>
      </c>
    </row>
    <row r="1840" spans="1:2" ht="12.75" customHeight="1" x14ac:dyDescent="0.2">
      <c r="A1840" s="38" t="s">
        <v>1048</v>
      </c>
      <c r="B1840" s="38">
        <v>170155048007001</v>
      </c>
    </row>
    <row r="1841" spans="1:2" ht="12.75" customHeight="1" x14ac:dyDescent="0.2">
      <c r="A1841" s="38" t="s">
        <v>1048</v>
      </c>
      <c r="B1841" s="38">
        <v>170155048007004</v>
      </c>
    </row>
    <row r="1842" spans="1:2" ht="12.75" customHeight="1" x14ac:dyDescent="0.2">
      <c r="A1842" s="38" t="s">
        <v>1048</v>
      </c>
      <c r="B1842" s="38">
        <v>170155048007003</v>
      </c>
    </row>
    <row r="1843" spans="1:2" ht="12.75" customHeight="1" x14ac:dyDescent="0.2">
      <c r="A1843" s="38" t="s">
        <v>1048</v>
      </c>
      <c r="B1843" s="38">
        <v>170155048007006</v>
      </c>
    </row>
    <row r="1844" spans="1:2" ht="12.75" customHeight="1" x14ac:dyDescent="0.2">
      <c r="A1844" s="38" t="s">
        <v>1048</v>
      </c>
      <c r="B1844" s="38">
        <v>170155048007005</v>
      </c>
    </row>
    <row r="1845" spans="1:2" ht="12.75" customHeight="1" x14ac:dyDescent="0.2">
      <c r="A1845" s="38" t="s">
        <v>1048</v>
      </c>
      <c r="B1845" s="38">
        <v>170155048007007</v>
      </c>
    </row>
    <row r="1846" spans="1:2" ht="12.75" customHeight="1" x14ac:dyDescent="0.2">
      <c r="A1846" s="38" t="s">
        <v>1054</v>
      </c>
      <c r="B1846" s="38">
        <v>170150151007002</v>
      </c>
    </row>
    <row r="1847" spans="1:2" ht="12.75" customHeight="1" x14ac:dyDescent="0.2">
      <c r="A1847" s="38" t="s">
        <v>1054</v>
      </c>
      <c r="B1847" s="38">
        <v>170150151007001</v>
      </c>
    </row>
    <row r="1848" spans="1:2" ht="12.75" customHeight="1" x14ac:dyDescent="0.2">
      <c r="A1848" s="38" t="s">
        <v>1047</v>
      </c>
      <c r="B1848" s="38">
        <v>170180002006003</v>
      </c>
    </row>
    <row r="1849" spans="1:2" ht="12.75" customHeight="1" x14ac:dyDescent="0.2">
      <c r="A1849" s="38" t="s">
        <v>1047</v>
      </c>
      <c r="B1849" s="38">
        <v>170180002006002</v>
      </c>
    </row>
    <row r="1850" spans="1:2" ht="12.75" customHeight="1" x14ac:dyDescent="0.2">
      <c r="A1850" s="38" t="s">
        <v>1047</v>
      </c>
      <c r="B1850" s="38">
        <v>170180002006005</v>
      </c>
    </row>
    <row r="1851" spans="1:2" ht="12.75" customHeight="1" x14ac:dyDescent="0.2">
      <c r="A1851" s="38" t="s">
        <v>1047</v>
      </c>
      <c r="B1851" s="38">
        <v>170180002006004</v>
      </c>
    </row>
    <row r="1852" spans="1:2" ht="12.75" customHeight="1" x14ac:dyDescent="0.2">
      <c r="A1852" s="38" t="s">
        <v>1047</v>
      </c>
      <c r="B1852" s="38">
        <v>170180002006001</v>
      </c>
    </row>
    <row r="1853" spans="1:2" ht="12.75" customHeight="1" x14ac:dyDescent="0.2">
      <c r="A1853" s="38" t="s">
        <v>1046</v>
      </c>
      <c r="B1853" s="38">
        <v>170150095006002</v>
      </c>
    </row>
    <row r="1854" spans="1:2" ht="12.75" customHeight="1" x14ac:dyDescent="0.2">
      <c r="A1854" s="38" t="s">
        <v>1046</v>
      </c>
      <c r="B1854" s="38">
        <v>170150095006001</v>
      </c>
    </row>
    <row r="1855" spans="1:2" ht="12.75" customHeight="1" x14ac:dyDescent="0.2">
      <c r="A1855" s="38" t="s">
        <v>1056</v>
      </c>
      <c r="B1855" s="38">
        <v>170150238005002</v>
      </c>
    </row>
    <row r="1856" spans="1:2" ht="12.75" customHeight="1" x14ac:dyDescent="0.2">
      <c r="A1856" s="38" t="s">
        <v>1056</v>
      </c>
      <c r="B1856" s="38">
        <v>170150238005001</v>
      </c>
    </row>
    <row r="1857" spans="1:2" ht="12.75" customHeight="1" x14ac:dyDescent="0.2">
      <c r="A1857" s="38" t="s">
        <v>1050</v>
      </c>
      <c r="B1857" s="38">
        <v>170184008001001</v>
      </c>
    </row>
    <row r="1858" spans="1:2" ht="12.75" customHeight="1" x14ac:dyDescent="0.2">
      <c r="A1858" s="38" t="s">
        <v>1051</v>
      </c>
      <c r="B1858" s="38">
        <v>170154001004009</v>
      </c>
    </row>
    <row r="1859" spans="1:2" ht="12.75" customHeight="1" x14ac:dyDescent="0.2">
      <c r="A1859" s="38" t="s">
        <v>1051</v>
      </c>
      <c r="B1859" s="38">
        <v>170154001004008</v>
      </c>
    </row>
    <row r="1860" spans="1:2" ht="12.75" customHeight="1" x14ac:dyDescent="0.2">
      <c r="A1860" s="38" t="s">
        <v>1051</v>
      </c>
      <c r="B1860" s="38">
        <v>170154001004004</v>
      </c>
    </row>
    <row r="1861" spans="1:2" ht="12.75" customHeight="1" x14ac:dyDescent="0.2">
      <c r="A1861" s="38" t="s">
        <v>1051</v>
      </c>
      <c r="B1861" s="38">
        <v>170154001004007</v>
      </c>
    </row>
    <row r="1862" spans="1:2" ht="12.75" customHeight="1" x14ac:dyDescent="0.2">
      <c r="A1862" s="38" t="s">
        <v>1051</v>
      </c>
      <c r="B1862" s="38">
        <v>170154001004010</v>
      </c>
    </row>
    <row r="1863" spans="1:2" ht="12.75" customHeight="1" x14ac:dyDescent="0.2">
      <c r="A1863" s="38" t="s">
        <v>1047</v>
      </c>
      <c r="B1863" s="38">
        <v>170155046003007</v>
      </c>
    </row>
    <row r="1864" spans="1:2" ht="12.75" customHeight="1" x14ac:dyDescent="0.2">
      <c r="A1864" s="38" t="s">
        <v>1046</v>
      </c>
      <c r="B1864" s="38">
        <v>170150111007001</v>
      </c>
    </row>
    <row r="1865" spans="1:2" ht="12.75" customHeight="1" x14ac:dyDescent="0.2">
      <c r="A1865" s="38" t="s">
        <v>1047</v>
      </c>
      <c r="B1865" s="38">
        <v>170155046003004</v>
      </c>
    </row>
    <row r="1866" spans="1:2" ht="12.75" customHeight="1" x14ac:dyDescent="0.2">
      <c r="A1866" s="38" t="s">
        <v>1047</v>
      </c>
      <c r="B1866" s="38">
        <v>170155046003006</v>
      </c>
    </row>
    <row r="1867" spans="1:2" ht="12.75" customHeight="1" x14ac:dyDescent="0.2">
      <c r="A1867" s="38" t="s">
        <v>1047</v>
      </c>
      <c r="B1867" s="38">
        <v>170155046003005</v>
      </c>
    </row>
    <row r="1868" spans="1:2" ht="12.75" customHeight="1" x14ac:dyDescent="0.2">
      <c r="A1868" s="38" t="s">
        <v>1049</v>
      </c>
      <c r="B1868" s="38">
        <v>170177001005003</v>
      </c>
    </row>
    <row r="1869" spans="1:2" ht="12.75" customHeight="1" x14ac:dyDescent="0.2">
      <c r="A1869" s="38" t="s">
        <v>1049</v>
      </c>
      <c r="B1869" s="38">
        <v>170177001005002</v>
      </c>
    </row>
    <row r="1870" spans="1:2" ht="12.75" customHeight="1" x14ac:dyDescent="0.2">
      <c r="A1870" s="38" t="s">
        <v>1050</v>
      </c>
      <c r="B1870" s="38">
        <v>170184010008003</v>
      </c>
    </row>
    <row r="1871" spans="1:2" ht="12.75" customHeight="1" x14ac:dyDescent="0.2">
      <c r="A1871" s="38" t="s">
        <v>1052</v>
      </c>
      <c r="B1871" s="38">
        <v>170150197010001</v>
      </c>
    </row>
    <row r="1872" spans="1:2" ht="12.75" customHeight="1" x14ac:dyDescent="0.2">
      <c r="A1872" s="38" t="s">
        <v>1052</v>
      </c>
      <c r="B1872" s="38">
        <v>170150197010005</v>
      </c>
    </row>
    <row r="1873" spans="1:2" ht="12.75" customHeight="1" x14ac:dyDescent="0.2">
      <c r="A1873" s="38" t="s">
        <v>1046</v>
      </c>
      <c r="B1873" s="38">
        <v>170150094006001</v>
      </c>
    </row>
    <row r="1874" spans="1:2" ht="12.75" customHeight="1" x14ac:dyDescent="0.2">
      <c r="A1874" s="38" t="s">
        <v>1052</v>
      </c>
      <c r="B1874" s="38">
        <v>170150197009002</v>
      </c>
    </row>
    <row r="1875" spans="1:2" ht="12.75" customHeight="1" x14ac:dyDescent="0.2">
      <c r="A1875" s="38" t="s">
        <v>1052</v>
      </c>
      <c r="B1875" s="38">
        <v>170150197009001</v>
      </c>
    </row>
    <row r="1876" spans="1:2" ht="12.75" customHeight="1" x14ac:dyDescent="0.2">
      <c r="A1876" s="38" t="s">
        <v>1050</v>
      </c>
      <c r="B1876" s="38">
        <v>170184010008002</v>
      </c>
    </row>
    <row r="1877" spans="1:2" ht="12.75" customHeight="1" x14ac:dyDescent="0.2">
      <c r="A1877" s="38" t="s">
        <v>1050</v>
      </c>
      <c r="B1877" s="38">
        <v>170184010008001</v>
      </c>
    </row>
    <row r="1878" spans="1:2" ht="12.75" customHeight="1" x14ac:dyDescent="0.2">
      <c r="A1878" s="38" t="s">
        <v>1049</v>
      </c>
      <c r="B1878" s="38">
        <v>170177002001005</v>
      </c>
    </row>
    <row r="1879" spans="1:2" ht="12.75" customHeight="1" x14ac:dyDescent="0.2">
      <c r="A1879" s="38" t="s">
        <v>1049</v>
      </c>
      <c r="B1879" s="38">
        <v>170177002001007</v>
      </c>
    </row>
    <row r="1880" spans="1:2" ht="12.75" customHeight="1" x14ac:dyDescent="0.2">
      <c r="A1880" s="38" t="s">
        <v>1051</v>
      </c>
      <c r="B1880" s="38">
        <v>170177002001009</v>
      </c>
    </row>
    <row r="1881" spans="1:2" ht="12.75" customHeight="1" x14ac:dyDescent="0.2">
      <c r="A1881" s="38" t="s">
        <v>1049</v>
      </c>
      <c r="B1881" s="38">
        <v>170177002001002</v>
      </c>
    </row>
    <row r="1882" spans="1:2" ht="12.75" customHeight="1" x14ac:dyDescent="0.2">
      <c r="A1882" s="38" t="s">
        <v>1049</v>
      </c>
      <c r="B1882" s="38">
        <v>170177002001001</v>
      </c>
    </row>
    <row r="1883" spans="1:2" ht="12.75" customHeight="1" x14ac:dyDescent="0.2">
      <c r="A1883" s="38" t="s">
        <v>1049</v>
      </c>
      <c r="B1883" s="38">
        <v>170150158010001</v>
      </c>
    </row>
    <row r="1884" spans="1:2" ht="12.75" customHeight="1" x14ac:dyDescent="0.2">
      <c r="A1884" s="38" t="s">
        <v>1052</v>
      </c>
      <c r="B1884" s="38">
        <v>170150221005006</v>
      </c>
    </row>
    <row r="1885" spans="1:2" ht="12.75" customHeight="1" x14ac:dyDescent="0.2">
      <c r="A1885" s="38" t="s">
        <v>1046</v>
      </c>
      <c r="B1885" s="38">
        <v>170150171006004</v>
      </c>
    </row>
    <row r="1886" spans="1:2" ht="12.75" customHeight="1" x14ac:dyDescent="0.2">
      <c r="A1886" s="38" t="s">
        <v>1052</v>
      </c>
      <c r="B1886" s="38">
        <v>170150221005005</v>
      </c>
    </row>
    <row r="1887" spans="1:2" ht="12.75" customHeight="1" x14ac:dyDescent="0.2">
      <c r="A1887" s="38" t="s">
        <v>1052</v>
      </c>
      <c r="B1887" s="38">
        <v>170150221005008</v>
      </c>
    </row>
    <row r="1888" spans="1:2" ht="12.75" customHeight="1" x14ac:dyDescent="0.2">
      <c r="A1888" s="38" t="s">
        <v>1052</v>
      </c>
      <c r="B1888" s="38">
        <v>170150221005007</v>
      </c>
    </row>
    <row r="1889" spans="1:2" ht="12.75" customHeight="1" x14ac:dyDescent="0.2">
      <c r="A1889" s="38" t="s">
        <v>1052</v>
      </c>
      <c r="B1889" s="38">
        <v>170150221005009</v>
      </c>
    </row>
    <row r="1890" spans="1:2" ht="12.75" customHeight="1" x14ac:dyDescent="0.2">
      <c r="A1890" s="38" t="s">
        <v>1052</v>
      </c>
      <c r="B1890" s="38">
        <v>170150221005002</v>
      </c>
    </row>
    <row r="1891" spans="1:2" ht="12.75" customHeight="1" x14ac:dyDescent="0.2">
      <c r="A1891" s="38" t="s">
        <v>1052</v>
      </c>
      <c r="B1891" s="38">
        <v>170150221005001</v>
      </c>
    </row>
    <row r="1892" spans="1:2" ht="12.75" customHeight="1" x14ac:dyDescent="0.2">
      <c r="A1892" s="38" t="s">
        <v>1052</v>
      </c>
      <c r="B1892" s="38">
        <v>170150221005004</v>
      </c>
    </row>
    <row r="1893" spans="1:2" ht="12.75" customHeight="1" x14ac:dyDescent="0.2">
      <c r="A1893" s="38" t="s">
        <v>1052</v>
      </c>
      <c r="B1893" s="38">
        <v>170150221005003</v>
      </c>
    </row>
    <row r="1894" spans="1:2" ht="12.75" customHeight="1" x14ac:dyDescent="0.2">
      <c r="A1894" s="38" t="s">
        <v>1052</v>
      </c>
      <c r="B1894" s="38">
        <v>170150221005010</v>
      </c>
    </row>
    <row r="1895" spans="1:2" ht="12.75" customHeight="1" x14ac:dyDescent="0.2">
      <c r="A1895" s="38" t="s">
        <v>1051</v>
      </c>
      <c r="B1895" s="38">
        <v>170150088004001</v>
      </c>
    </row>
    <row r="1896" spans="1:2" ht="12.75" customHeight="1" x14ac:dyDescent="0.2">
      <c r="A1896" s="38" t="s">
        <v>1046</v>
      </c>
      <c r="B1896" s="38">
        <v>170150143001001</v>
      </c>
    </row>
    <row r="1897" spans="1:2" ht="12.75" customHeight="1" x14ac:dyDescent="0.2">
      <c r="A1897" s="38" t="s">
        <v>1046</v>
      </c>
      <c r="B1897" s="38">
        <v>170150171006003</v>
      </c>
    </row>
    <row r="1898" spans="1:2" ht="12.75" customHeight="1" x14ac:dyDescent="0.2">
      <c r="A1898" s="38" t="s">
        <v>1046</v>
      </c>
      <c r="B1898" s="38">
        <v>170150171006002</v>
      </c>
    </row>
    <row r="1899" spans="1:2" ht="12.75" customHeight="1" x14ac:dyDescent="0.2">
      <c r="A1899" s="38" t="s">
        <v>1047</v>
      </c>
      <c r="B1899" s="38">
        <v>170180001009001</v>
      </c>
    </row>
    <row r="1900" spans="1:2" ht="12.75" customHeight="1" x14ac:dyDescent="0.2">
      <c r="A1900" s="38" t="s">
        <v>1047</v>
      </c>
      <c r="B1900" s="38">
        <v>170180001009003</v>
      </c>
    </row>
    <row r="1901" spans="1:2" ht="12.75" customHeight="1" x14ac:dyDescent="0.2">
      <c r="A1901" s="38" t="s">
        <v>1047</v>
      </c>
      <c r="B1901" s="38">
        <v>170180001009004</v>
      </c>
    </row>
    <row r="1902" spans="1:2" ht="12.75" customHeight="1" x14ac:dyDescent="0.2">
      <c r="A1902" s="38" t="s">
        <v>1056</v>
      </c>
      <c r="B1902" s="38">
        <v>170150237005001</v>
      </c>
    </row>
    <row r="1903" spans="1:2" ht="12.75" customHeight="1" x14ac:dyDescent="0.2">
      <c r="A1903" s="38" t="s">
        <v>1046</v>
      </c>
      <c r="B1903" s="38">
        <v>170150180005002</v>
      </c>
    </row>
    <row r="1904" spans="1:2" ht="12.75" customHeight="1" x14ac:dyDescent="0.2">
      <c r="A1904" s="38" t="s">
        <v>1046</v>
      </c>
      <c r="B1904" s="38">
        <v>170150180005001</v>
      </c>
    </row>
    <row r="1905" spans="1:2" ht="12.75" customHeight="1" x14ac:dyDescent="0.2">
      <c r="A1905" s="38" t="s">
        <v>1046</v>
      </c>
      <c r="B1905" s="38">
        <v>170150180005004</v>
      </c>
    </row>
    <row r="1906" spans="1:2" ht="12.75" customHeight="1" x14ac:dyDescent="0.2">
      <c r="A1906" s="38" t="s">
        <v>1051</v>
      </c>
      <c r="B1906" s="38">
        <v>170150114006001</v>
      </c>
    </row>
    <row r="1907" spans="1:2" ht="12.75" customHeight="1" x14ac:dyDescent="0.2">
      <c r="A1907" s="38" t="s">
        <v>1053</v>
      </c>
      <c r="B1907" s="38">
        <v>170178001006001</v>
      </c>
    </row>
    <row r="1908" spans="1:2" ht="12.75" customHeight="1" x14ac:dyDescent="0.2">
      <c r="A1908" s="38" t="s">
        <v>1053</v>
      </c>
      <c r="B1908" s="38">
        <v>170178001006002</v>
      </c>
    </row>
    <row r="1909" spans="1:2" ht="12.75" customHeight="1" x14ac:dyDescent="0.2">
      <c r="A1909" s="38" t="s">
        <v>1046</v>
      </c>
      <c r="B1909" s="38">
        <v>170150103005001</v>
      </c>
    </row>
    <row r="1910" spans="1:2" ht="12.75" customHeight="1" x14ac:dyDescent="0.2">
      <c r="A1910" s="38" t="s">
        <v>1051</v>
      </c>
      <c r="B1910" s="38">
        <v>170150072006001</v>
      </c>
    </row>
    <row r="1911" spans="1:2" ht="12.75" customHeight="1" x14ac:dyDescent="0.2">
      <c r="A1911" s="38" t="s">
        <v>1050</v>
      </c>
      <c r="B1911" s="38">
        <v>170160916004006</v>
      </c>
    </row>
    <row r="1912" spans="1:2" ht="12.75" customHeight="1" x14ac:dyDescent="0.2">
      <c r="A1912" s="38" t="s">
        <v>1050</v>
      </c>
      <c r="B1912" s="38">
        <v>170160916004005</v>
      </c>
    </row>
    <row r="1913" spans="1:2" ht="12.75" customHeight="1" x14ac:dyDescent="0.2">
      <c r="A1913" s="38" t="s">
        <v>1050</v>
      </c>
      <c r="B1913" s="38">
        <v>170175001007001</v>
      </c>
    </row>
    <row r="1914" spans="1:2" ht="12.75" customHeight="1" x14ac:dyDescent="0.2">
      <c r="A1914" s="38" t="s">
        <v>1050</v>
      </c>
      <c r="B1914" s="38">
        <v>170160916004004</v>
      </c>
    </row>
    <row r="1915" spans="1:2" ht="12.75" customHeight="1" x14ac:dyDescent="0.2">
      <c r="A1915" s="38" t="s">
        <v>1046</v>
      </c>
      <c r="B1915" s="38">
        <v>170150180005006</v>
      </c>
    </row>
    <row r="1916" spans="1:2" ht="12.75" customHeight="1" x14ac:dyDescent="0.2">
      <c r="A1916" s="38" t="s">
        <v>1046</v>
      </c>
      <c r="B1916" s="38">
        <v>170150180005005</v>
      </c>
    </row>
    <row r="1917" spans="1:2" ht="12.75" customHeight="1" x14ac:dyDescent="0.2">
      <c r="A1917" s="38" t="s">
        <v>1046</v>
      </c>
      <c r="B1917" s="38">
        <v>170150180005007</v>
      </c>
    </row>
    <row r="1918" spans="1:2" ht="12.75" customHeight="1" x14ac:dyDescent="0.2">
      <c r="A1918" s="38" t="s">
        <v>1050</v>
      </c>
      <c r="B1918" s="38">
        <v>170160002007002</v>
      </c>
    </row>
    <row r="1919" spans="1:2" ht="12.75" customHeight="1" x14ac:dyDescent="0.2">
      <c r="A1919" s="38" t="s">
        <v>1050</v>
      </c>
      <c r="B1919" s="38">
        <v>170160002007001</v>
      </c>
    </row>
    <row r="1920" spans="1:2" ht="12.75" customHeight="1" x14ac:dyDescent="0.2">
      <c r="A1920" s="38" t="s">
        <v>1050</v>
      </c>
      <c r="B1920" s="38">
        <v>170160002007003</v>
      </c>
    </row>
    <row r="1921" spans="1:2" ht="12.75" customHeight="1" x14ac:dyDescent="0.2">
      <c r="A1921" s="38" t="s">
        <v>1046</v>
      </c>
      <c r="B1921" s="38">
        <v>170150010008003</v>
      </c>
    </row>
    <row r="1922" spans="1:2" ht="12.75" customHeight="1" x14ac:dyDescent="0.2">
      <c r="A1922" s="38" t="s">
        <v>1046</v>
      </c>
      <c r="B1922" s="38">
        <v>170150010008002</v>
      </c>
    </row>
    <row r="1923" spans="1:2" ht="12.75" customHeight="1" x14ac:dyDescent="0.2">
      <c r="A1923" s="38" t="s">
        <v>1046</v>
      </c>
      <c r="B1923" s="38">
        <v>170150010008005</v>
      </c>
    </row>
    <row r="1924" spans="1:2" ht="12.75" customHeight="1" x14ac:dyDescent="0.2">
      <c r="A1924" s="38" t="s">
        <v>1046</v>
      </c>
      <c r="B1924" s="38">
        <v>170150010008004</v>
      </c>
    </row>
    <row r="1925" spans="1:2" ht="12.75" customHeight="1" x14ac:dyDescent="0.2">
      <c r="A1925" s="38" t="s">
        <v>1046</v>
      </c>
      <c r="B1925" s="38">
        <v>170150010008006</v>
      </c>
    </row>
    <row r="1926" spans="1:2" ht="12.75" customHeight="1" x14ac:dyDescent="0.2">
      <c r="A1926" s="38" t="s">
        <v>1046</v>
      </c>
      <c r="B1926" s="38">
        <v>170150010008010</v>
      </c>
    </row>
    <row r="1927" spans="1:2" ht="12.75" customHeight="1" x14ac:dyDescent="0.2">
      <c r="A1927" s="38" t="s">
        <v>1046</v>
      </c>
      <c r="B1927" s="38">
        <v>170150010008011</v>
      </c>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ESTRUCTURA CÓDIGO RUTA</vt:lpstr>
      <vt:lpstr>CODIFICACIÓN_RUTA</vt:lpstr>
      <vt:lpstr>RUTAS</vt:lpstr>
      <vt:lpstr>Hoja1</vt:lpstr>
      <vt:lpstr>Resumen</vt:lpstr>
      <vt:lpstr>MANZANA_RUTA_DPA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Wladimir Casa Chanaluisa</cp:lastModifiedBy>
  <dcterms:modified xsi:type="dcterms:W3CDTF">2026-05-23T19:58:59Z</dcterms:modified>
</cp:coreProperties>
</file>